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B2171368-6763-FD4B-8F58-637FA8CED0F5}" xr6:coauthVersionLast="47" xr6:coauthVersionMax="47" xr10:uidLastSave="{00000000-0000-0000-0000-000000000000}"/>
  <bookViews>
    <workbookView xWindow="0" yWindow="0" windowWidth="0" windowHeight="0" firstSheet="6" activeTab="6" xr2:uid="{00000000-000D-0000-FFFF-FFFF00000000}"/>
  </bookViews>
  <sheets>
    <sheet name="Customers" sheetId="1" r:id="rId1"/>
    <sheet name="Sheet4" sheetId="8" r:id="rId2"/>
    <sheet name="Sheet5" sheetId="9" r:id="rId3"/>
    <sheet name="Sheet6" sheetId="10" r:id="rId4"/>
    <sheet name="Orders" sheetId="2" r:id="rId5"/>
    <sheet name="Sheet1" sheetId="4" r:id="rId6"/>
    <sheet name="Dashboard 1" sheetId="5" r:id="rId7"/>
    <sheet name="Sheet2" sheetId="6" r:id="rId8"/>
    <sheet name="Sheet3" sheetId="7" r:id="rId9"/>
    <sheet name="Logistics" sheetId="3" r:id="rId10"/>
  </sheets>
  <definedNames>
    <definedName name="_xlnm._FilterDatabase" localSheetId="4" hidden="1">Orders!$A$1:$P$1</definedName>
  </definedNames>
  <calcPr calcId="191028"/>
  <pivotCaches>
    <pivotCache cacheId="5" r:id="rId11"/>
    <pivotCache cacheId="6" r:id="rId12"/>
    <pivotCache cacheId="7" r:id="rId13"/>
    <pivotCache cacheId="8" r:id="rId14"/>
    <pivotCache cacheId="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2" i="2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E6" i="2"/>
  <c r="D652" i="3"/>
  <c r="E7" i="2"/>
  <c r="D2" i="3"/>
  <c r="E8" i="2"/>
  <c r="D1217" i="3"/>
  <c r="E9" i="2"/>
  <c r="D181" i="3"/>
  <c r="E10" i="2"/>
  <c r="D92" i="3"/>
  <c r="E11" i="2"/>
  <c r="D1034" i="3"/>
  <c r="E12" i="2"/>
  <c r="D447" i="3"/>
  <c r="E13" i="2"/>
  <c r="D752" i="3"/>
  <c r="E14" i="2"/>
  <c r="D547" i="3"/>
  <c r="E15" i="2"/>
  <c r="D3" i="3"/>
  <c r="E16" i="2"/>
  <c r="D548" i="3"/>
  <c r="E17" i="2"/>
  <c r="D348" i="3"/>
  <c r="E18" i="2"/>
  <c r="D753" i="3"/>
  <c r="E19" i="2"/>
  <c r="D1298" i="3"/>
  <c r="E20" i="2"/>
  <c r="D931" i="3"/>
  <c r="E21" i="2"/>
  <c r="D182" i="3"/>
  <c r="E22" i="2"/>
  <c r="D265" i="3"/>
  <c r="E23" i="2"/>
  <c r="D549" i="3"/>
  <c r="E24" i="2"/>
  <c r="D349" i="3"/>
  <c r="E25" i="2"/>
  <c r="D932" i="3"/>
  <c r="E26" i="2"/>
  <c r="D1218" i="3"/>
  <c r="E27" i="2"/>
  <c r="D754" i="3"/>
  <c r="E28" i="2"/>
  <c r="D653" i="3"/>
  <c r="E29" i="2"/>
  <c r="D1395" i="3"/>
  <c r="E30" i="2"/>
  <c r="D933" i="3"/>
  <c r="E31" i="2"/>
  <c r="D1219" i="3"/>
  <c r="E32" i="2"/>
  <c r="D1220" i="3"/>
  <c r="E33" i="2"/>
  <c r="D4" i="3"/>
  <c r="E34" i="2"/>
  <c r="D1299" i="3"/>
  <c r="E35" i="2"/>
  <c r="D1035" i="3"/>
  <c r="E36" i="2"/>
  <c r="D1221" i="3"/>
  <c r="E37" i="2"/>
  <c r="D93" i="3"/>
  <c r="E38" i="2"/>
  <c r="D550" i="3"/>
  <c r="E39" i="2"/>
  <c r="D1222" i="3"/>
  <c r="E40" i="2"/>
  <c r="D654" i="3"/>
  <c r="E41" i="2"/>
  <c r="D1300" i="3"/>
  <c r="E42" i="2"/>
  <c r="D1139" i="3"/>
  <c r="E43" i="2"/>
  <c r="D755" i="3"/>
  <c r="E44" i="2"/>
  <c r="D266" i="3"/>
  <c r="E45" i="2"/>
  <c r="D94" i="3"/>
  <c r="E46" i="2"/>
  <c r="D350" i="3"/>
  <c r="E47" i="2"/>
  <c r="D1396" i="3"/>
  <c r="E48" i="2"/>
  <c r="D1036" i="3"/>
  <c r="E49" i="2"/>
  <c r="D756" i="3"/>
  <c r="E50" i="2"/>
  <c r="D1301" i="3"/>
  <c r="E51" i="2"/>
  <c r="D95" i="3"/>
  <c r="E52" i="2"/>
  <c r="D1302" i="3"/>
  <c r="E53" i="2"/>
  <c r="D267" i="3"/>
  <c r="E54" i="2"/>
  <c r="D830" i="3"/>
  <c r="E55" i="2"/>
  <c r="D183" i="3"/>
  <c r="E56" i="2"/>
  <c r="D448" i="3"/>
  <c r="E57" i="2"/>
  <c r="D1037" i="3"/>
  <c r="E58" i="2"/>
  <c r="D551" i="3"/>
  <c r="E59" i="2"/>
  <c r="D934" i="3"/>
  <c r="E60" i="2"/>
  <c r="D449" i="3"/>
  <c r="E61" i="2"/>
  <c r="D450" i="3"/>
  <c r="E62" i="2"/>
  <c r="D96" i="3"/>
  <c r="E63" i="2"/>
  <c r="D1038" i="3"/>
  <c r="E64" i="2"/>
  <c r="D351" i="3"/>
  <c r="E65" i="2"/>
  <c r="D552" i="3"/>
  <c r="E66" i="2"/>
  <c r="D5" i="3"/>
  <c r="E67" i="2"/>
  <c r="D451" i="3"/>
  <c r="E68" i="2"/>
  <c r="D184" i="3"/>
  <c r="E69" i="2"/>
  <c r="D6" i="3"/>
  <c r="E70" i="2"/>
  <c r="D7" i="3"/>
  <c r="E71" i="2"/>
  <c r="D352" i="3"/>
  <c r="E72" i="2"/>
  <c r="D1039" i="3"/>
  <c r="E73" i="2"/>
  <c r="D1040" i="3"/>
  <c r="E74" i="2"/>
  <c r="D268" i="3"/>
  <c r="E75" i="2"/>
  <c r="D757" i="3"/>
  <c r="E76" i="2"/>
  <c r="D1041" i="3"/>
  <c r="E77" i="2"/>
  <c r="D269" i="3"/>
  <c r="E78" i="2"/>
  <c r="D97" i="3"/>
  <c r="E79" i="2"/>
  <c r="D98" i="3"/>
  <c r="E80" i="2"/>
  <c r="D1397" i="3"/>
  <c r="E81" i="2"/>
  <c r="D1303" i="3"/>
  <c r="E82" i="2"/>
  <c r="D8" i="3"/>
  <c r="E83" i="2"/>
  <c r="D1223" i="3"/>
  <c r="E84" i="2"/>
  <c r="D553" i="3"/>
  <c r="E85" i="2"/>
  <c r="D1224" i="3"/>
  <c r="E86" i="2"/>
  <c r="D1042" i="3"/>
  <c r="E87" i="2"/>
  <c r="D1225" i="3"/>
  <c r="E88" i="2"/>
  <c r="D185" i="3"/>
  <c r="E89" i="2"/>
  <c r="D1398" i="3"/>
  <c r="E90" i="2"/>
  <c r="D1043" i="3"/>
  <c r="E91" i="2"/>
  <c r="D1304" i="3"/>
  <c r="E92" i="2"/>
  <c r="D831" i="3"/>
  <c r="E93" i="2"/>
  <c r="D935" i="3"/>
  <c r="E94" i="2"/>
  <c r="D1140" i="3"/>
  <c r="E95" i="2"/>
  <c r="D554" i="3"/>
  <c r="E96" i="2"/>
  <c r="D99" i="3"/>
  <c r="E97" i="2"/>
  <c r="D1044" i="3"/>
  <c r="E98" i="2"/>
  <c r="D1305" i="3"/>
  <c r="E99" i="2"/>
  <c r="D452" i="3"/>
  <c r="E100" i="2"/>
  <c r="D1141" i="3"/>
  <c r="E101" i="2"/>
  <c r="D100" i="3"/>
  <c r="E102" i="2"/>
  <c r="D453" i="3"/>
  <c r="E103" i="2"/>
  <c r="D1045" i="3"/>
  <c r="E104" i="2"/>
  <c r="D353" i="3"/>
  <c r="E105" i="2"/>
  <c r="D655" i="3"/>
  <c r="E106" i="2"/>
  <c r="D454" i="3"/>
  <c r="E107" i="2"/>
  <c r="D101" i="3"/>
  <c r="E108" i="2"/>
  <c r="D9" i="3"/>
  <c r="E109" i="2"/>
  <c r="D10" i="3"/>
  <c r="E110" i="2"/>
  <c r="D270" i="3"/>
  <c r="E111" i="2"/>
  <c r="D271" i="3"/>
  <c r="E112" i="2"/>
  <c r="D1226" i="3"/>
  <c r="E113" i="2"/>
  <c r="D272" i="3"/>
  <c r="E114" i="2"/>
  <c r="D1142" i="3"/>
  <c r="E115" i="2"/>
  <c r="D1046" i="3"/>
  <c r="E116" i="2"/>
  <c r="D11" i="3"/>
  <c r="E117" i="2"/>
  <c r="D354" i="3"/>
  <c r="E118" i="2"/>
  <c r="D1047" i="3"/>
  <c r="E119" i="2"/>
  <c r="D1048" i="3"/>
  <c r="E120" i="2"/>
  <c r="D273" i="3"/>
  <c r="E121" i="2"/>
  <c r="D12" i="3"/>
  <c r="E122" i="2"/>
  <c r="D656" i="3"/>
  <c r="E123" i="2"/>
  <c r="D1399" i="3"/>
  <c r="E124" i="2"/>
  <c r="D1306" i="3"/>
  <c r="E125" i="2"/>
  <c r="D355" i="3"/>
  <c r="E126" i="2"/>
  <c r="D1049" i="3"/>
  <c r="E127" i="2"/>
  <c r="D758" i="3"/>
  <c r="E128" i="2"/>
  <c r="D1143" i="3"/>
  <c r="E129" i="2"/>
  <c r="D1050" i="3"/>
  <c r="E130" i="2"/>
  <c r="D657" i="3"/>
  <c r="E131" i="2"/>
  <c r="D186" i="3"/>
  <c r="E132" i="2"/>
  <c r="D936" i="3"/>
  <c r="E133" i="2"/>
  <c r="D102" i="3"/>
  <c r="E134" i="2"/>
  <c r="D1400" i="3"/>
  <c r="E135" i="2"/>
  <c r="D832" i="3"/>
  <c r="E136" i="2"/>
  <c r="D13" i="3"/>
  <c r="E137" i="2"/>
  <c r="D658" i="3"/>
  <c r="E138" i="2"/>
  <c r="D833" i="3"/>
  <c r="E139" i="2"/>
  <c r="D274" i="3"/>
  <c r="E140" i="2"/>
  <c r="D1051" i="3"/>
  <c r="E141" i="2"/>
  <c r="D103" i="3"/>
  <c r="E142" i="2"/>
  <c r="D187" i="3"/>
  <c r="E143" i="2"/>
  <c r="D188" i="3"/>
  <c r="E144" i="2"/>
  <c r="D455" i="3"/>
  <c r="E145" i="2"/>
  <c r="D104" i="3"/>
  <c r="E146" i="2"/>
  <c r="D759" i="3"/>
  <c r="E147" i="2"/>
  <c r="D275" i="3"/>
  <c r="E148" i="2"/>
  <c r="D1307" i="3"/>
  <c r="E149" i="2"/>
  <c r="D834" i="3"/>
  <c r="E150" i="2"/>
  <c r="D835" i="3"/>
  <c r="E151" i="2"/>
  <c r="D356" i="3"/>
  <c r="E152" i="2"/>
  <c r="D1401" i="3"/>
  <c r="E153" i="2"/>
  <c r="D760" i="3"/>
  <c r="E154" i="2"/>
  <c r="D1402" i="3"/>
  <c r="E155" i="2"/>
  <c r="D555" i="3"/>
  <c r="E156" i="2"/>
  <c r="D105" i="3"/>
  <c r="E157" i="2"/>
  <c r="D1403" i="3"/>
  <c r="E158" i="2"/>
  <c r="D1144" i="3"/>
  <c r="E159" i="2"/>
  <c r="D14" i="3"/>
  <c r="E160" i="2"/>
  <c r="D1308" i="3"/>
  <c r="E161" i="2"/>
  <c r="D1227" i="3"/>
  <c r="E162" i="2"/>
  <c r="D761" i="3"/>
  <c r="E163" i="2"/>
  <c r="D456" i="3"/>
  <c r="E164" i="2"/>
  <c r="D15" i="3"/>
  <c r="E165" i="2"/>
  <c r="D16" i="3"/>
  <c r="E166" i="2"/>
  <c r="D1404" i="3"/>
  <c r="E167" i="2"/>
  <c r="D189" i="3"/>
  <c r="E168" i="2"/>
  <c r="D1145" i="3"/>
  <c r="E169" i="2"/>
  <c r="D1052" i="3"/>
  <c r="E170" i="2"/>
  <c r="D357" i="3"/>
  <c r="E171" i="2"/>
  <c r="D836" i="3"/>
  <c r="E172" i="2"/>
  <c r="D659" i="3"/>
  <c r="E173" i="2"/>
  <c r="D17" i="3"/>
  <c r="E174" i="2"/>
  <c r="D457" i="3"/>
  <c r="E175" i="2"/>
  <c r="D106" i="3"/>
  <c r="E176" i="2"/>
  <c r="D1405" i="3"/>
  <c r="E177" i="2"/>
  <c r="D358" i="3"/>
  <c r="E178" i="2"/>
  <c r="D556" i="3"/>
  <c r="E179" i="2"/>
  <c r="D937" i="3"/>
  <c r="E180" i="2"/>
  <c r="D458" i="3"/>
  <c r="E181" i="2"/>
  <c r="D557" i="3"/>
  <c r="E182" i="2"/>
  <c r="D1146" i="3"/>
  <c r="E183" i="2"/>
  <c r="D459" i="3"/>
  <c r="E184" i="2"/>
  <c r="D762" i="3"/>
  <c r="E185" i="2"/>
  <c r="D1309" i="3"/>
  <c r="E186" i="2"/>
  <c r="D837" i="3"/>
  <c r="E187" i="2"/>
  <c r="D938" i="3"/>
  <c r="E188" i="2"/>
  <c r="D1310" i="3"/>
  <c r="E189" i="2"/>
  <c r="D838" i="3"/>
  <c r="E190" i="2"/>
  <c r="D276" i="3"/>
  <c r="E191" i="2"/>
  <c r="D190" i="3"/>
  <c r="E192" i="2"/>
  <c r="D1053" i="3"/>
  <c r="E193" i="2"/>
  <c r="D839" i="3"/>
  <c r="E194" i="2"/>
  <c r="D939" i="3"/>
  <c r="E195" i="2"/>
  <c r="D558" i="3"/>
  <c r="E196" i="2"/>
  <c r="D1228" i="3"/>
  <c r="E197" i="2"/>
  <c r="D1229" i="3"/>
  <c r="E198" i="2"/>
  <c r="D191" i="3"/>
  <c r="E199" i="2"/>
  <c r="D18" i="3"/>
  <c r="E200" i="2"/>
  <c r="D559" i="3"/>
  <c r="E201" i="2"/>
  <c r="D192" i="3"/>
  <c r="E202" i="2"/>
  <c r="D193" i="3"/>
  <c r="E203" i="2"/>
  <c r="D460" i="3"/>
  <c r="E204" i="2"/>
  <c r="D1406" i="3"/>
  <c r="E205" i="2"/>
  <c r="D194" i="3"/>
  <c r="E206" i="2"/>
  <c r="D560" i="3"/>
  <c r="E207" i="2"/>
  <c r="D1147" i="3"/>
  <c r="E208" i="2"/>
  <c r="D660" i="3"/>
  <c r="E209" i="2"/>
  <c r="D940" i="3"/>
  <c r="E210" i="2"/>
  <c r="D107" i="3"/>
  <c r="E211" i="2"/>
  <c r="D941" i="3"/>
  <c r="E212" i="2"/>
  <c r="D1054" i="3"/>
  <c r="E213" i="2"/>
  <c r="D840" i="3"/>
  <c r="E214" i="2"/>
  <c r="D561" i="3"/>
  <c r="E215" i="2"/>
  <c r="D661" i="3"/>
  <c r="E216" i="2"/>
  <c r="D562" i="3"/>
  <c r="E217" i="2"/>
  <c r="D1148" i="3"/>
  <c r="E218" i="2"/>
  <c r="D1230" i="3"/>
  <c r="E219" i="2"/>
  <c r="D461" i="3"/>
  <c r="E220" i="2"/>
  <c r="D1231" i="3"/>
  <c r="E221" i="2"/>
  <c r="D1407" i="3"/>
  <c r="E222" i="2"/>
  <c r="D662" i="3"/>
  <c r="E223" i="2"/>
  <c r="D108" i="3"/>
  <c r="E224" i="2"/>
  <c r="D1149" i="3"/>
  <c r="E225" i="2"/>
  <c r="D841" i="3"/>
  <c r="E226" i="2"/>
  <c r="D109" i="3"/>
  <c r="E227" i="2"/>
  <c r="D1055" i="3"/>
  <c r="E228" i="2"/>
  <c r="D1311" i="3"/>
  <c r="E229" i="2"/>
  <c r="D1312" i="3"/>
  <c r="E230" i="2"/>
  <c r="D1150" i="3"/>
  <c r="E231" i="2"/>
  <c r="D1151" i="3"/>
  <c r="E232" i="2"/>
  <c r="D942" i="3"/>
  <c r="E233" i="2"/>
  <c r="D663" i="3"/>
  <c r="E234" i="2"/>
  <c r="D1408" i="3"/>
  <c r="E235" i="2"/>
  <c r="D277" i="3"/>
  <c r="E236" i="2"/>
  <c r="D278" i="3"/>
  <c r="E237" i="2"/>
  <c r="D195" i="3"/>
  <c r="E238" i="2"/>
  <c r="D664" i="3"/>
  <c r="E239" i="2"/>
  <c r="D943" i="3"/>
  <c r="E240" i="2"/>
  <c r="D1409" i="3"/>
  <c r="E241" i="2"/>
  <c r="D359" i="3"/>
  <c r="E242" i="2"/>
  <c r="D563" i="3"/>
  <c r="E243" i="2"/>
  <c r="D196" i="3"/>
  <c r="E244" i="2"/>
  <c r="D564" i="3"/>
  <c r="E245" i="2"/>
  <c r="D197" i="3"/>
  <c r="E246" i="2"/>
  <c r="D198" i="3"/>
  <c r="E247" i="2"/>
  <c r="D19" i="3"/>
  <c r="E248" i="2"/>
  <c r="D1056" i="3"/>
  <c r="E249" i="2"/>
  <c r="D763" i="3"/>
  <c r="E250" i="2"/>
  <c r="D1410" i="3"/>
  <c r="E251" i="2"/>
  <c r="D1057" i="3"/>
  <c r="E252" i="2"/>
  <c r="D665" i="3"/>
  <c r="E253" i="2"/>
  <c r="D764" i="3"/>
  <c r="E254" i="2"/>
  <c r="D666" i="3"/>
  <c r="E255" i="2"/>
  <c r="D1313" i="3"/>
  <c r="E256" i="2"/>
  <c r="D565" i="3"/>
  <c r="E257" i="2"/>
  <c r="D110" i="3"/>
  <c r="E258" i="2"/>
  <c r="D462" i="3"/>
  <c r="E259" i="2"/>
  <c r="D1232" i="3"/>
  <c r="E260" i="2"/>
  <c r="D566" i="3"/>
  <c r="E261" i="2"/>
  <c r="D199" i="3"/>
  <c r="E262" i="2"/>
  <c r="D1152" i="3"/>
  <c r="E263" i="2"/>
  <c r="D1314" i="3"/>
  <c r="E264" i="2"/>
  <c r="D765" i="3"/>
  <c r="E265" i="2"/>
  <c r="D944" i="3"/>
  <c r="E266" i="2"/>
  <c r="D1411" i="3"/>
  <c r="E267" i="2"/>
  <c r="D1412" i="3"/>
  <c r="E268" i="2"/>
  <c r="D200" i="3"/>
  <c r="E269" i="2"/>
  <c r="D1233" i="3"/>
  <c r="E270" i="2"/>
  <c r="D1234" i="3"/>
  <c r="E271" i="2"/>
  <c r="D1153" i="3"/>
  <c r="E272" i="2"/>
  <c r="D111" i="3"/>
  <c r="E273" i="2"/>
  <c r="D1413" i="3"/>
  <c r="E274" i="2"/>
  <c r="D112" i="3"/>
  <c r="E275" i="2"/>
  <c r="D20" i="3"/>
  <c r="E276" i="2"/>
  <c r="D1058" i="3"/>
  <c r="E277" i="2"/>
  <c r="D1154" i="3"/>
  <c r="E278" i="2"/>
  <c r="D945" i="3"/>
  <c r="E279" i="2"/>
  <c r="D1414" i="3"/>
  <c r="E280" i="2"/>
  <c r="D201" i="3"/>
  <c r="E281" i="2"/>
  <c r="D21" i="3"/>
  <c r="E282" i="2"/>
  <c r="D1059" i="3"/>
  <c r="E283" i="2"/>
  <c r="D279" i="3"/>
  <c r="E284" i="2"/>
  <c r="D1235" i="3"/>
  <c r="E285" i="2"/>
  <c r="D1315" i="3"/>
  <c r="E286" i="2"/>
  <c r="D1155" i="3"/>
  <c r="E287" i="2"/>
  <c r="D1415" i="3"/>
  <c r="E288" i="2"/>
  <c r="D842" i="3"/>
  <c r="E289" i="2"/>
  <c r="D1156" i="3"/>
  <c r="E290" i="2"/>
  <c r="D843" i="3"/>
  <c r="E291" i="2"/>
  <c r="D22" i="3"/>
  <c r="E292" i="2"/>
  <c r="D1060" i="3"/>
  <c r="E293" i="2"/>
  <c r="D946" i="3"/>
  <c r="E294" i="2"/>
  <c r="D113" i="3"/>
  <c r="E295" i="2"/>
  <c r="D766" i="3"/>
  <c r="E296" i="2"/>
  <c r="D1236" i="3"/>
  <c r="E297" i="2"/>
  <c r="D23" i="3"/>
  <c r="E298" i="2"/>
  <c r="D667" i="3"/>
  <c r="E299" i="2"/>
  <c r="D1416" i="3"/>
  <c r="E300" i="2"/>
  <c r="D280" i="3"/>
  <c r="E301" i="2"/>
  <c r="D360" i="3"/>
  <c r="E302" i="2"/>
  <c r="D24" i="3"/>
  <c r="E303" i="2"/>
  <c r="D25" i="3"/>
  <c r="E304" i="2"/>
  <c r="D1417" i="3"/>
  <c r="E305" i="2"/>
  <c r="D114" i="3"/>
  <c r="E306" i="2"/>
  <c r="D115" i="3"/>
  <c r="E307" i="2"/>
  <c r="D844" i="3"/>
  <c r="E308" i="2"/>
  <c r="D567" i="3"/>
  <c r="E309" i="2"/>
  <c r="D1157" i="3"/>
  <c r="E310" i="2"/>
  <c r="D116" i="3"/>
  <c r="E311" i="2"/>
  <c r="D281" i="3"/>
  <c r="E312" i="2"/>
  <c r="D202" i="3"/>
  <c r="E313" i="2"/>
  <c r="D117" i="3"/>
  <c r="E314" i="2"/>
  <c r="D203" i="3"/>
  <c r="E315" i="2"/>
  <c r="D1316" i="3"/>
  <c r="E316" i="2"/>
  <c r="D947" i="3"/>
  <c r="E317" i="2"/>
  <c r="D118" i="3"/>
  <c r="E318" i="2"/>
  <c r="D463" i="3"/>
  <c r="E319" i="2"/>
  <c r="D948" i="3"/>
  <c r="E320" i="2"/>
  <c r="D1317" i="3"/>
  <c r="E321" i="2"/>
  <c r="D949" i="3"/>
  <c r="E322" i="2"/>
  <c r="D1318" i="3"/>
  <c r="E323" i="2"/>
  <c r="D1237" i="3"/>
  <c r="E324" i="2"/>
  <c r="D361" i="3"/>
  <c r="E325" i="2"/>
  <c r="D845" i="3"/>
  <c r="E326" i="2"/>
  <c r="D767" i="3"/>
  <c r="E327" i="2"/>
  <c r="D768" i="3"/>
  <c r="E328" i="2"/>
  <c r="D1158" i="3"/>
  <c r="E329" i="2"/>
  <c r="D26" i="3"/>
  <c r="E330" i="2"/>
  <c r="D362" i="3"/>
  <c r="E331" i="2"/>
  <c r="D846" i="3"/>
  <c r="E332" i="2"/>
  <c r="D847" i="3"/>
  <c r="E333" i="2"/>
  <c r="D464" i="3"/>
  <c r="E334" i="2"/>
  <c r="D568" i="3"/>
  <c r="E335" i="2"/>
  <c r="D769" i="3"/>
  <c r="E336" i="2"/>
  <c r="D848" i="3"/>
  <c r="E337" i="2"/>
  <c r="D1418" i="3"/>
  <c r="E338" i="2"/>
  <c r="D569" i="3"/>
  <c r="E339" i="2"/>
  <c r="D668" i="3"/>
  <c r="E340" i="2"/>
  <c r="D1238" i="3"/>
  <c r="E341" i="2"/>
  <c r="D669" i="3"/>
  <c r="E342" i="2"/>
  <c r="D1239" i="3"/>
  <c r="E343" i="2"/>
  <c r="D1319" i="3"/>
  <c r="E344" i="2"/>
  <c r="D282" i="3"/>
  <c r="E345" i="2"/>
  <c r="D950" i="3"/>
  <c r="E346" i="2"/>
  <c r="D1320" i="3"/>
  <c r="E347" i="2"/>
  <c r="D27" i="3"/>
  <c r="E348" i="2"/>
  <c r="D1061" i="3"/>
  <c r="E349" i="2"/>
  <c r="D570" i="3"/>
  <c r="E350" i="2"/>
  <c r="D849" i="3"/>
  <c r="E351" i="2"/>
  <c r="D119" i="3"/>
  <c r="E352" i="2"/>
  <c r="D670" i="3"/>
  <c r="E353" i="2"/>
  <c r="D850" i="3"/>
  <c r="E354" i="2"/>
  <c r="D1062" i="3"/>
  <c r="E355" i="2"/>
  <c r="D120" i="3"/>
  <c r="E356" i="2"/>
  <c r="D283" i="3"/>
  <c r="E357" i="2"/>
  <c r="D204" i="3"/>
  <c r="E358" i="2"/>
  <c r="D205" i="3"/>
  <c r="E359" i="2"/>
  <c r="D1419" i="3"/>
  <c r="E360" i="2"/>
  <c r="D284" i="3"/>
  <c r="E361" i="2"/>
  <c r="D571" i="3"/>
  <c r="E362" i="2"/>
  <c r="D121" i="3"/>
  <c r="E363" i="2"/>
  <c r="D1321" i="3"/>
  <c r="E364" i="2"/>
  <c r="D851" i="3"/>
  <c r="E365" i="2"/>
  <c r="D572" i="3"/>
  <c r="E366" i="2"/>
  <c r="D1322" i="3"/>
  <c r="E367" i="2"/>
  <c r="D1159" i="3"/>
  <c r="E368" i="2"/>
  <c r="D122" i="3"/>
  <c r="E369" i="2"/>
  <c r="D363" i="3"/>
  <c r="E370" i="2"/>
  <c r="D206" i="3"/>
  <c r="E371" i="2"/>
  <c r="D1063" i="3"/>
  <c r="E372" i="2"/>
  <c r="D1064" i="3"/>
  <c r="E373" i="2"/>
  <c r="D951" i="3"/>
  <c r="E374" i="2"/>
  <c r="D123" i="3"/>
  <c r="E375" i="2"/>
  <c r="D207" i="3"/>
  <c r="E376" i="2"/>
  <c r="D28" i="3"/>
  <c r="E377" i="2"/>
  <c r="D852" i="3"/>
  <c r="E378" i="2"/>
  <c r="D285" i="3"/>
  <c r="E379" i="2"/>
  <c r="D208" i="3"/>
  <c r="E380" i="2"/>
  <c r="D1160" i="3"/>
  <c r="E381" i="2"/>
  <c r="D364" i="3"/>
  <c r="E382" i="2"/>
  <c r="D1161" i="3"/>
  <c r="E383" i="2"/>
  <c r="D286" i="3"/>
  <c r="E384" i="2"/>
  <c r="D365" i="3"/>
  <c r="E385" i="2"/>
  <c r="D770" i="3"/>
  <c r="E386" i="2"/>
  <c r="D1065" i="3"/>
  <c r="E387" i="2"/>
  <c r="D287" i="3"/>
  <c r="E388" i="2"/>
  <c r="D124" i="3"/>
  <c r="E389" i="2"/>
  <c r="D1323" i="3"/>
  <c r="E390" i="2"/>
  <c r="D671" i="3"/>
  <c r="E391" i="2"/>
  <c r="D1162" i="3"/>
  <c r="E392" i="2"/>
  <c r="D1324" i="3"/>
  <c r="E393" i="2"/>
  <c r="D1325" i="3"/>
  <c r="E394" i="2"/>
  <c r="D952" i="3"/>
  <c r="E395" i="2"/>
  <c r="D953" i="3"/>
  <c r="E396" i="2"/>
  <c r="D771" i="3"/>
  <c r="E397" i="2"/>
  <c r="D209" i="3"/>
  <c r="E398" i="2"/>
  <c r="D853" i="3"/>
  <c r="E399" i="2"/>
  <c r="D954" i="3"/>
  <c r="E400" i="2"/>
  <c r="D772" i="3"/>
  <c r="E401" i="2"/>
  <c r="D672" i="3"/>
  <c r="E402" i="2"/>
  <c r="D1163" i="3"/>
  <c r="E403" i="2"/>
  <c r="D1240" i="3"/>
  <c r="E404" i="2"/>
  <c r="D465" i="3"/>
  <c r="E405" i="2"/>
  <c r="D288" i="3"/>
  <c r="E406" i="2"/>
  <c r="D854" i="3"/>
  <c r="E407" i="2"/>
  <c r="D289" i="3"/>
  <c r="E408" i="2"/>
  <c r="D366" i="3"/>
  <c r="E409" i="2"/>
  <c r="D29" i="3"/>
  <c r="E410" i="2"/>
  <c r="D290" i="3"/>
  <c r="E411" i="2"/>
  <c r="D1420" i="3"/>
  <c r="E412" i="2"/>
  <c r="D573" i="3"/>
  <c r="E413" i="2"/>
  <c r="D773" i="3"/>
  <c r="E414" i="2"/>
  <c r="D673" i="3"/>
  <c r="E415" i="2"/>
  <c r="D210" i="3"/>
  <c r="E416" i="2"/>
  <c r="D1066" i="3"/>
  <c r="E417" i="2"/>
  <c r="D125" i="3"/>
  <c r="E418" i="2"/>
  <c r="D1164" i="3"/>
  <c r="E419" i="2"/>
  <c r="D211" i="3"/>
  <c r="E420" i="2"/>
  <c r="D30" i="3"/>
  <c r="E421" i="2"/>
  <c r="D1241" i="3"/>
  <c r="E422" i="2"/>
  <c r="D855" i="3"/>
  <c r="E423" i="2"/>
  <c r="D466" i="3"/>
  <c r="E424" i="2"/>
  <c r="D1421" i="3"/>
  <c r="E425" i="2"/>
  <c r="D467" i="3"/>
  <c r="E426" i="2"/>
  <c r="D955" i="3"/>
  <c r="E427" i="2"/>
  <c r="D574" i="3"/>
  <c r="E428" i="2"/>
  <c r="D856" i="3"/>
  <c r="E429" i="2"/>
  <c r="D857" i="3"/>
  <c r="E430" i="2"/>
  <c r="D1165" i="3"/>
  <c r="E431" i="2"/>
  <c r="D858" i="3"/>
  <c r="E432" i="2"/>
  <c r="D212" i="3"/>
  <c r="E433" i="2"/>
  <c r="D956" i="3"/>
  <c r="E434" i="2"/>
  <c r="D468" i="3"/>
  <c r="E435" i="2"/>
  <c r="D774" i="3"/>
  <c r="E436" i="2"/>
  <c r="D775" i="3"/>
  <c r="E437" i="2"/>
  <c r="D1166" i="3"/>
  <c r="E438" i="2"/>
  <c r="D1422" i="3"/>
  <c r="E439" i="2"/>
  <c r="D1326" i="3"/>
  <c r="E440" i="2"/>
  <c r="D213" i="3"/>
  <c r="E441" i="2"/>
  <c r="D1327" i="3"/>
  <c r="E442" i="2"/>
  <c r="D31" i="3"/>
  <c r="E443" i="2"/>
  <c r="D32" i="3"/>
  <c r="E444" i="2"/>
  <c r="D469" i="3"/>
  <c r="E445" i="2"/>
  <c r="D33" i="3"/>
  <c r="E446" i="2"/>
  <c r="D1423" i="3"/>
  <c r="E447" i="2"/>
  <c r="D1242" i="3"/>
  <c r="E448" i="2"/>
  <c r="D859" i="3"/>
  <c r="E449" i="2"/>
  <c r="D957" i="3"/>
  <c r="E450" i="2"/>
  <c r="D34" i="3"/>
  <c r="E451" i="2"/>
  <c r="D126" i="3"/>
  <c r="E452" i="2"/>
  <c r="D860" i="3"/>
  <c r="E453" i="2"/>
  <c r="D1067" i="3"/>
  <c r="E454" i="2"/>
  <c r="D1328" i="3"/>
  <c r="E455" i="2"/>
  <c r="D1424" i="3"/>
  <c r="E456" i="2"/>
  <c r="D575" i="3"/>
  <c r="E457" i="2"/>
  <c r="D958" i="3"/>
  <c r="E458" i="2"/>
  <c r="D367" i="3"/>
  <c r="E459" i="2"/>
  <c r="D1243" i="3"/>
  <c r="E460" i="2"/>
  <c r="D1068" i="3"/>
  <c r="E461" i="2"/>
  <c r="D861" i="3"/>
  <c r="E462" i="2"/>
  <c r="D127" i="3"/>
  <c r="E463" i="2"/>
  <c r="D862" i="3"/>
  <c r="E464" i="2"/>
  <c r="D214" i="3"/>
  <c r="E465" i="2"/>
  <c r="D576" i="3"/>
  <c r="E466" i="2"/>
  <c r="D1069" i="3"/>
  <c r="E467" i="2"/>
  <c r="D1167" i="3"/>
  <c r="E468" i="2"/>
  <c r="D215" i="3"/>
  <c r="E469" i="2"/>
  <c r="D577" i="3"/>
  <c r="E470" i="2"/>
  <c r="D1244" i="3"/>
  <c r="E471" i="2"/>
  <c r="D368" i="3"/>
  <c r="E472" i="2"/>
  <c r="D959" i="3"/>
  <c r="E473" i="2"/>
  <c r="D1425" i="3"/>
  <c r="E474" i="2"/>
  <c r="D216" i="3"/>
  <c r="E475" i="2"/>
  <c r="D1329" i="3"/>
  <c r="E476" i="2"/>
  <c r="D369" i="3"/>
  <c r="E477" i="2"/>
  <c r="D1245" i="3"/>
  <c r="E478" i="2"/>
  <c r="D578" i="3"/>
  <c r="E479" i="2"/>
  <c r="D1426" i="3"/>
  <c r="E480" i="2"/>
  <c r="D370" i="3"/>
  <c r="E481" i="2"/>
  <c r="D1427" i="3"/>
  <c r="E482" i="2"/>
  <c r="D1428" i="3"/>
  <c r="E483" i="2"/>
  <c r="D1429" i="3"/>
  <c r="E484" i="2"/>
  <c r="D470" i="3"/>
  <c r="E485" i="2"/>
  <c r="D1330" i="3"/>
  <c r="E486" i="2"/>
  <c r="D291" i="3"/>
  <c r="E487" i="2"/>
  <c r="D960" i="3"/>
  <c r="E488" i="2"/>
  <c r="D1331" i="3"/>
  <c r="E489" i="2"/>
  <c r="D863" i="3"/>
  <c r="E490" i="2"/>
  <c r="D1332" i="3"/>
  <c r="E491" i="2"/>
  <c r="D674" i="3"/>
  <c r="E492" i="2"/>
  <c r="D128" i="3"/>
  <c r="E493" i="2"/>
  <c r="D1168" i="3"/>
  <c r="E494" i="2"/>
  <c r="D1246" i="3"/>
  <c r="E495" i="2"/>
  <c r="D292" i="3"/>
  <c r="E496" i="2"/>
  <c r="D864" i="3"/>
  <c r="E497" i="2"/>
  <c r="D129" i="3"/>
  <c r="E498" i="2"/>
  <c r="D961" i="3"/>
  <c r="E499" i="2"/>
  <c r="D776" i="3"/>
  <c r="E500" i="2"/>
  <c r="D293" i="3"/>
  <c r="E501" i="2"/>
  <c r="D1333" i="3"/>
  <c r="E502" i="2"/>
  <c r="D579" i="3"/>
  <c r="E503" i="2"/>
  <c r="D777" i="3"/>
  <c r="E504" i="2"/>
  <c r="D580" i="3"/>
  <c r="E505" i="2"/>
  <c r="D865" i="3"/>
  <c r="E506" i="2"/>
  <c r="D866" i="3"/>
  <c r="E507" i="2"/>
  <c r="D1169" i="3"/>
  <c r="E508" i="2"/>
  <c r="D1247" i="3"/>
  <c r="E509" i="2"/>
  <c r="D1430" i="3"/>
  <c r="E510" i="2"/>
  <c r="D217" i="3"/>
  <c r="E511" i="2"/>
  <c r="D130" i="3"/>
  <c r="E512" i="2"/>
  <c r="D131" i="3"/>
  <c r="E513" i="2"/>
  <c r="D471" i="3"/>
  <c r="E514" i="2"/>
  <c r="D294" i="3"/>
  <c r="E515" i="2"/>
  <c r="D962" i="3"/>
  <c r="E516" i="2"/>
  <c r="D1170" i="3"/>
  <c r="E517" i="2"/>
  <c r="D675" i="3"/>
  <c r="E518" i="2"/>
  <c r="D676" i="3"/>
  <c r="E519" i="2"/>
  <c r="D472" i="3"/>
  <c r="E520" i="2"/>
  <c r="D218" i="3"/>
  <c r="E521" i="2"/>
  <c r="D1431" i="3"/>
  <c r="E522" i="2"/>
  <c r="D1248" i="3"/>
  <c r="E523" i="2"/>
  <c r="D219" i="3"/>
  <c r="E524" i="2"/>
  <c r="D1070" i="3"/>
  <c r="E525" i="2"/>
  <c r="D581" i="3"/>
  <c r="E526" i="2"/>
  <c r="D582" i="3"/>
  <c r="E527" i="2"/>
  <c r="D1171" i="3"/>
  <c r="E528" i="2"/>
  <c r="D867" i="3"/>
  <c r="E529" i="2"/>
  <c r="D1172" i="3"/>
  <c r="E530" i="2"/>
  <c r="D371" i="3"/>
  <c r="E531" i="2"/>
  <c r="D1432" i="3"/>
  <c r="E532" i="2"/>
  <c r="D132" i="3"/>
  <c r="E533" i="2"/>
  <c r="D963" i="3"/>
  <c r="E534" i="2"/>
  <c r="D677" i="3"/>
  <c r="E535" i="2"/>
  <c r="D868" i="3"/>
  <c r="E536" i="2"/>
  <c r="D35" i="3"/>
  <c r="E537" i="2"/>
  <c r="D583" i="3"/>
  <c r="E538" i="2"/>
  <c r="D36" i="3"/>
  <c r="E539" i="2"/>
  <c r="D372" i="3"/>
  <c r="E540" i="2"/>
  <c r="D37" i="3"/>
  <c r="E541" i="2"/>
  <c r="D1249" i="3"/>
  <c r="E542" i="2"/>
  <c r="D584" i="3"/>
  <c r="E543" i="2"/>
  <c r="D964" i="3"/>
  <c r="E544" i="2"/>
  <c r="D869" i="3"/>
  <c r="E545" i="2"/>
  <c r="D373" i="3"/>
  <c r="E546" i="2"/>
  <c r="D38" i="3"/>
  <c r="E547" i="2"/>
  <c r="D473" i="3"/>
  <c r="E548" i="2"/>
  <c r="D133" i="3"/>
  <c r="E549" i="2"/>
  <c r="D1433" i="3"/>
  <c r="E550" i="2"/>
  <c r="D39" i="3"/>
  <c r="E551" i="2"/>
  <c r="D1250" i="3"/>
  <c r="E552" i="2"/>
  <c r="D585" i="3"/>
  <c r="E553" i="2"/>
  <c r="D374" i="3"/>
  <c r="E554" i="2"/>
  <c r="D1071" i="3"/>
  <c r="E555" i="2"/>
  <c r="D1072" i="3"/>
  <c r="E556" i="2"/>
  <c r="D1434" i="3"/>
  <c r="E557" i="2"/>
  <c r="D1173" i="3"/>
  <c r="E558" i="2"/>
  <c r="D1435" i="3"/>
  <c r="E559" i="2"/>
  <c r="D375" i="3"/>
  <c r="E560" i="2"/>
  <c r="D134" i="3"/>
  <c r="E561" i="2"/>
  <c r="D376" i="3"/>
  <c r="E562" i="2"/>
  <c r="D135" i="3"/>
  <c r="E563" i="2"/>
  <c r="D1073" i="3"/>
  <c r="E564" i="2"/>
  <c r="D778" i="3"/>
  <c r="E565" i="2"/>
  <c r="D136" i="3"/>
  <c r="E566" i="2"/>
  <c r="D1074" i="3"/>
  <c r="E567" i="2"/>
  <c r="D377" i="3"/>
  <c r="E568" i="2"/>
  <c r="D40" i="3"/>
  <c r="E569" i="2"/>
  <c r="D965" i="3"/>
  <c r="E570" i="2"/>
  <c r="D678" i="3"/>
  <c r="E571" i="2"/>
  <c r="D137" i="3"/>
  <c r="E572" i="2"/>
  <c r="D966" i="3"/>
  <c r="E573" i="2"/>
  <c r="D1334" i="3"/>
  <c r="E574" i="2"/>
  <c r="D1436" i="3"/>
  <c r="E575" i="2"/>
  <c r="D586" i="3"/>
  <c r="E576" i="2"/>
  <c r="D1174" i="3"/>
  <c r="E577" i="2"/>
  <c r="D474" i="3"/>
  <c r="E578" i="2"/>
  <c r="D1251" i="3"/>
  <c r="E579" i="2"/>
  <c r="D967" i="3"/>
  <c r="E580" i="2"/>
  <c r="D295" i="3"/>
  <c r="E581" i="2"/>
  <c r="D587" i="3"/>
  <c r="E582" i="2"/>
  <c r="D475" i="3"/>
  <c r="E583" i="2"/>
  <c r="D476" i="3"/>
  <c r="E584" i="2"/>
  <c r="D779" i="3"/>
  <c r="E585" i="2"/>
  <c r="D378" i="3"/>
  <c r="E586" i="2"/>
  <c r="D1335" i="3"/>
  <c r="E587" i="2"/>
  <c r="D780" i="3"/>
  <c r="E588" i="2"/>
  <c r="D588" i="3"/>
  <c r="E589" i="2"/>
  <c r="D220" i="3"/>
  <c r="E590" i="2"/>
  <c r="D1075" i="3"/>
  <c r="E591" i="2"/>
  <c r="D1437" i="3"/>
  <c r="E592" i="2"/>
  <c r="D781" i="3"/>
  <c r="E593" i="2"/>
  <c r="D1336" i="3"/>
  <c r="E594" i="2"/>
  <c r="D138" i="3"/>
  <c r="E595" i="2"/>
  <c r="D589" i="3"/>
  <c r="E596" i="2"/>
  <c r="D679" i="3"/>
  <c r="E597" i="2"/>
  <c r="D221" i="3"/>
  <c r="E598" i="2"/>
  <c r="D477" i="3"/>
  <c r="E599" i="2"/>
  <c r="D1175" i="3"/>
  <c r="E600" i="2"/>
  <c r="D478" i="3"/>
  <c r="E601" i="2"/>
  <c r="D1176" i="3"/>
  <c r="E602" i="2"/>
  <c r="D296" i="3"/>
  <c r="E603" i="2"/>
  <c r="D1076" i="3"/>
  <c r="E604" i="2"/>
  <c r="D222" i="3"/>
  <c r="E605" i="2"/>
  <c r="D1252" i="3"/>
  <c r="E606" i="2"/>
  <c r="D139" i="3"/>
  <c r="E607" i="2"/>
  <c r="D968" i="3"/>
  <c r="E608" i="2"/>
  <c r="D969" i="3"/>
  <c r="E609" i="2"/>
  <c r="D1253" i="3"/>
  <c r="E610" i="2"/>
  <c r="D1254" i="3"/>
  <c r="E611" i="2"/>
  <c r="D1438" i="3"/>
  <c r="E612" i="2"/>
  <c r="D223" i="3"/>
  <c r="E613" i="2"/>
  <c r="D870" i="3"/>
  <c r="E614" i="2"/>
  <c r="D871" i="3"/>
  <c r="E615" i="2"/>
  <c r="D1337" i="3"/>
  <c r="E616" i="2"/>
  <c r="D970" i="3"/>
  <c r="E617" i="2"/>
  <c r="D1177" i="3"/>
  <c r="E618" i="2"/>
  <c r="D782" i="3"/>
  <c r="E619" i="2"/>
  <c r="D1255" i="3"/>
  <c r="E620" i="2"/>
  <c r="D1256" i="3"/>
  <c r="E621" i="2"/>
  <c r="D1077" i="3"/>
  <c r="E622" i="2"/>
  <c r="D1257" i="3"/>
  <c r="E623" i="2"/>
  <c r="D297" i="3"/>
  <c r="E624" i="2"/>
  <c r="D1258" i="3"/>
  <c r="E625" i="2"/>
  <c r="D379" i="3"/>
  <c r="E626" i="2"/>
  <c r="D380" i="3"/>
  <c r="E627" i="2"/>
  <c r="D41" i="3"/>
  <c r="E628" i="2"/>
  <c r="D872" i="3"/>
  <c r="E629" i="2"/>
  <c r="D1338" i="3"/>
  <c r="E630" i="2"/>
  <c r="D140" i="3"/>
  <c r="E631" i="2"/>
  <c r="D873" i="3"/>
  <c r="E632" i="2"/>
  <c r="D1078" i="3"/>
  <c r="E633" i="2"/>
  <c r="D298" i="3"/>
  <c r="E634" i="2"/>
  <c r="D1259" i="3"/>
  <c r="E635" i="2"/>
  <c r="D1439" i="3"/>
  <c r="E636" i="2"/>
  <c r="D42" i="3"/>
  <c r="E637" i="2"/>
  <c r="D1260" i="3"/>
  <c r="E638" i="2"/>
  <c r="D224" i="3"/>
  <c r="E639" i="2"/>
  <c r="D874" i="3"/>
  <c r="E640" i="2"/>
  <c r="D1079" i="3"/>
  <c r="E641" i="2"/>
  <c r="D225" i="3"/>
  <c r="E642" i="2"/>
  <c r="D680" i="3"/>
  <c r="E643" i="2"/>
  <c r="D141" i="3"/>
  <c r="E644" i="2"/>
  <c r="D590" i="3"/>
  <c r="E645" i="2"/>
  <c r="D783" i="3"/>
  <c r="E646" i="2"/>
  <c r="D1440" i="3"/>
  <c r="E647" i="2"/>
  <c r="D681" i="3"/>
  <c r="E648" i="2"/>
  <c r="D479" i="3"/>
  <c r="E649" i="2"/>
  <c r="D1339" i="3"/>
  <c r="E650" i="2"/>
  <c r="D682" i="3"/>
  <c r="E651" i="2"/>
  <c r="D299" i="3"/>
  <c r="E652" i="2"/>
  <c r="D300" i="3"/>
  <c r="E653" i="2"/>
  <c r="D971" i="3"/>
  <c r="E654" i="2"/>
  <c r="D1178" i="3"/>
  <c r="E655" i="2"/>
  <c r="D591" i="3"/>
  <c r="E656" i="2"/>
  <c r="D480" i="3"/>
  <c r="E657" i="2"/>
  <c r="D875" i="3"/>
  <c r="E658" i="2"/>
  <c r="D381" i="3"/>
  <c r="E659" i="2"/>
  <c r="D784" i="3"/>
  <c r="E660" i="2"/>
  <c r="D592" i="3"/>
  <c r="E661" i="2"/>
  <c r="D876" i="3"/>
  <c r="E662" i="2"/>
  <c r="D382" i="3"/>
  <c r="E663" i="2"/>
  <c r="D877" i="3"/>
  <c r="E664" i="2"/>
  <c r="D301" i="3"/>
  <c r="E665" i="2"/>
  <c r="D1080" i="3"/>
  <c r="E666" i="2"/>
  <c r="D1261" i="3"/>
  <c r="E667" i="2"/>
  <c r="D1179" i="3"/>
  <c r="E668" i="2"/>
  <c r="D785" i="3"/>
  <c r="E669" i="2"/>
  <c r="D481" i="3"/>
  <c r="E670" i="2"/>
  <c r="D142" i="3"/>
  <c r="E671" i="2"/>
  <c r="D302" i="3"/>
  <c r="E672" i="2"/>
  <c r="D972" i="3"/>
  <c r="E673" i="2"/>
  <c r="D482" i="3"/>
  <c r="E674" i="2"/>
  <c r="D973" i="3"/>
  <c r="E675" i="2"/>
  <c r="D303" i="3"/>
  <c r="E676" i="2"/>
  <c r="D683" i="3"/>
  <c r="E677" i="2"/>
  <c r="D383" i="3"/>
  <c r="E678" i="2"/>
  <c r="D43" i="3"/>
  <c r="E679" i="2"/>
  <c r="D1340" i="3"/>
  <c r="E680" i="2"/>
  <c r="D304" i="3"/>
  <c r="E681" i="2"/>
  <c r="D483" i="3"/>
  <c r="E682" i="2"/>
  <c r="D1441" i="3"/>
  <c r="E683" i="2"/>
  <c r="D1442" i="3"/>
  <c r="E684" i="2"/>
  <c r="D1443" i="3"/>
  <c r="E685" i="2"/>
  <c r="D1341" i="3"/>
  <c r="E686" i="2"/>
  <c r="D305" i="3"/>
  <c r="E687" i="2"/>
  <c r="D878" i="3"/>
  <c r="E688" i="2"/>
  <c r="D384" i="3"/>
  <c r="E689" i="2"/>
  <c r="D226" i="3"/>
  <c r="E690" i="2"/>
  <c r="D1081" i="3"/>
  <c r="E691" i="2"/>
  <c r="D879" i="3"/>
  <c r="E692" i="2"/>
  <c r="D1444" i="3"/>
  <c r="E693" i="2"/>
  <c r="D44" i="3"/>
  <c r="E694" i="2"/>
  <c r="D1342" i="3"/>
  <c r="E695" i="2"/>
  <c r="D1262" i="3"/>
  <c r="E696" i="2"/>
  <c r="D684" i="3"/>
  <c r="E697" i="2"/>
  <c r="D143" i="3"/>
  <c r="E698" i="2"/>
  <c r="D685" i="3"/>
  <c r="E699" i="2"/>
  <c r="D227" i="3"/>
  <c r="E700" i="2"/>
  <c r="D144" i="3"/>
  <c r="E701" i="2"/>
  <c r="D1180" i="3"/>
  <c r="E702" i="2"/>
  <c r="D145" i="3"/>
  <c r="E703" i="2"/>
  <c r="D306" i="3"/>
  <c r="E704" i="2"/>
  <c r="D974" i="3"/>
  <c r="E705" i="2"/>
  <c r="D880" i="3"/>
  <c r="E706" i="2"/>
  <c r="D686" i="3"/>
  <c r="E707" i="2"/>
  <c r="D1082" i="3"/>
  <c r="E708" i="2"/>
  <c r="D1445" i="3"/>
  <c r="E709" i="2"/>
  <c r="D1446" i="3"/>
  <c r="E710" i="2"/>
  <c r="D146" i="3"/>
  <c r="E711" i="2"/>
  <c r="D881" i="3"/>
  <c r="E712" i="2"/>
  <c r="D1343" i="3"/>
  <c r="E713" i="2"/>
  <c r="D1344" i="3"/>
  <c r="E714" i="2"/>
  <c r="D882" i="3"/>
  <c r="E715" i="2"/>
  <c r="D45" i="3"/>
  <c r="E716" i="2"/>
  <c r="D147" i="3"/>
  <c r="E717" i="2"/>
  <c r="D46" i="3"/>
  <c r="E718" i="2"/>
  <c r="D593" i="3"/>
  <c r="E719" i="2"/>
  <c r="D687" i="3"/>
  <c r="E720" i="2"/>
  <c r="D1447" i="3"/>
  <c r="E721" i="2"/>
  <c r="D307" i="3"/>
  <c r="E722" i="2"/>
  <c r="D975" i="3"/>
  <c r="E723" i="2"/>
  <c r="D976" i="3"/>
  <c r="E724" i="2"/>
  <c r="D385" i="3"/>
  <c r="E725" i="2"/>
  <c r="D308" i="3"/>
  <c r="E726" i="2"/>
  <c r="D688" i="3"/>
  <c r="E727" i="2"/>
  <c r="D1345" i="3"/>
  <c r="E728" i="2"/>
  <c r="D47" i="3"/>
  <c r="E729" i="2"/>
  <c r="D386" i="3"/>
  <c r="E730" i="2"/>
  <c r="D1263" i="3"/>
  <c r="E731" i="2"/>
  <c r="D484" i="3"/>
  <c r="E732" i="2"/>
  <c r="D485" i="3"/>
  <c r="E733" i="2"/>
  <c r="D594" i="3"/>
  <c r="E734" i="2"/>
  <c r="D1448" i="3"/>
  <c r="E735" i="2"/>
  <c r="D1449" i="3"/>
  <c r="E736" i="2"/>
  <c r="D786" i="3"/>
  <c r="E737" i="2"/>
  <c r="D977" i="3"/>
  <c r="E738" i="2"/>
  <c r="D387" i="3"/>
  <c r="E739" i="2"/>
  <c r="D689" i="3"/>
  <c r="E740" i="2"/>
  <c r="D883" i="3"/>
  <c r="E741" i="2"/>
  <c r="D1450" i="3"/>
  <c r="E742" i="2"/>
  <c r="D690" i="3"/>
  <c r="E743" i="2"/>
  <c r="D691" i="3"/>
  <c r="E744" i="2"/>
  <c r="D787" i="3"/>
  <c r="E745" i="2"/>
  <c r="D48" i="3"/>
  <c r="E746" i="2"/>
  <c r="D978" i="3"/>
  <c r="E747" i="2"/>
  <c r="D49" i="3"/>
  <c r="E748" i="2"/>
  <c r="D1083" i="3"/>
  <c r="E749" i="2"/>
  <c r="D228" i="3"/>
  <c r="E750" i="2"/>
  <c r="D692" i="3"/>
  <c r="E751" i="2"/>
  <c r="D1181" i="3"/>
  <c r="E752" i="2"/>
  <c r="D1084" i="3"/>
  <c r="E753" i="2"/>
  <c r="D693" i="3"/>
  <c r="E754" i="2"/>
  <c r="D979" i="3"/>
  <c r="E755" i="2"/>
  <c r="D1346" i="3"/>
  <c r="E756" i="2"/>
  <c r="D148" i="3"/>
  <c r="E757" i="2"/>
  <c r="D595" i="3"/>
  <c r="E758" i="2"/>
  <c r="D1264" i="3"/>
  <c r="E759" i="2"/>
  <c r="D1347" i="3"/>
  <c r="E760" i="2"/>
  <c r="D1451" i="3"/>
  <c r="E761" i="2"/>
  <c r="D486" i="3"/>
  <c r="E762" i="2"/>
  <c r="D388" i="3"/>
  <c r="E763" i="2"/>
  <c r="D50" i="3"/>
  <c r="E764" i="2"/>
  <c r="D487" i="3"/>
  <c r="E765" i="2"/>
  <c r="D1265" i="3"/>
  <c r="E766" i="2"/>
  <c r="D1348" i="3"/>
  <c r="E767" i="2"/>
  <c r="D389" i="3"/>
  <c r="E768" i="2"/>
  <c r="D1085" i="3"/>
  <c r="E769" i="2"/>
  <c r="D1182" i="3"/>
  <c r="E770" i="2"/>
  <c r="D788" i="3"/>
  <c r="E771" i="2"/>
  <c r="D229" i="3"/>
  <c r="E772" i="2"/>
  <c r="D694" i="3"/>
  <c r="E773" i="2"/>
  <c r="D488" i="3"/>
  <c r="E774" i="2"/>
  <c r="D390" i="3"/>
  <c r="E775" i="2"/>
  <c r="D1086" i="3"/>
  <c r="E776" i="2"/>
  <c r="D51" i="3"/>
  <c r="E777" i="2"/>
  <c r="D1087" i="3"/>
  <c r="E778" i="2"/>
  <c r="D980" i="3"/>
  <c r="E779" i="2"/>
  <c r="D391" i="3"/>
  <c r="E780" i="2"/>
  <c r="D1088" i="3"/>
  <c r="E781" i="2"/>
  <c r="D596" i="3"/>
  <c r="E782" i="2"/>
  <c r="D1089" i="3"/>
  <c r="E783" i="2"/>
  <c r="D149" i="3"/>
  <c r="E784" i="2"/>
  <c r="D1090" i="3"/>
  <c r="E785" i="2"/>
  <c r="D309" i="3"/>
  <c r="E786" i="2"/>
  <c r="D1452" i="3"/>
  <c r="E787" i="2"/>
  <c r="D981" i="3"/>
  <c r="E788" i="2"/>
  <c r="D1453" i="3"/>
  <c r="E789" i="2"/>
  <c r="D489" i="3"/>
  <c r="E790" i="2"/>
  <c r="D150" i="3"/>
  <c r="E791" i="2"/>
  <c r="D884" i="3"/>
  <c r="E792" i="2"/>
  <c r="D695" i="3"/>
  <c r="E793" i="2"/>
  <c r="D392" i="3"/>
  <c r="E794" i="2"/>
  <c r="D885" i="3"/>
  <c r="E795" i="2"/>
  <c r="D696" i="3"/>
  <c r="E796" i="2"/>
  <c r="D1454" i="3"/>
  <c r="E797" i="2"/>
  <c r="D697" i="3"/>
  <c r="E798" i="2"/>
  <c r="D1091" i="3"/>
  <c r="E799" i="2"/>
  <c r="D393" i="3"/>
  <c r="E800" i="2"/>
  <c r="D982" i="3"/>
  <c r="E801" i="2"/>
  <c r="D490" i="3"/>
  <c r="E802" i="2"/>
  <c r="D394" i="3"/>
  <c r="E803" i="2"/>
  <c r="D491" i="3"/>
  <c r="E804" i="2"/>
  <c r="D1183" i="3"/>
  <c r="E805" i="2"/>
  <c r="D698" i="3"/>
  <c r="E806" i="2"/>
  <c r="D1349" i="3"/>
  <c r="E807" i="2"/>
  <c r="D1455" i="3"/>
  <c r="E808" i="2"/>
  <c r="D1184" i="3"/>
  <c r="E809" i="2"/>
  <c r="D597" i="3"/>
  <c r="E810" i="2"/>
  <c r="D699" i="3"/>
  <c r="E811" i="2"/>
  <c r="D1350" i="3"/>
  <c r="E812" i="2"/>
  <c r="D700" i="3"/>
  <c r="E813" i="2"/>
  <c r="D395" i="3"/>
  <c r="E814" i="2"/>
  <c r="D1185" i="3"/>
  <c r="E815" i="2"/>
  <c r="D701" i="3"/>
  <c r="E816" i="2"/>
  <c r="D1092" i="3"/>
  <c r="E817" i="2"/>
  <c r="D789" i="3"/>
  <c r="E818" i="2"/>
  <c r="D702" i="3"/>
  <c r="E819" i="2"/>
  <c r="D1351" i="3"/>
  <c r="E820" i="2"/>
  <c r="D52" i="3"/>
  <c r="E821" i="2"/>
  <c r="D1093" i="3"/>
  <c r="E822" i="2"/>
  <c r="D492" i="3"/>
  <c r="E823" i="2"/>
  <c r="D703" i="3"/>
  <c r="E824" i="2"/>
  <c r="D1266" i="3"/>
  <c r="E825" i="2"/>
  <c r="D1094" i="3"/>
  <c r="E826" i="2"/>
  <c r="D983" i="3"/>
  <c r="E827" i="2"/>
  <c r="D1095" i="3"/>
  <c r="E828" i="2"/>
  <c r="D396" i="3"/>
  <c r="E829" i="2"/>
  <c r="D1186" i="3"/>
  <c r="E830" i="2"/>
  <c r="D704" i="3"/>
  <c r="E831" i="2"/>
  <c r="D598" i="3"/>
  <c r="E832" i="2"/>
  <c r="D1352" i="3"/>
  <c r="E833" i="2"/>
  <c r="D397" i="3"/>
  <c r="E834" i="2"/>
  <c r="D1353" i="3"/>
  <c r="E835" i="2"/>
  <c r="D493" i="3"/>
  <c r="E836" i="2"/>
  <c r="D886" i="3"/>
  <c r="E837" i="2"/>
  <c r="D230" i="3"/>
  <c r="E838" i="2"/>
  <c r="D1267" i="3"/>
  <c r="E839" i="2"/>
  <c r="D887" i="3"/>
  <c r="E840" i="2"/>
  <c r="D705" i="3"/>
  <c r="E841" i="2"/>
  <c r="D398" i="3"/>
  <c r="E842" i="2"/>
  <c r="D53" i="3"/>
  <c r="E843" i="2"/>
  <c r="D1268" i="3"/>
  <c r="E844" i="2"/>
  <c r="D1456" i="3"/>
  <c r="E845" i="2"/>
  <c r="D1269" i="3"/>
  <c r="E846" i="2"/>
  <c r="D790" i="3"/>
  <c r="E847" i="2"/>
  <c r="D494" i="3"/>
  <c r="E848" i="2"/>
  <c r="D888" i="3"/>
  <c r="E849" i="2"/>
  <c r="D984" i="3"/>
  <c r="E850" i="2"/>
  <c r="D1187" i="3"/>
  <c r="E851" i="2"/>
  <c r="D791" i="3"/>
  <c r="E852" i="2"/>
  <c r="D1096" i="3"/>
  <c r="E853" i="2"/>
  <c r="D1097" i="3"/>
  <c r="E854" i="2"/>
  <c r="D1354" i="3"/>
  <c r="E855" i="2"/>
  <c r="D1188" i="3"/>
  <c r="E856" i="2"/>
  <c r="D495" i="3"/>
  <c r="E857" i="2"/>
  <c r="D1355" i="3"/>
  <c r="E858" i="2"/>
  <c r="D231" i="3"/>
  <c r="E859" i="2"/>
  <c r="D1457" i="3"/>
  <c r="E860" i="2"/>
  <c r="D1270" i="3"/>
  <c r="E861" i="2"/>
  <c r="D310" i="3"/>
  <c r="E862" i="2"/>
  <c r="D54" i="3"/>
  <c r="E863" i="2"/>
  <c r="D985" i="3"/>
  <c r="E864" i="2"/>
  <c r="D151" i="3"/>
  <c r="E865" i="2"/>
  <c r="D311" i="3"/>
  <c r="E866" i="2"/>
  <c r="D889" i="3"/>
  <c r="E867" i="2"/>
  <c r="D152" i="3"/>
  <c r="E868" i="2"/>
  <c r="D986" i="3"/>
  <c r="E869" i="2"/>
  <c r="D496" i="3"/>
  <c r="E870" i="2"/>
  <c r="D890" i="3"/>
  <c r="E871" i="2"/>
  <c r="D1271" i="3"/>
  <c r="E872" i="2"/>
  <c r="D312" i="3"/>
  <c r="E873" i="2"/>
  <c r="D987" i="3"/>
  <c r="E874" i="2"/>
  <c r="D599" i="3"/>
  <c r="E875" i="2"/>
  <c r="D706" i="3"/>
  <c r="E876" i="2"/>
  <c r="D1458" i="3"/>
  <c r="E877" i="2"/>
  <c r="D1356" i="3"/>
  <c r="E878" i="2"/>
  <c r="D1459" i="3"/>
  <c r="E879" i="2"/>
  <c r="D1460" i="3"/>
  <c r="E880" i="2"/>
  <c r="D497" i="3"/>
  <c r="E881" i="2"/>
  <c r="D55" i="3"/>
  <c r="E882" i="2"/>
  <c r="D988" i="3"/>
  <c r="E883" i="2"/>
  <c r="D1098" i="3"/>
  <c r="E884" i="2"/>
  <c r="D399" i="3"/>
  <c r="E885" i="2"/>
  <c r="D232" i="3"/>
  <c r="E886" i="2"/>
  <c r="D153" i="3"/>
  <c r="E887" i="2"/>
  <c r="D891" i="3"/>
  <c r="E888" i="2"/>
  <c r="D989" i="3"/>
  <c r="E889" i="2"/>
  <c r="D792" i="3"/>
  <c r="E890" i="2"/>
  <c r="D1357" i="3"/>
  <c r="E891" i="2"/>
  <c r="D1099" i="3"/>
  <c r="E892" i="2"/>
  <c r="D892" i="3"/>
  <c r="E893" i="2"/>
  <c r="D400" i="3"/>
  <c r="E894" i="2"/>
  <c r="D1461" i="3"/>
  <c r="E895" i="2"/>
  <c r="D401" i="3"/>
  <c r="E896" i="2"/>
  <c r="D1100" i="3"/>
  <c r="E897" i="2"/>
  <c r="D707" i="3"/>
  <c r="E898" i="2"/>
  <c r="D1462" i="3"/>
  <c r="E899" i="2"/>
  <c r="D600" i="3"/>
  <c r="E900" i="2"/>
  <c r="D1463" i="3"/>
  <c r="E901" i="2"/>
  <c r="D498" i="3"/>
  <c r="E902" i="2"/>
  <c r="D1101" i="3"/>
  <c r="E903" i="2"/>
  <c r="D154" i="3"/>
  <c r="E904" i="2"/>
  <c r="D155" i="3"/>
  <c r="E905" i="2"/>
  <c r="D708" i="3"/>
  <c r="E906" i="2"/>
  <c r="D1189" i="3"/>
  <c r="E907" i="2"/>
  <c r="D233" i="3"/>
  <c r="E908" i="2"/>
  <c r="D1464" i="3"/>
  <c r="E909" i="2"/>
  <c r="D313" i="3"/>
  <c r="E910" i="2"/>
  <c r="D234" i="3"/>
  <c r="E911" i="2"/>
  <c r="D893" i="3"/>
  <c r="E912" i="2"/>
  <c r="D601" i="3"/>
  <c r="E913" i="2"/>
  <c r="D499" i="3"/>
  <c r="E914" i="2"/>
  <c r="D56" i="3"/>
  <c r="E915" i="2"/>
  <c r="D1102" i="3"/>
  <c r="E916" i="2"/>
  <c r="D990" i="3"/>
  <c r="E917" i="2"/>
  <c r="D500" i="3"/>
  <c r="E918" i="2"/>
  <c r="D793" i="3"/>
  <c r="E919" i="2"/>
  <c r="D1103" i="3"/>
  <c r="E920" i="2"/>
  <c r="D402" i="3"/>
  <c r="E921" i="2"/>
  <c r="D501" i="3"/>
  <c r="E922" i="2"/>
  <c r="D991" i="3"/>
  <c r="E923" i="2"/>
  <c r="D502" i="3"/>
  <c r="E924" i="2"/>
  <c r="D403" i="3"/>
  <c r="E925" i="2"/>
  <c r="D1190" i="3"/>
  <c r="E926" i="2"/>
  <c r="D235" i="3"/>
  <c r="E927" i="2"/>
  <c r="D503" i="3"/>
  <c r="E928" i="2"/>
  <c r="D404" i="3"/>
  <c r="E929" i="2"/>
  <c r="D1358" i="3"/>
  <c r="E930" i="2"/>
  <c r="D1465" i="3"/>
  <c r="E931" i="2"/>
  <c r="D1359" i="3"/>
  <c r="E932" i="2"/>
  <c r="D1104" i="3"/>
  <c r="E933" i="2"/>
  <c r="D794" i="3"/>
  <c r="E934" i="2"/>
  <c r="D602" i="3"/>
  <c r="E935" i="2"/>
  <c r="D314" i="3"/>
  <c r="E936" i="2"/>
  <c r="D1105" i="3"/>
  <c r="E937" i="2"/>
  <c r="D1106" i="3"/>
  <c r="E938" i="2"/>
  <c r="D156" i="3"/>
  <c r="E939" i="2"/>
  <c r="D795" i="3"/>
  <c r="E940" i="2"/>
  <c r="D1466" i="3"/>
  <c r="E941" i="2"/>
  <c r="D992" i="3"/>
  <c r="E942" i="2"/>
  <c r="D796" i="3"/>
  <c r="E943" i="2"/>
  <c r="D57" i="3"/>
  <c r="E944" i="2"/>
  <c r="D1467" i="3"/>
  <c r="E945" i="2"/>
  <c r="D58" i="3"/>
  <c r="E946" i="2"/>
  <c r="D709" i="3"/>
  <c r="E947" i="2"/>
  <c r="D236" i="3"/>
  <c r="E948" i="2"/>
  <c r="D504" i="3"/>
  <c r="E949" i="2"/>
  <c r="D603" i="3"/>
  <c r="E950" i="2"/>
  <c r="D604" i="3"/>
  <c r="E951" i="2"/>
  <c r="D315" i="3"/>
  <c r="E952" i="2"/>
  <c r="D605" i="3"/>
  <c r="E953" i="2"/>
  <c r="D1191" i="3"/>
  <c r="E954" i="2"/>
  <c r="D405" i="3"/>
  <c r="E955" i="2"/>
  <c r="D316" i="3"/>
  <c r="E956" i="2"/>
  <c r="D1192" i="3"/>
  <c r="E957" i="2"/>
  <c r="D406" i="3"/>
  <c r="E958" i="2"/>
  <c r="D1272" i="3"/>
  <c r="E959" i="2"/>
  <c r="D1273" i="3"/>
  <c r="E960" i="2"/>
  <c r="D505" i="3"/>
  <c r="E961" i="2"/>
  <c r="D1360" i="3"/>
  <c r="E962" i="2"/>
  <c r="D1107" i="3"/>
  <c r="E963" i="2"/>
  <c r="D407" i="3"/>
  <c r="E964" i="2"/>
  <c r="D1361" i="3"/>
  <c r="E965" i="2"/>
  <c r="D237" i="3"/>
  <c r="E966" i="2"/>
  <c r="D993" i="3"/>
  <c r="E967" i="2"/>
  <c r="D317" i="3"/>
  <c r="E968" i="2"/>
  <c r="D1468" i="3"/>
  <c r="E969" i="2"/>
  <c r="D606" i="3"/>
  <c r="E970" i="2"/>
  <c r="D894" i="3"/>
  <c r="E971" i="2"/>
  <c r="D506" i="3"/>
  <c r="E972" i="2"/>
  <c r="D1362" i="3"/>
  <c r="E973" i="2"/>
  <c r="D238" i="3"/>
  <c r="E974" i="2"/>
  <c r="D710" i="3"/>
  <c r="E975" i="2"/>
  <c r="D1469" i="3"/>
  <c r="E976" i="2"/>
  <c r="D1470" i="3"/>
  <c r="E977" i="2"/>
  <c r="D59" i="3"/>
  <c r="E978" i="2"/>
  <c r="D1108" i="3"/>
  <c r="E979" i="2"/>
  <c r="D994" i="3"/>
  <c r="E980" i="2"/>
  <c r="D157" i="3"/>
  <c r="E981" i="2"/>
  <c r="D408" i="3"/>
  <c r="E982" i="2"/>
  <c r="D1471" i="3"/>
  <c r="E983" i="2"/>
  <c r="D507" i="3"/>
  <c r="E984" i="2"/>
  <c r="D797" i="3"/>
  <c r="E985" i="2"/>
  <c r="D607" i="3"/>
  <c r="E986" i="2"/>
  <c r="D608" i="3"/>
  <c r="E987" i="2"/>
  <c r="D409" i="3"/>
  <c r="E988" i="2"/>
  <c r="D1472" i="3"/>
  <c r="E989" i="2"/>
  <c r="D609" i="3"/>
  <c r="E990" i="2"/>
  <c r="D508" i="3"/>
  <c r="E991" i="2"/>
  <c r="D509" i="3"/>
  <c r="E992" i="2"/>
  <c r="D610" i="3"/>
  <c r="E993" i="2"/>
  <c r="D1274" i="3"/>
  <c r="E994" i="2"/>
  <c r="D239" i="3"/>
  <c r="E995" i="2"/>
  <c r="D1109" i="3"/>
  <c r="E996" i="2"/>
  <c r="D995" i="3"/>
  <c r="E997" i="2"/>
  <c r="D510" i="3"/>
  <c r="E998" i="2"/>
  <c r="D798" i="3"/>
  <c r="E999" i="2"/>
  <c r="D511" i="3"/>
  <c r="E1000" i="2"/>
  <c r="D996" i="3"/>
  <c r="E1001" i="2"/>
  <c r="D711" i="3"/>
  <c r="E1002" i="2"/>
  <c r="D997" i="3"/>
  <c r="E1003" i="2"/>
  <c r="D60" i="3"/>
  <c r="E1004" i="2"/>
  <c r="D611" i="3"/>
  <c r="E1005" i="2"/>
  <c r="D1110" i="3"/>
  <c r="E1006" i="2"/>
  <c r="D318" i="3"/>
  <c r="E1007" i="2"/>
  <c r="D319" i="3"/>
  <c r="E1008" i="2"/>
  <c r="D512" i="3"/>
  <c r="E1009" i="2"/>
  <c r="D712" i="3"/>
  <c r="E1010" i="2"/>
  <c r="D799" i="3"/>
  <c r="E1011" i="2"/>
  <c r="D320" i="3"/>
  <c r="E1012" i="2"/>
  <c r="D1275" i="3"/>
  <c r="E1013" i="2"/>
  <c r="D240" i="3"/>
  <c r="E1014" i="2"/>
  <c r="D612" i="3"/>
  <c r="E1015" i="2"/>
  <c r="D895" i="3"/>
  <c r="E1016" i="2"/>
  <c r="D1363" i="3"/>
  <c r="E1017" i="2"/>
  <c r="D1276" i="3"/>
  <c r="E1018" i="2"/>
  <c r="D1364" i="3"/>
  <c r="E1019" i="2"/>
  <c r="D1193" i="3"/>
  <c r="E1020" i="2"/>
  <c r="D1473" i="3"/>
  <c r="E1021" i="2"/>
  <c r="D158" i="3"/>
  <c r="E1022" i="2"/>
  <c r="D321" i="3"/>
  <c r="E1023" i="2"/>
  <c r="D159" i="3"/>
  <c r="E1024" i="2"/>
  <c r="D513" i="3"/>
  <c r="E1025" i="2"/>
  <c r="D713" i="3"/>
  <c r="E1026" i="2"/>
  <c r="D1365" i="3"/>
  <c r="E1027" i="2"/>
  <c r="D613" i="3"/>
  <c r="E1028" i="2"/>
  <c r="D614" i="3"/>
  <c r="E1029" i="2"/>
  <c r="D998" i="3"/>
  <c r="E1030" i="2"/>
  <c r="D1194" i="3"/>
  <c r="E1031" i="2"/>
  <c r="D1277" i="3"/>
  <c r="E1032" i="2"/>
  <c r="D999" i="3"/>
  <c r="E1033" i="2"/>
  <c r="D1366" i="3"/>
  <c r="E1034" i="2"/>
  <c r="D160" i="3"/>
  <c r="E1035" i="2"/>
  <c r="D410" i="3"/>
  <c r="E1036" i="2"/>
  <c r="D514" i="3"/>
  <c r="E1037" i="2"/>
  <c r="D1195" i="3"/>
  <c r="E1038" i="2"/>
  <c r="D714" i="3"/>
  <c r="E1039" i="2"/>
  <c r="D615" i="3"/>
  <c r="E1040" i="2"/>
  <c r="D1278" i="3"/>
  <c r="E1041" i="2"/>
  <c r="D616" i="3"/>
  <c r="E1042" i="2"/>
  <c r="D800" i="3"/>
  <c r="E1043" i="2"/>
  <c r="D1279" i="3"/>
  <c r="E1044" i="2"/>
  <c r="D61" i="3"/>
  <c r="E1045" i="2"/>
  <c r="D1196" i="3"/>
  <c r="E1046" i="2"/>
  <c r="D715" i="3"/>
  <c r="E1047" i="2"/>
  <c r="D1474" i="3"/>
  <c r="E1048" i="2"/>
  <c r="D1000" i="3"/>
  <c r="E1049" i="2"/>
  <c r="D1111" i="3"/>
  <c r="E1050" i="2"/>
  <c r="D62" i="3"/>
  <c r="E1051" i="2"/>
  <c r="D63" i="3"/>
  <c r="E1052" i="2"/>
  <c r="D515" i="3"/>
  <c r="E1053" i="2"/>
  <c r="D801" i="3"/>
  <c r="E1054" i="2"/>
  <c r="D617" i="3"/>
  <c r="E1055" i="2"/>
  <c r="D1001" i="3"/>
  <c r="E1056" i="2"/>
  <c r="D618" i="3"/>
  <c r="E1057" i="2"/>
  <c r="D1002" i="3"/>
  <c r="E1058" i="2"/>
  <c r="D161" i="3"/>
  <c r="E1059" i="2"/>
  <c r="D619" i="3"/>
  <c r="E1060" i="2"/>
  <c r="D1367" i="3"/>
  <c r="E1061" i="2"/>
  <c r="D1003" i="3"/>
  <c r="E1062" i="2"/>
  <c r="D64" i="3"/>
  <c r="E1063" i="2"/>
  <c r="D241" i="3"/>
  <c r="E1064" i="2"/>
  <c r="D516" i="3"/>
  <c r="E1065" i="2"/>
  <c r="D620" i="3"/>
  <c r="E1066" i="2"/>
  <c r="D242" i="3"/>
  <c r="E1067" i="2"/>
  <c r="D1368" i="3"/>
  <c r="E1068" i="2"/>
  <c r="D621" i="3"/>
  <c r="E1069" i="2"/>
  <c r="D411" i="3"/>
  <c r="E1070" i="2"/>
  <c r="D322" i="3"/>
  <c r="E1071" i="2"/>
  <c r="D1004" i="3"/>
  <c r="E1072" i="2"/>
  <c r="D65" i="3"/>
  <c r="E1073" i="2"/>
  <c r="D412" i="3"/>
  <c r="E1074" i="2"/>
  <c r="D896" i="3"/>
  <c r="E1075" i="2"/>
  <c r="D1280" i="3"/>
  <c r="E1076" i="2"/>
  <c r="D1005" i="3"/>
  <c r="E1077" i="2"/>
  <c r="D1197" i="3"/>
  <c r="E1078" i="2"/>
  <c r="D1112" i="3"/>
  <c r="E1079" i="2"/>
  <c r="D1006" i="3"/>
  <c r="E1080" i="2"/>
  <c r="D243" i="3"/>
  <c r="E1081" i="2"/>
  <c r="D323" i="3"/>
  <c r="E1082" i="2"/>
  <c r="D413" i="3"/>
  <c r="E1083" i="2"/>
  <c r="D1007" i="3"/>
  <c r="E1084" i="2"/>
  <c r="D802" i="3"/>
  <c r="E1085" i="2"/>
  <c r="D897" i="3"/>
  <c r="E1086" i="2"/>
  <c r="D1198" i="3"/>
  <c r="E1087" i="2"/>
  <c r="D414" i="3"/>
  <c r="E1088" i="2"/>
  <c r="D415" i="3"/>
  <c r="E1089" i="2"/>
  <c r="D1281" i="3"/>
  <c r="E1090" i="2"/>
  <c r="D66" i="3"/>
  <c r="E1091" i="2"/>
  <c r="D1369" i="3"/>
  <c r="E1092" i="2"/>
  <c r="D898" i="3"/>
  <c r="E1093" i="2"/>
  <c r="D1282" i="3"/>
  <c r="E1094" i="2"/>
  <c r="D67" i="3"/>
  <c r="E1095" i="2"/>
  <c r="D517" i="3"/>
  <c r="E1096" i="2"/>
  <c r="D324" i="3"/>
  <c r="E1097" i="2"/>
  <c r="D1008" i="3"/>
  <c r="E1098" i="2"/>
  <c r="D716" i="3"/>
  <c r="E1099" i="2"/>
  <c r="D325" i="3"/>
  <c r="E1100" i="2"/>
  <c r="D1113" i="3"/>
  <c r="E1101" i="2"/>
  <c r="D326" i="3"/>
  <c r="E1102" i="2"/>
  <c r="D1114" i="3"/>
  <c r="E1103" i="2"/>
  <c r="D1475" i="3"/>
  <c r="E1104" i="2"/>
  <c r="D518" i="3"/>
  <c r="E1105" i="2"/>
  <c r="D622" i="3"/>
  <c r="E1106" i="2"/>
  <c r="D1370" i="3"/>
  <c r="E1107" i="2"/>
  <c r="D803" i="3"/>
  <c r="E1108" i="2"/>
  <c r="D899" i="3"/>
  <c r="E1109" i="2"/>
  <c r="D804" i="3"/>
  <c r="E1110" i="2"/>
  <c r="D327" i="3"/>
  <c r="E1111" i="2"/>
  <c r="D519" i="3"/>
  <c r="E1112" i="2"/>
  <c r="D328" i="3"/>
  <c r="E1113" i="2"/>
  <c r="D1283" i="3"/>
  <c r="E1114" i="2"/>
  <c r="D623" i="3"/>
  <c r="E1115" i="2"/>
  <c r="D900" i="3"/>
  <c r="E1116" i="2"/>
  <c r="D1371" i="3"/>
  <c r="E1117" i="2"/>
  <c r="D1372" i="3"/>
  <c r="E1118" i="2"/>
  <c r="D416" i="3"/>
  <c r="E1119" i="2"/>
  <c r="D1284" i="3"/>
  <c r="E1120" i="2"/>
  <c r="D1476" i="3"/>
  <c r="E1121" i="2"/>
  <c r="D1115" i="3"/>
  <c r="E1122" i="2"/>
  <c r="D624" i="3"/>
  <c r="E1123" i="2"/>
  <c r="D717" i="3"/>
  <c r="E1124" i="2"/>
  <c r="D1116" i="3"/>
  <c r="E1125" i="2"/>
  <c r="D417" i="3"/>
  <c r="E1126" i="2"/>
  <c r="D520" i="3"/>
  <c r="E1127" i="2"/>
  <c r="D521" i="3"/>
  <c r="E1128" i="2"/>
  <c r="D329" i="3"/>
  <c r="E1129" i="2"/>
  <c r="D162" i="3"/>
  <c r="E1130" i="2"/>
  <c r="D244" i="3"/>
  <c r="E1131" i="2"/>
  <c r="D522" i="3"/>
  <c r="E1132" i="2"/>
  <c r="D68" i="3"/>
  <c r="E1133" i="2"/>
  <c r="D523" i="3"/>
  <c r="E1134" i="2"/>
  <c r="D901" i="3"/>
  <c r="E1135" i="2"/>
  <c r="D1199" i="3"/>
  <c r="E1136" i="2"/>
  <c r="D418" i="3"/>
  <c r="E1137" i="2"/>
  <c r="D1373" i="3"/>
  <c r="E1138" i="2"/>
  <c r="D1285" i="3"/>
  <c r="E1139" i="2"/>
  <c r="D625" i="3"/>
  <c r="E1140" i="2"/>
  <c r="D718" i="3"/>
  <c r="E1141" i="2"/>
  <c r="D805" i="3"/>
  <c r="E1142" i="2"/>
  <c r="D902" i="3"/>
  <c r="E1143" i="2"/>
  <c r="D1374" i="3"/>
  <c r="E1144" i="2"/>
  <c r="D1286" i="3"/>
  <c r="E1145" i="2"/>
  <c r="D330" i="3"/>
  <c r="E1146" i="2"/>
  <c r="D524" i="3"/>
  <c r="E1147" i="2"/>
  <c r="D1477" i="3"/>
  <c r="E1148" i="2"/>
  <c r="D806" i="3"/>
  <c r="E1149" i="2"/>
  <c r="D1200" i="3"/>
  <c r="E1150" i="2"/>
  <c r="D525" i="3"/>
  <c r="E1151" i="2"/>
  <c r="D903" i="3"/>
  <c r="E1152" i="2"/>
  <c r="D807" i="3"/>
  <c r="E1153" i="2"/>
  <c r="D626" i="3"/>
  <c r="E1154" i="2"/>
  <c r="D904" i="3"/>
  <c r="E1155" i="2"/>
  <c r="D905" i="3"/>
  <c r="E1156" i="2"/>
  <c r="D808" i="3"/>
  <c r="E1157" i="2"/>
  <c r="D719" i="3"/>
  <c r="E1158" i="2"/>
  <c r="D163" i="3"/>
  <c r="E1159" i="2"/>
  <c r="D419" i="3"/>
  <c r="E1160" i="2"/>
  <c r="D420" i="3"/>
  <c r="E1161" i="2"/>
  <c r="D421" i="3"/>
  <c r="E1162" i="2"/>
  <c r="D1201" i="3"/>
  <c r="E1163" i="2"/>
  <c r="D627" i="3"/>
  <c r="E1164" i="2"/>
  <c r="D809" i="3"/>
  <c r="E1165" i="2"/>
  <c r="D69" i="3"/>
  <c r="E1166" i="2"/>
  <c r="D526" i="3"/>
  <c r="E1167" i="2"/>
  <c r="D331" i="3"/>
  <c r="E1168" i="2"/>
  <c r="D906" i="3"/>
  <c r="E1169" i="2"/>
  <c r="D70" i="3"/>
  <c r="E1170" i="2"/>
  <c r="D1478" i="3"/>
  <c r="E1171" i="2"/>
  <c r="D422" i="3"/>
  <c r="E1172" i="2"/>
  <c r="D332" i="3"/>
  <c r="E1173" i="2"/>
  <c r="D245" i="3"/>
  <c r="E1174" i="2"/>
  <c r="D720" i="3"/>
  <c r="E1175" i="2"/>
  <c r="D1009" i="3"/>
  <c r="E1176" i="2"/>
  <c r="D71" i="3"/>
  <c r="E1177" i="2"/>
  <c r="D721" i="3"/>
  <c r="E1178" i="2"/>
  <c r="D722" i="3"/>
  <c r="E1179" i="2"/>
  <c r="D1479" i="3"/>
  <c r="E1180" i="2"/>
  <c r="D907" i="3"/>
  <c r="E1181" i="2"/>
  <c r="D423" i="3"/>
  <c r="E1182" i="2"/>
  <c r="D424" i="3"/>
  <c r="E1183" i="2"/>
  <c r="D1010" i="3"/>
  <c r="E1184" i="2"/>
  <c r="D908" i="3"/>
  <c r="E1185" i="2"/>
  <c r="D1202" i="3"/>
  <c r="E1186" i="2"/>
  <c r="D810" i="3"/>
  <c r="E1187" i="2"/>
  <c r="D1011" i="3"/>
  <c r="E1188" i="2"/>
  <c r="D1375" i="3"/>
  <c r="E1189" i="2"/>
  <c r="D1287" i="3"/>
  <c r="E1190" i="2"/>
  <c r="D1376" i="3"/>
  <c r="E1191" i="2"/>
  <c r="D628" i="3"/>
  <c r="E1192" i="2"/>
  <c r="D1377" i="3"/>
  <c r="E1193" i="2"/>
  <c r="D629" i="3"/>
  <c r="E1194" i="2"/>
  <c r="D246" i="3"/>
  <c r="E1195" i="2"/>
  <c r="D1012" i="3"/>
  <c r="E1196" i="2"/>
  <c r="D1203" i="3"/>
  <c r="E1197" i="2"/>
  <c r="D247" i="3"/>
  <c r="E1198" i="2"/>
  <c r="D811" i="3"/>
  <c r="E1199" i="2"/>
  <c r="D909" i="3"/>
  <c r="E1200" i="2"/>
  <c r="D1288" i="3"/>
  <c r="E1201" i="2"/>
  <c r="D630" i="3"/>
  <c r="E1202" i="2"/>
  <c r="D72" i="3"/>
  <c r="E1203" i="2"/>
  <c r="D164" i="3"/>
  <c r="E1204" i="2"/>
  <c r="D631" i="3"/>
  <c r="E1205" i="2"/>
  <c r="D425" i="3"/>
  <c r="E1206" i="2"/>
  <c r="D1480" i="3"/>
  <c r="E1207" i="2"/>
  <c r="D812" i="3"/>
  <c r="E1208" i="2"/>
  <c r="D1289" i="3"/>
  <c r="E1209" i="2"/>
  <c r="D1013" i="3"/>
  <c r="E1210" i="2"/>
  <c r="D426" i="3"/>
  <c r="E1211" i="2"/>
  <c r="D333" i="3"/>
  <c r="E1212" i="2"/>
  <c r="D723" i="3"/>
  <c r="E1213" i="2"/>
  <c r="D427" i="3"/>
  <c r="E1214" i="2"/>
  <c r="D724" i="3"/>
  <c r="E1215" i="2"/>
  <c r="D813" i="3"/>
  <c r="E1216" i="2"/>
  <c r="D1481" i="3"/>
  <c r="E1217" i="2"/>
  <c r="D1204" i="3"/>
  <c r="E1218" i="2"/>
  <c r="D1290" i="3"/>
  <c r="E1219" i="2"/>
  <c r="D527" i="3"/>
  <c r="E1220" i="2"/>
  <c r="D428" i="3"/>
  <c r="E1221" i="2"/>
  <c r="D632" i="3"/>
  <c r="E1222" i="2"/>
  <c r="D1291" i="3"/>
  <c r="E1223" i="2"/>
  <c r="D814" i="3"/>
  <c r="E1224" i="2"/>
  <c r="D910" i="3"/>
  <c r="E1225" i="2"/>
  <c r="D528" i="3"/>
  <c r="E1226" i="2"/>
  <c r="D248" i="3"/>
  <c r="E1227" i="2"/>
  <c r="D633" i="3"/>
  <c r="E1228" i="2"/>
  <c r="D725" i="3"/>
  <c r="E1229" i="2"/>
  <c r="D73" i="3"/>
  <c r="E1230" i="2"/>
  <c r="D1482" i="3"/>
  <c r="E1231" i="2"/>
  <c r="D429" i="3"/>
  <c r="E1232" i="2"/>
  <c r="D430" i="3"/>
  <c r="E1233" i="2"/>
  <c r="D165" i="3"/>
  <c r="E1234" i="2"/>
  <c r="D431" i="3"/>
  <c r="E1235" i="2"/>
  <c r="D726" i="3"/>
  <c r="E1236" i="2"/>
  <c r="D911" i="3"/>
  <c r="E1237" i="2"/>
  <c r="D1205" i="3"/>
  <c r="E1238" i="2"/>
  <c r="D727" i="3"/>
  <c r="E1239" i="2"/>
  <c r="D1117" i="3"/>
  <c r="E1240" i="2"/>
  <c r="D249" i="3"/>
  <c r="E1241" i="2"/>
  <c r="D166" i="3"/>
  <c r="E1242" i="2"/>
  <c r="D1118" i="3"/>
  <c r="E1243" i="2"/>
  <c r="D1119" i="3"/>
  <c r="E1244" i="2"/>
  <c r="D167" i="3"/>
  <c r="E1245" i="2"/>
  <c r="D74" i="3"/>
  <c r="E1246" i="2"/>
  <c r="D432" i="3"/>
  <c r="E1247" i="2"/>
  <c r="D75" i="3"/>
  <c r="E1248" i="2"/>
  <c r="D1206" i="3"/>
  <c r="E1249" i="2"/>
  <c r="D1483" i="3"/>
  <c r="E1250" i="2"/>
  <c r="D334" i="3"/>
  <c r="E1251" i="2"/>
  <c r="D728" i="3"/>
  <c r="E1252" i="2"/>
  <c r="D168" i="3"/>
  <c r="E1253" i="2"/>
  <c r="D912" i="3"/>
  <c r="E1254" i="2"/>
  <c r="D634" i="3"/>
  <c r="E1255" i="2"/>
  <c r="D913" i="3"/>
  <c r="E1256" i="2"/>
  <c r="D914" i="3"/>
  <c r="E1257" i="2"/>
  <c r="D729" i="3"/>
  <c r="E1258" i="2"/>
  <c r="D1207" i="3"/>
  <c r="E1259" i="2"/>
  <c r="D1208" i="3"/>
  <c r="E1260" i="2"/>
  <c r="D1120" i="3"/>
  <c r="E1261" i="2"/>
  <c r="D915" i="3"/>
  <c r="E1262" i="2"/>
  <c r="D1014" i="3"/>
  <c r="E1263" i="2"/>
  <c r="D76" i="3"/>
  <c r="E1264" i="2"/>
  <c r="D730" i="3"/>
  <c r="E1265" i="2"/>
  <c r="D335" i="3"/>
  <c r="E1266" i="2"/>
  <c r="D336" i="3"/>
  <c r="E1267" i="2"/>
  <c r="D337" i="3"/>
  <c r="E1268" i="2"/>
  <c r="D338" i="3"/>
  <c r="E1269" i="2"/>
  <c r="D529" i="3"/>
  <c r="E1270" i="2"/>
  <c r="D815" i="3"/>
  <c r="E1271" i="2"/>
  <c r="D250" i="3"/>
  <c r="E1272" i="2"/>
  <c r="D169" i="3"/>
  <c r="E1273" i="2"/>
  <c r="D170" i="3"/>
  <c r="E1274" i="2"/>
  <c r="D433" i="3"/>
  <c r="E1275" i="2"/>
  <c r="D530" i="3"/>
  <c r="E1276" i="2"/>
  <c r="D1484" i="3"/>
  <c r="E1277" i="2"/>
  <c r="D434" i="3"/>
  <c r="E1278" i="2"/>
  <c r="D531" i="3"/>
  <c r="E1279" i="2"/>
  <c r="D635" i="3"/>
  <c r="E1280" i="2"/>
  <c r="D77" i="3"/>
  <c r="E1281" i="2"/>
  <c r="D78" i="3"/>
  <c r="E1282" i="2"/>
  <c r="D916" i="3"/>
  <c r="E1283" i="2"/>
  <c r="D1121" i="3"/>
  <c r="E1284" i="2"/>
  <c r="D251" i="3"/>
  <c r="E1285" i="2"/>
  <c r="D339" i="3"/>
  <c r="E1286" i="2"/>
  <c r="D1122" i="3"/>
  <c r="E1287" i="2"/>
  <c r="D917" i="3"/>
  <c r="E1288" i="2"/>
  <c r="D1209" i="3"/>
  <c r="E1289" i="2"/>
  <c r="D731" i="3"/>
  <c r="E1290" i="2"/>
  <c r="D79" i="3"/>
  <c r="E1291" i="2"/>
  <c r="D636" i="3"/>
  <c r="E1292" i="2"/>
  <c r="D1123" i="3"/>
  <c r="E1293" i="2"/>
  <c r="D1015" i="3"/>
  <c r="E1294" i="2"/>
  <c r="D1210" i="3"/>
  <c r="E1295" i="2"/>
  <c r="D816" i="3"/>
  <c r="E1296" i="2"/>
  <c r="D435" i="3"/>
  <c r="E1297" i="2"/>
  <c r="D732" i="3"/>
  <c r="E1298" i="2"/>
  <c r="D1016" i="3"/>
  <c r="E1299" i="2"/>
  <c r="D1378" i="3"/>
  <c r="E1300" i="2"/>
  <c r="D733" i="3"/>
  <c r="E1301" i="2"/>
  <c r="D252" i="3"/>
  <c r="E1302" i="2"/>
  <c r="D171" i="3"/>
  <c r="E1303" i="2"/>
  <c r="D637" i="3"/>
  <c r="E1304" i="2"/>
  <c r="D253" i="3"/>
  <c r="E1305" i="2"/>
  <c r="D172" i="3"/>
  <c r="E1306" i="2"/>
  <c r="D734" i="3"/>
  <c r="E1307" i="2"/>
  <c r="D1124" i="3"/>
  <c r="E1308" i="2"/>
  <c r="D817" i="3"/>
  <c r="E1309" i="2"/>
  <c r="D532" i="3"/>
  <c r="E1310" i="2"/>
  <c r="D1125" i="3"/>
  <c r="E1311" i="2"/>
  <c r="D1485" i="3"/>
  <c r="E1312" i="2"/>
  <c r="D533" i="3"/>
  <c r="E1313" i="2"/>
  <c r="D1379" i="3"/>
  <c r="E1314" i="2"/>
  <c r="D735" i="3"/>
  <c r="E1315" i="2"/>
  <c r="D1486" i="3"/>
  <c r="E1316" i="2"/>
  <c r="D736" i="3"/>
  <c r="E1317" i="2"/>
  <c r="D1126" i="3"/>
  <c r="E1318" i="2"/>
  <c r="D1211" i="3"/>
  <c r="E1319" i="2"/>
  <c r="D918" i="3"/>
  <c r="E1320" i="2"/>
  <c r="D1017" i="3"/>
  <c r="E1321" i="2"/>
  <c r="D638" i="3"/>
  <c r="E1322" i="2"/>
  <c r="D737" i="3"/>
  <c r="E1323" i="2"/>
  <c r="D534" i="3"/>
  <c r="E1324" i="2"/>
  <c r="D818" i="3"/>
  <c r="E1325" i="2"/>
  <c r="D738" i="3"/>
  <c r="E1326" i="2"/>
  <c r="D1018" i="3"/>
  <c r="E1327" i="2"/>
  <c r="D639" i="3"/>
  <c r="E1328" i="2"/>
  <c r="D80" i="3"/>
  <c r="E1329" i="2"/>
  <c r="D1292" i="3"/>
  <c r="E1330" i="2"/>
  <c r="D254" i="3"/>
  <c r="E1331" i="2"/>
  <c r="D640" i="3"/>
  <c r="E1332" i="2"/>
  <c r="D1380" i="3"/>
  <c r="E1333" i="2"/>
  <c r="D739" i="3"/>
  <c r="E1334" i="2"/>
  <c r="D81" i="3"/>
  <c r="E1335" i="2"/>
  <c r="D1487" i="3"/>
  <c r="E1336" i="2"/>
  <c r="D535" i="3"/>
  <c r="E1337" i="2"/>
  <c r="D1381" i="3"/>
  <c r="E1338" i="2"/>
  <c r="D1212" i="3"/>
  <c r="E1339" i="2"/>
  <c r="D1488" i="3"/>
  <c r="E1340" i="2"/>
  <c r="D1489" i="3"/>
  <c r="E1341" i="2"/>
  <c r="D1019" i="3"/>
  <c r="E1342" i="2"/>
  <c r="D641" i="3"/>
  <c r="E1343" i="2"/>
  <c r="D173" i="3"/>
  <c r="E1344" i="2"/>
  <c r="D82" i="3"/>
  <c r="E1345" i="2"/>
  <c r="D1382" i="3"/>
  <c r="E1346" i="2"/>
  <c r="D819" i="3"/>
  <c r="E1347" i="2"/>
  <c r="D255" i="3"/>
  <c r="E1348" i="2"/>
  <c r="D1490" i="3"/>
  <c r="E1349" i="2"/>
  <c r="D174" i="3"/>
  <c r="E1350" i="2"/>
  <c r="D919" i="3"/>
  <c r="E1351" i="2"/>
  <c r="D1383" i="3"/>
  <c r="E1352" i="2"/>
  <c r="D83" i="3"/>
  <c r="E1353" i="2"/>
  <c r="D84" i="3"/>
  <c r="E1354" i="2"/>
  <c r="D1127" i="3"/>
  <c r="E1355" i="2"/>
  <c r="D920" i="3"/>
  <c r="E1356" i="2"/>
  <c r="D175" i="3"/>
  <c r="E1357" i="2"/>
  <c r="D642" i="3"/>
  <c r="E1358" i="2"/>
  <c r="D340" i="3"/>
  <c r="E1359" i="2"/>
  <c r="D341" i="3"/>
  <c r="E1360" i="2"/>
  <c r="D643" i="3"/>
  <c r="E1361" i="2"/>
  <c r="D256" i="3"/>
  <c r="E1362" i="2"/>
  <c r="D644" i="3"/>
  <c r="E1363" i="2"/>
  <c r="D436" i="3"/>
  <c r="E1364" i="2"/>
  <c r="D1128" i="3"/>
  <c r="E1365" i="2"/>
  <c r="D1020" i="3"/>
  <c r="E1366" i="2"/>
  <c r="D1021" i="3"/>
  <c r="E1367" i="2"/>
  <c r="D257" i="3"/>
  <c r="E1368" i="2"/>
  <c r="D1022" i="3"/>
  <c r="E1369" i="2"/>
  <c r="D176" i="3"/>
  <c r="E1370" i="2"/>
  <c r="D740" i="3"/>
  <c r="E1371" i="2"/>
  <c r="D645" i="3"/>
  <c r="E1372" i="2"/>
  <c r="D536" i="3"/>
  <c r="E1373" i="2"/>
  <c r="D1023" i="3"/>
  <c r="E1374" i="2"/>
  <c r="D1213" i="3"/>
  <c r="E1375" i="2"/>
  <c r="D1293" i="3"/>
  <c r="E1376" i="2"/>
  <c r="D921" i="3"/>
  <c r="E1377" i="2"/>
  <c r="D1384" i="3"/>
  <c r="E1378" i="2"/>
  <c r="D1491" i="3"/>
  <c r="E1379" i="2"/>
  <c r="D1492" i="3"/>
  <c r="E1380" i="2"/>
  <c r="D1024" i="3"/>
  <c r="E1381" i="2"/>
  <c r="D258" i="3"/>
  <c r="E1382" i="2"/>
  <c r="D1385" i="3"/>
  <c r="E1383" i="2"/>
  <c r="D1025" i="3"/>
  <c r="E1384" i="2"/>
  <c r="D437" i="3"/>
  <c r="E1385" i="2"/>
  <c r="D646" i="3"/>
  <c r="E1386" i="2"/>
  <c r="D820" i="3"/>
  <c r="E1387" i="2"/>
  <c r="D922" i="3"/>
  <c r="E1388" i="2"/>
  <c r="D85" i="3"/>
  <c r="E1389" i="2"/>
  <c r="D537" i="3"/>
  <c r="E1390" i="2"/>
  <c r="D821" i="3"/>
  <c r="E1391" i="2"/>
  <c r="D538" i="3"/>
  <c r="E1392" i="2"/>
  <c r="D1493" i="3"/>
  <c r="E1393" i="2"/>
  <c r="D1129" i="3"/>
  <c r="E1394" i="2"/>
  <c r="D1494" i="3"/>
  <c r="E1395" i="2"/>
  <c r="D1386" i="3"/>
  <c r="E1396" i="2"/>
  <c r="D1026" i="3"/>
  <c r="E1397" i="2"/>
  <c r="D539" i="3"/>
  <c r="E1398" i="2"/>
  <c r="D822" i="3"/>
  <c r="E1399" i="2"/>
  <c r="D923" i="3"/>
  <c r="E1400" i="2"/>
  <c r="D647" i="3"/>
  <c r="E1401" i="2"/>
  <c r="D438" i="3"/>
  <c r="E1402" i="2"/>
  <c r="D1387" i="3"/>
  <c r="E1403" i="2"/>
  <c r="D342" i="3"/>
  <c r="E1404" i="2"/>
  <c r="D1495" i="3"/>
  <c r="E1405" i="2"/>
  <c r="D1130" i="3"/>
  <c r="E1406" i="2"/>
  <c r="D1496" i="3"/>
  <c r="E1407" i="2"/>
  <c r="D259" i="3"/>
  <c r="E1408" i="2"/>
  <c r="D540" i="3"/>
  <c r="E1409" i="2"/>
  <c r="D1214" i="3"/>
  <c r="E1410" i="2"/>
  <c r="D541" i="3"/>
  <c r="E1411" i="2"/>
  <c r="D1294" i="3"/>
  <c r="E1412" i="2"/>
  <c r="D1131" i="3"/>
  <c r="E1413" i="2"/>
  <c r="D924" i="3"/>
  <c r="E1414" i="2"/>
  <c r="D925" i="3"/>
  <c r="E1415" i="2"/>
  <c r="D926" i="3"/>
  <c r="E1416" i="2"/>
  <c r="D1295" i="3"/>
  <c r="E1417" i="2"/>
  <c r="D343" i="3"/>
  <c r="E1418" i="2"/>
  <c r="D1027" i="3"/>
  <c r="E1419" i="2"/>
  <c r="D927" i="3"/>
  <c r="E1420" i="2"/>
  <c r="D928" i="3"/>
  <c r="E1421" i="2"/>
  <c r="D1388" i="3"/>
  <c r="E1422" i="2"/>
  <c r="D1497" i="3"/>
  <c r="E1423" i="2"/>
  <c r="D1028" i="3"/>
  <c r="E1424" i="2"/>
  <c r="D260" i="3"/>
  <c r="E1425" i="2"/>
  <c r="D741" i="3"/>
  <c r="E1426" i="2"/>
  <c r="D742" i="3"/>
  <c r="E1427" i="2"/>
  <c r="D743" i="3"/>
  <c r="E1428" i="2"/>
  <c r="D1296" i="3"/>
  <c r="E1429" i="2"/>
  <c r="D823" i="3"/>
  <c r="E1430" i="2"/>
  <c r="D929" i="3"/>
  <c r="E1431" i="2"/>
  <c r="D824" i="3"/>
  <c r="E1432" i="2"/>
  <c r="D825" i="3"/>
  <c r="E1433" i="2"/>
  <c r="D1389" i="3"/>
  <c r="E1434" i="2"/>
  <c r="D344" i="3"/>
  <c r="E1435" i="2"/>
  <c r="D261" i="3"/>
  <c r="E1436" i="2"/>
  <c r="D744" i="3"/>
  <c r="E1437" i="2"/>
  <c r="D86" i="3"/>
  <c r="E1438" i="2"/>
  <c r="D87" i="3"/>
  <c r="E1439" i="2"/>
  <c r="D1029" i="3"/>
  <c r="E1440" i="2"/>
  <c r="D439" i="3"/>
  <c r="E1441" i="2"/>
  <c r="D177" i="3"/>
  <c r="E1442" i="2"/>
  <c r="D1030" i="3"/>
  <c r="E1443" i="2"/>
  <c r="D542" i="3"/>
  <c r="E1444" i="2"/>
  <c r="D1498" i="3"/>
  <c r="E1445" i="2"/>
  <c r="D745" i="3"/>
  <c r="E1446" i="2"/>
  <c r="D746" i="3"/>
  <c r="E1447" i="2"/>
  <c r="D543" i="3"/>
  <c r="E1448" i="2"/>
  <c r="D1499" i="3"/>
  <c r="E1449" i="2"/>
  <c r="D440" i="3"/>
  <c r="E1450" i="2"/>
  <c r="D441" i="3"/>
  <c r="E1451" i="2"/>
  <c r="D930" i="3"/>
  <c r="E1452" i="2"/>
  <c r="D1215" i="3"/>
  <c r="E1453" i="2"/>
  <c r="D1132" i="3"/>
  <c r="E1454" i="2"/>
  <c r="D544" i="3"/>
  <c r="E1455" i="2"/>
  <c r="D1500" i="3"/>
  <c r="E1456" i="2"/>
  <c r="D826" i="3"/>
  <c r="E1457" i="2"/>
  <c r="D648" i="3"/>
  <c r="E1458" i="2"/>
  <c r="D442" i="3"/>
  <c r="E1459" i="2"/>
  <c r="D1133" i="3"/>
  <c r="E1460" i="2"/>
  <c r="D1031" i="3"/>
  <c r="E1461" i="2"/>
  <c r="D1134" i="3"/>
  <c r="E1462" i="2"/>
  <c r="D262" i="3"/>
  <c r="E1463" i="2"/>
  <c r="D827" i="3"/>
  <c r="E1464" i="2"/>
  <c r="D1032" i="3"/>
  <c r="E1465" i="2"/>
  <c r="D747" i="3"/>
  <c r="E1466" i="2"/>
  <c r="D748" i="3"/>
  <c r="E1467" i="2"/>
  <c r="D345" i="3"/>
  <c r="E1468" i="2"/>
  <c r="D1390" i="3"/>
  <c r="E1469" i="2"/>
  <c r="D88" i="3"/>
  <c r="E1470" i="2"/>
  <c r="D545" i="3"/>
  <c r="E1471" i="2"/>
  <c r="D749" i="3"/>
  <c r="E1472" i="2"/>
  <c r="D1135" i="3"/>
  <c r="E1473" i="2"/>
  <c r="D828" i="3"/>
  <c r="E1474" i="2"/>
  <c r="D750" i="3"/>
  <c r="E1475" i="2"/>
  <c r="D1216" i="3"/>
  <c r="E1476" i="2"/>
  <c r="D649" i="3"/>
  <c r="E1477" i="2"/>
  <c r="D546" i="3"/>
  <c r="E1478" i="2"/>
  <c r="D650" i="3"/>
  <c r="E1479" i="2"/>
  <c r="D89" i="3"/>
  <c r="E1480" i="2"/>
  <c r="D346" i="3"/>
  <c r="E1481" i="2"/>
  <c r="D90" i="3"/>
  <c r="E1482" i="2"/>
  <c r="D263" i="3"/>
  <c r="E1483" i="2"/>
  <c r="D178" i="3"/>
  <c r="E1484" i="2"/>
  <c r="D1391" i="3"/>
  <c r="E1485" i="2"/>
  <c r="D443" i="3"/>
  <c r="E1486" i="2"/>
  <c r="D444" i="3"/>
  <c r="E1487" i="2"/>
  <c r="D1136" i="3"/>
  <c r="E1488" i="2"/>
  <c r="D651" i="3"/>
  <c r="E1489" i="2"/>
  <c r="D445" i="3"/>
  <c r="E1490" i="2"/>
  <c r="D1392" i="3"/>
  <c r="E1491" i="2"/>
  <c r="D446" i="3"/>
  <c r="E1492" i="2"/>
  <c r="D751" i="3"/>
  <c r="E1493" i="2"/>
  <c r="D1501" i="3"/>
  <c r="E1494" i="2"/>
  <c r="D1137" i="3"/>
  <c r="E1495" i="2"/>
  <c r="D264" i="3"/>
  <c r="E1496" i="2"/>
  <c r="D1033" i="3"/>
  <c r="E1497" i="2"/>
  <c r="D829" i="3"/>
  <c r="E1498" i="2"/>
  <c r="D1138" i="3"/>
  <c r="E1499" i="2"/>
  <c r="D1393" i="3"/>
  <c r="E1500" i="2"/>
  <c r="D1394" i="3"/>
  <c r="E1501" i="2"/>
  <c r="D91" i="3"/>
  <c r="E3" i="2"/>
  <c r="D179" i="3"/>
  <c r="E4" i="2"/>
  <c r="D347" i="3"/>
  <c r="E5" i="2"/>
  <c r="D180" i="3"/>
  <c r="E2" i="2"/>
  <c r="D1297" i="3"/>
</calcChain>
</file>

<file path=xl/sharedStrings.xml><?xml version="1.0" encoding="utf-8"?>
<sst xmlns="http://schemas.openxmlformats.org/spreadsheetml/2006/main" count="9685" uniqueCount="59">
  <si>
    <t>Customer ID</t>
  </si>
  <si>
    <t>Age</t>
  </si>
  <si>
    <t>Gender</t>
  </si>
  <si>
    <t>Membership Type</t>
  </si>
  <si>
    <t>Signup Date</t>
  </si>
  <si>
    <t>Male</t>
  </si>
  <si>
    <t>Regular</t>
  </si>
  <si>
    <t>Premium</t>
  </si>
  <si>
    <t>Female</t>
  </si>
  <si>
    <t>Product_Category</t>
  </si>
  <si>
    <t>Share of Order_Value</t>
  </si>
  <si>
    <t>Books</t>
  </si>
  <si>
    <t>Electronics</t>
  </si>
  <si>
    <t>Fashion</t>
  </si>
  <si>
    <t>Grocery</t>
  </si>
  <si>
    <t>Home</t>
  </si>
  <si>
    <t>City</t>
  </si>
  <si>
    <t>Sum of Order_Value</t>
  </si>
  <si>
    <t>Bengaluru</t>
  </si>
  <si>
    <t>Chennai</t>
  </si>
  <si>
    <t>Delhi</t>
  </si>
  <si>
    <t>Hyderabad</t>
  </si>
  <si>
    <t>Kolkata</t>
  </si>
  <si>
    <t>Mumbai</t>
  </si>
  <si>
    <t>Patna</t>
  </si>
  <si>
    <t>Pune</t>
  </si>
  <si>
    <t>Membership status</t>
  </si>
  <si>
    <t>Order_ID</t>
  </si>
  <si>
    <t>Customer_ID</t>
  </si>
  <si>
    <t>Order_Date</t>
  </si>
  <si>
    <t>Delivery_Date</t>
  </si>
  <si>
    <t>Delivery time (days)</t>
  </si>
  <si>
    <t>Order_Value</t>
  </si>
  <si>
    <t>Payment_Mode</t>
  </si>
  <si>
    <t>Order_Status</t>
  </si>
  <si>
    <t>COD</t>
  </si>
  <si>
    <t>Delivered</t>
  </si>
  <si>
    <t>Prepaid</t>
  </si>
  <si>
    <t>Warehouse_ID</t>
  </si>
  <si>
    <t>Courier_Partner</t>
  </si>
  <si>
    <t>Average of Delivery time in days</t>
  </si>
  <si>
    <t>W01</t>
  </si>
  <si>
    <t>Blue Dart</t>
  </si>
  <si>
    <t>Delhivery</t>
  </si>
  <si>
    <t>Ecom Express</t>
  </si>
  <si>
    <t>Xpressbees</t>
  </si>
  <si>
    <t>W01 Total</t>
  </si>
  <si>
    <t>W02</t>
  </si>
  <si>
    <t>W02 Total</t>
  </si>
  <si>
    <t>W03</t>
  </si>
  <si>
    <t>W03 Total</t>
  </si>
  <si>
    <t>W04</t>
  </si>
  <si>
    <t>W04 Total</t>
  </si>
  <si>
    <t>Delivery time in days</t>
  </si>
  <si>
    <t>Distance_KM</t>
  </si>
  <si>
    <t>Dispatch_Time_Hours</t>
  </si>
  <si>
    <t>Delivery Speed</t>
  </si>
  <si>
    <t>Delivery_Attempts</t>
  </si>
  <si>
    <t>DASHBOARD : Sales &amp;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</si>
</sst>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Times New Roman"/>
    </font>
    <font>
      <sz val="11"/>
      <color theme="1"/>
      <name val="Times New Roman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3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pivotButton="1"/>
    <xf numFmtId="2" fontId="0" fillId="0" borderId="0" xfId="0" applyNumberFormat="1"/>
    <xf numFmtId="0" fontId="0" fillId="0" borderId="0" xfId="0" pivotButton="1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/>
    <xf numFmtId="0" fontId="3" fillId="2" borderId="0" xfId="0" applyFont="1" applyFill="1"/>
    <xf numFmtId="10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3" borderId="0" xfId="0" applyFill="1"/>
    <xf numFmtId="0" fontId="4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41">
    <dxf>
      <font>
        <name val="Times New Roman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name val="Times New Roman"/>
      </font>
      <alignment horizontal="center" vertical="center"/>
    </dxf>
    <dxf>
      <font>
        <name val="Times New Roman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name val="Times New Roman"/>
      </font>
      <alignment horizontal="center" vertical="center"/>
    </dxf>
    <dxf>
      <font>
        <name val="Times New Roman"/>
      </font>
      <alignment horizontal="center" vertical="center"/>
    </dxf>
    <dxf>
      <font>
        <name val="Times New Roman"/>
      </font>
      <alignment horizontal="center" vertical="center"/>
    </dxf>
    <dxf>
      <border outline="0">
        <top style="thin">
          <color auto="1"/>
        </top>
      </border>
    </dxf>
    <dxf>
      <font>
        <name val="Times New Roman"/>
      </font>
      <alignment horizontal="center" vertical="center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numFmt numFmtId="1" formatCode="0"/>
    </dxf>
    <dxf>
      <font>
        <name val="Times New Roman"/>
      </font>
      <numFmt numFmtId="164" formatCode="yyyy\-mm\-dd"/>
      <alignment horizontal="center" vertical="center"/>
    </dxf>
    <dxf>
      <font>
        <name val="Times New Roman"/>
      </font>
      <alignment horizontal="center" vertical="center"/>
    </dxf>
    <dxf>
      <font>
        <name val="Times New Roman"/>
      </font>
      <alignment horizontal="center" vertical="center"/>
    </dxf>
    <dxf>
      <font>
        <name val="Times New Roman"/>
      </font>
      <alignment horizontal="center" vertical="center"/>
    </dxf>
    <dxf>
      <font>
        <name val="Times New Roman"/>
      </font>
      <alignment horizontal="center" vertical="center"/>
    </dxf>
    <dxf>
      <border outline="0">
        <top style="thin">
          <color auto="1"/>
        </top>
      </border>
    </dxf>
    <dxf>
      <font>
        <name val="Times New Roman"/>
      </font>
      <alignment horizontal="center" vertical="center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pivotCacheDefinition" Target="pivotCache/pivotCacheDefinition3.xml" /><Relationship Id="rId1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pivotCacheDefinition" Target="pivotCache/pivotCacheDefinition2.xml" /><Relationship Id="rId17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pivotCacheDefinition" Target="pivotCache/pivotCacheDefinition1.xml" /><Relationship Id="rId5" Type="http://schemas.openxmlformats.org/officeDocument/2006/relationships/worksheet" Target="worksheets/sheet5.xml" /><Relationship Id="rId15" Type="http://schemas.openxmlformats.org/officeDocument/2006/relationships/pivotCacheDefinition" Target="pivotCache/pivotCacheDefinition5.xml" /><Relationship Id="rId10" Type="http://schemas.openxmlformats.org/officeDocument/2006/relationships/worksheet" Target="worksheets/sheet10.xml" /><Relationship Id="rId19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pivotCacheDefinition" Target="pivotCache/pivotCacheDefinition4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 /><Relationship Id="rId1" Type="http://schemas.microsoft.com/office/2011/relationships/chartStyle" Target="style8.xml" 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 /><Relationship Id="rId1" Type="http://schemas.microsoft.com/office/2011/relationships/chartStyle" Target="style9.xml" 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 /><Relationship Id="rId1" Type="http://schemas.microsoft.com/office/2011/relationships/chartStyle" Target="style10.xml" 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 /><Relationship Id="rId1" Type="http://schemas.microsoft.com/office/2011/relationships/chartStyle" Target="style11.xml" 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 /><Relationship Id="rId1" Type="http://schemas.microsoft.com/office/2011/relationships/chartStyle" Target="style1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[Sales_Report_Final.xlsx]Sheet4!PivotTable4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Share of diff product to total order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BB-4C39-87EC-E70D84DD36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BB-4C39-87EC-E70D84DD36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BB-4C39-87EC-E70D84DD36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BB-4C39-87EC-E70D84DD36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BB-4C39-87EC-E70D84DD36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Sheet4!$A$4:$A$8</c:f>
              <c:strCache>
                <c:ptCount val="5"/>
                <c:pt idx="0">
                  <c:v>Books</c:v>
                </c:pt>
                <c:pt idx="1">
                  <c:v>Electronics</c:v>
                </c:pt>
                <c:pt idx="2">
                  <c:v>Fashion</c:v>
                </c:pt>
                <c:pt idx="3">
                  <c:v>Grocery</c:v>
                </c:pt>
                <c:pt idx="4">
                  <c:v>Home</c:v>
                </c:pt>
              </c:strCache>
            </c:strRef>
          </c:cat>
          <c:val>
            <c:numRef>
              <c:f>Sheet4!$B$4:$B$8</c:f>
              <c:numCache>
                <c:formatCode>0.00%</c:formatCode>
                <c:ptCount val="5"/>
                <c:pt idx="0">
                  <c:v>0.20189926800768165</c:v>
                </c:pt>
                <c:pt idx="1">
                  <c:v>0.20401125411813131</c:v>
                </c:pt>
                <c:pt idx="2">
                  <c:v>0.20234942414216772</c:v>
                </c:pt>
                <c:pt idx="3">
                  <c:v>0.18709332455070696</c:v>
                </c:pt>
                <c:pt idx="4">
                  <c:v>0.20464672918131235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E-4A49-A17C-5C3BD9C7E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10555118484039"/>
          <c:y val="0.34269884932176753"/>
          <c:w val="0.16098272090988627"/>
          <c:h val="0.3672535724701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[Sales_Report_Final.xlsx]Sheet5!PivotTable5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Cities v/s contribution to total order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Sheet5!$A$4:$A$11</c:f>
              <c:strCache>
                <c:ptCount val="8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</c:strCache>
            </c:strRef>
          </c:cat>
          <c:val>
            <c:numRef>
              <c:f>Sheet5!$B$4:$B$11</c:f>
              <c:numCache>
                <c:formatCode>0.00%</c:formatCode>
                <c:ptCount val="8"/>
                <c:pt idx="0">
                  <c:v>0.14245001342038716</c:v>
                </c:pt>
                <c:pt idx="1">
                  <c:v>0.1284800588725189</c:v>
                </c:pt>
                <c:pt idx="2">
                  <c:v>0.12815908638063461</c:v>
                </c:pt>
                <c:pt idx="3">
                  <c:v>0.11536770437928789</c:v>
                </c:pt>
                <c:pt idx="4">
                  <c:v>0.11677213353121446</c:v>
                </c:pt>
                <c:pt idx="5">
                  <c:v>0.12385763618954644</c:v>
                </c:pt>
                <c:pt idx="6">
                  <c:v>0.10457850776140801</c:v>
                </c:pt>
                <c:pt idx="7">
                  <c:v>0.14033485946500254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4-4F05-823E-53979BE96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8338823"/>
        <c:axId val="978380807"/>
      </c:barChart>
      <c:catAx>
        <c:axId val="978338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380807"/>
        <c:crosses val="autoZero"/>
        <c:auto val="1"/>
        <c:lblAlgn val="ctr"/>
        <c:lblOffset val="100"/>
        <c:noMultiLvlLbl val="0"/>
      </c:catAx>
      <c:valAx>
        <c:axId val="978380807"/>
        <c:scaling>
          <c:orientation val="minMax"/>
          <c:min val="0.05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338823"/>
        <c:crosses val="autoZero"/>
        <c:crossBetween val="between"/>
        <c:majorUnit val="0.0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[Sales_Report_Final.xlsx]Sheet6!PivotTable6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Contribution of members to total order value : Regular v/s Premium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0D-45C4-B02C-1FFCDFC6B8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0D-45C4-B02C-1FFCDFC6B8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Sheet6!$A$4:$A$5</c:f>
              <c:strCache>
                <c:ptCount val="2"/>
                <c:pt idx="0">
                  <c:v>Premium</c:v>
                </c:pt>
                <c:pt idx="1">
                  <c:v>Regular</c:v>
                </c:pt>
              </c:strCache>
            </c:strRef>
          </c:cat>
          <c:val>
            <c:numRef>
              <c:f>Sheet6!$B$4:$B$5</c:f>
              <c:numCache>
                <c:formatCode>0.00%</c:formatCode>
                <c:ptCount val="2"/>
                <c:pt idx="0">
                  <c:v>0.53083419182825942</c:v>
                </c:pt>
                <c:pt idx="1">
                  <c:v>0.46916580817174058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B-4090-B24B-00E75EB7F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4.9305470784505208E-2"/>
          <c:y val="0.45521077322660919"/>
          <c:w val="0.13323228346456692"/>
          <c:h val="0.146901428988043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[Sales_Report_Final.xlsx]Sheet1!PivotTable1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Average Delivery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Sheet1!$A$4:$B$23</c:f>
              <c:multiLvlStrCache>
                <c:ptCount val="16"/>
                <c:lvl>
                  <c:pt idx="0">
                    <c:v>Blue Dart</c:v>
                  </c:pt>
                  <c:pt idx="1">
                    <c:v>Delhivery</c:v>
                  </c:pt>
                  <c:pt idx="2">
                    <c:v>Ecom Express</c:v>
                  </c:pt>
                  <c:pt idx="3">
                    <c:v>Xpressbees</c:v>
                  </c:pt>
                  <c:pt idx="4">
                    <c:v>Blue Dart</c:v>
                  </c:pt>
                  <c:pt idx="5">
                    <c:v>Delhivery</c:v>
                  </c:pt>
                  <c:pt idx="6">
                    <c:v>Ecom Express</c:v>
                  </c:pt>
                  <c:pt idx="7">
                    <c:v>Xpressbees</c:v>
                  </c:pt>
                  <c:pt idx="8">
                    <c:v>Blue Dart</c:v>
                  </c:pt>
                  <c:pt idx="9">
                    <c:v>Delhivery</c:v>
                  </c:pt>
                  <c:pt idx="10">
                    <c:v>Ecom Express</c:v>
                  </c:pt>
                  <c:pt idx="11">
                    <c:v>Xpressbees</c:v>
                  </c:pt>
                  <c:pt idx="12">
                    <c:v>Blue Dart</c:v>
                  </c:pt>
                  <c:pt idx="13">
                    <c:v>Delhivery</c:v>
                  </c:pt>
                  <c:pt idx="14">
                    <c:v>Ecom Express</c:v>
                  </c:pt>
                  <c:pt idx="15">
                    <c:v>Xpressbees</c:v>
                  </c:pt>
                </c:lvl>
                <c:lvl>
                  <c:pt idx="0">
                    <c:v>W01</c:v>
                  </c:pt>
                  <c:pt idx="4">
                    <c:v>W02</c:v>
                  </c:pt>
                  <c:pt idx="8">
                    <c:v>W03</c:v>
                  </c:pt>
                  <c:pt idx="12">
                    <c:v>W04</c:v>
                  </c:pt>
                </c:lvl>
              </c:multiLvlStrCache>
            </c:multiLvlStrRef>
          </c:cat>
          <c:val>
            <c:numRef>
              <c:f>Sheet1!$C$4:$C$23</c:f>
              <c:numCache>
                <c:formatCode>0.00</c:formatCode>
                <c:ptCount val="16"/>
                <c:pt idx="0">
                  <c:v>5.8777777777777782</c:v>
                </c:pt>
                <c:pt idx="1">
                  <c:v>6.12</c:v>
                </c:pt>
                <c:pt idx="2">
                  <c:v>6</c:v>
                </c:pt>
                <c:pt idx="3">
                  <c:v>6.1923076923076925</c:v>
                </c:pt>
                <c:pt idx="4">
                  <c:v>6.2183908045977008</c:v>
                </c:pt>
                <c:pt idx="5">
                  <c:v>5.95</c:v>
                </c:pt>
                <c:pt idx="6">
                  <c:v>6.6039603960396036</c:v>
                </c:pt>
                <c:pt idx="7">
                  <c:v>5.5250000000000004</c:v>
                </c:pt>
                <c:pt idx="8">
                  <c:v>6.6976744186046515</c:v>
                </c:pt>
                <c:pt idx="9">
                  <c:v>5.6380952380952385</c:v>
                </c:pt>
                <c:pt idx="10">
                  <c:v>6.4368932038834954</c:v>
                </c:pt>
                <c:pt idx="11">
                  <c:v>6.4387755102040813</c:v>
                </c:pt>
                <c:pt idx="12">
                  <c:v>5.4634146341463419</c:v>
                </c:pt>
                <c:pt idx="13">
                  <c:v>5.67</c:v>
                </c:pt>
                <c:pt idx="14">
                  <c:v>5.5333333333333332</c:v>
                </c:pt>
                <c:pt idx="15">
                  <c:v>6.08411214953271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4-404C-A77E-A3EF13209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8522759"/>
        <c:axId val="488533511"/>
      </c:barChart>
      <c:catAx>
        <c:axId val="488522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8533511"/>
        <c:crosses val="autoZero"/>
        <c:auto val="1"/>
        <c:lblAlgn val="ctr"/>
        <c:lblOffset val="100"/>
        <c:noMultiLvlLbl val="0"/>
      </c:catAx>
      <c:valAx>
        <c:axId val="48853351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22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[Sales_Report_Final.xlsx]Sheet1!PivotTable1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Average Delivery Time (in days)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Sheet1!$A$4:$B$23</c:f>
              <c:multiLvlStrCache>
                <c:ptCount val="16"/>
                <c:lvl>
                  <c:pt idx="0">
                    <c:v>Blue Dart</c:v>
                  </c:pt>
                  <c:pt idx="1">
                    <c:v>Delhivery</c:v>
                  </c:pt>
                  <c:pt idx="2">
                    <c:v>Ecom Express</c:v>
                  </c:pt>
                  <c:pt idx="3">
                    <c:v>Xpressbees</c:v>
                  </c:pt>
                  <c:pt idx="4">
                    <c:v>Blue Dart</c:v>
                  </c:pt>
                  <c:pt idx="5">
                    <c:v>Delhivery</c:v>
                  </c:pt>
                  <c:pt idx="6">
                    <c:v>Ecom Express</c:v>
                  </c:pt>
                  <c:pt idx="7">
                    <c:v>Xpressbees</c:v>
                  </c:pt>
                  <c:pt idx="8">
                    <c:v>Blue Dart</c:v>
                  </c:pt>
                  <c:pt idx="9">
                    <c:v>Delhivery</c:v>
                  </c:pt>
                  <c:pt idx="10">
                    <c:v>Ecom Express</c:v>
                  </c:pt>
                  <c:pt idx="11">
                    <c:v>Xpressbees</c:v>
                  </c:pt>
                  <c:pt idx="12">
                    <c:v>Blue Dart</c:v>
                  </c:pt>
                  <c:pt idx="13">
                    <c:v>Delhivery</c:v>
                  </c:pt>
                  <c:pt idx="14">
                    <c:v>Ecom Express</c:v>
                  </c:pt>
                  <c:pt idx="15">
                    <c:v>Xpressbees</c:v>
                  </c:pt>
                </c:lvl>
                <c:lvl>
                  <c:pt idx="0">
                    <c:v>W01</c:v>
                  </c:pt>
                  <c:pt idx="4">
                    <c:v>W02</c:v>
                  </c:pt>
                  <c:pt idx="8">
                    <c:v>W03</c:v>
                  </c:pt>
                  <c:pt idx="12">
                    <c:v>W04</c:v>
                  </c:pt>
                </c:lvl>
              </c:multiLvlStrCache>
            </c:multiLvlStrRef>
          </c:cat>
          <c:val>
            <c:numRef>
              <c:f>Sheet1!$C$4:$C$23</c:f>
              <c:numCache>
                <c:formatCode>0.00</c:formatCode>
                <c:ptCount val="16"/>
                <c:pt idx="0">
                  <c:v>5.8777777777777782</c:v>
                </c:pt>
                <c:pt idx="1">
                  <c:v>6.12</c:v>
                </c:pt>
                <c:pt idx="2">
                  <c:v>6</c:v>
                </c:pt>
                <c:pt idx="3">
                  <c:v>6.1923076923076925</c:v>
                </c:pt>
                <c:pt idx="4">
                  <c:v>6.2183908045977008</c:v>
                </c:pt>
                <c:pt idx="5">
                  <c:v>5.95</c:v>
                </c:pt>
                <c:pt idx="6">
                  <c:v>6.6039603960396036</c:v>
                </c:pt>
                <c:pt idx="7">
                  <c:v>5.5250000000000004</c:v>
                </c:pt>
                <c:pt idx="8">
                  <c:v>6.6976744186046515</c:v>
                </c:pt>
                <c:pt idx="9">
                  <c:v>5.6380952380952385</c:v>
                </c:pt>
                <c:pt idx="10">
                  <c:v>6.4368932038834954</c:v>
                </c:pt>
                <c:pt idx="11">
                  <c:v>6.4387755102040813</c:v>
                </c:pt>
                <c:pt idx="12">
                  <c:v>5.4634146341463419</c:v>
                </c:pt>
                <c:pt idx="13">
                  <c:v>5.67</c:v>
                </c:pt>
                <c:pt idx="14">
                  <c:v>5.5333333333333332</c:v>
                </c:pt>
                <c:pt idx="15">
                  <c:v>6.08411214953271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2-4A67-B6C6-33FF7E79B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8522759"/>
        <c:axId val="488533511"/>
      </c:barChart>
      <c:catAx>
        <c:axId val="488522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8533511"/>
        <c:crosses val="autoZero"/>
        <c:auto val="1"/>
        <c:lblAlgn val="ctr"/>
        <c:lblOffset val="100"/>
        <c:noMultiLvlLbl val="0"/>
      </c:catAx>
      <c:valAx>
        <c:axId val="48853351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22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[Sales_Report_Final.xlsx]Sheet3!PivotTable3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Warehouse v/s Av delivery time in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4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</c:strCache>
            </c:strRef>
          </c:cat>
          <c:val>
            <c:numRef>
              <c:f>Sheet3!$B$4:$B$7</c:f>
              <c:numCache>
                <c:formatCode>0.00</c:formatCode>
                <c:ptCount val="4"/>
                <c:pt idx="0">
                  <c:v>6.0462427745664744</c:v>
                </c:pt>
                <c:pt idx="1">
                  <c:v>6.1005434782608692</c:v>
                </c:pt>
                <c:pt idx="2">
                  <c:v>6.2806122448979593</c:v>
                </c:pt>
                <c:pt idx="3">
                  <c:v>5.7030456852791875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7-44F4-B767-D08A31D48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8245896"/>
        <c:axId val="1678247944"/>
      </c:barChart>
      <c:catAx>
        <c:axId val="1678245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247944"/>
        <c:crosses val="autoZero"/>
        <c:auto val="1"/>
        <c:lblAlgn val="ctr"/>
        <c:lblOffset val="100"/>
        <c:noMultiLvlLbl val="0"/>
      </c:catAx>
      <c:valAx>
        <c:axId val="167824794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245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[Sales_Report_Final.xlsx]Sheet4!PivotTable4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Share of diff products to total order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F243E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F243E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F243E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F243E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F243E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31-4079-B798-27CFF4085A8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31-4079-B798-27CFF4085A8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31-4079-B798-27CFF4085A8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31-4079-B798-27CFF4085A8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31-4079-B798-27CFF4085A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F243E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Sheet4!$A$4:$A$8</c:f>
              <c:strCache>
                <c:ptCount val="5"/>
                <c:pt idx="0">
                  <c:v>Books</c:v>
                </c:pt>
                <c:pt idx="1">
                  <c:v>Electronics</c:v>
                </c:pt>
                <c:pt idx="2">
                  <c:v>Fashion</c:v>
                </c:pt>
                <c:pt idx="3">
                  <c:v>Grocery</c:v>
                </c:pt>
                <c:pt idx="4">
                  <c:v>Home</c:v>
                </c:pt>
              </c:strCache>
            </c:strRef>
          </c:cat>
          <c:val>
            <c:numRef>
              <c:f>Sheet4!$B$4:$B$8</c:f>
              <c:numCache>
                <c:formatCode>0.00%</c:formatCode>
                <c:ptCount val="5"/>
                <c:pt idx="0">
                  <c:v>0.20189926800768165</c:v>
                </c:pt>
                <c:pt idx="1">
                  <c:v>0.20401125411813131</c:v>
                </c:pt>
                <c:pt idx="2">
                  <c:v>0.20234942414216772</c:v>
                </c:pt>
                <c:pt idx="3">
                  <c:v>0.18709332455070696</c:v>
                </c:pt>
                <c:pt idx="4">
                  <c:v>0.20464672918131235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31-4079-B798-27CFF4085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10555118484039"/>
          <c:y val="0.34269884932176753"/>
          <c:w val="0.16098272090988627"/>
          <c:h val="0.3672535724701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[Sales_Report_Final.xlsx]Sheet5!PivotTable5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Cities v/s contribution to total order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Sheet5!$A$4:$A$11</c:f>
              <c:strCache>
                <c:ptCount val="8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</c:strCache>
            </c:strRef>
          </c:cat>
          <c:val>
            <c:numRef>
              <c:f>Sheet5!$B$4:$B$11</c:f>
              <c:numCache>
                <c:formatCode>0.00%</c:formatCode>
                <c:ptCount val="8"/>
                <c:pt idx="0">
                  <c:v>0.14245001342038716</c:v>
                </c:pt>
                <c:pt idx="1">
                  <c:v>0.1284800588725189</c:v>
                </c:pt>
                <c:pt idx="2">
                  <c:v>0.12815908638063461</c:v>
                </c:pt>
                <c:pt idx="3">
                  <c:v>0.11536770437928789</c:v>
                </c:pt>
                <c:pt idx="4">
                  <c:v>0.11677213353121446</c:v>
                </c:pt>
                <c:pt idx="5">
                  <c:v>0.12385763618954644</c:v>
                </c:pt>
                <c:pt idx="6">
                  <c:v>0.10457850776140801</c:v>
                </c:pt>
                <c:pt idx="7">
                  <c:v>0.14033485946500254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B-4298-B963-67F20588B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8338823"/>
        <c:axId val="978380807"/>
      </c:barChart>
      <c:catAx>
        <c:axId val="978338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380807"/>
        <c:crosses val="autoZero"/>
        <c:auto val="1"/>
        <c:lblAlgn val="ctr"/>
        <c:lblOffset val="100"/>
        <c:noMultiLvlLbl val="0"/>
      </c:catAx>
      <c:valAx>
        <c:axId val="978380807"/>
        <c:scaling>
          <c:orientation val="minMax"/>
          <c:min val="0.05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338823"/>
        <c:crosses val="autoZero"/>
        <c:crossBetween val="between"/>
        <c:majorUnit val="0.0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[Sales_Report_Final.xlsx]Sheet6!PivotTable6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Contribution of members to total order value : Regular v/s Premium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5D-4BD7-A1A1-7A781BC8A41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5D-4BD7-A1A1-7A781BC8A4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Sheet6!$A$4:$A$5</c:f>
              <c:strCache>
                <c:ptCount val="2"/>
                <c:pt idx="0">
                  <c:v>Premium</c:v>
                </c:pt>
                <c:pt idx="1">
                  <c:v>Regular</c:v>
                </c:pt>
              </c:strCache>
            </c:strRef>
          </c:cat>
          <c:val>
            <c:numRef>
              <c:f>Sheet6!$B$4:$B$5</c:f>
              <c:numCache>
                <c:formatCode>0.00%</c:formatCode>
                <c:ptCount val="2"/>
                <c:pt idx="0">
                  <c:v>0.53083419182825942</c:v>
                </c:pt>
                <c:pt idx="1">
                  <c:v>0.46916580817174058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5D-4BD7-A1A1-7A781BC8A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4.9305470784505208E-2"/>
          <c:y val="0.45521077322660919"/>
          <c:w val="0.13323228346456692"/>
          <c:h val="0.146901428988043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[Sales_Report_Final.xlsx]Sheet2!PivotTable2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Courier partner v/s Delivery time in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4"/>
                <c:pt idx="0">
                  <c:v>Blue Dart</c:v>
                </c:pt>
                <c:pt idx="1">
                  <c:v>Delhivery</c:v>
                </c:pt>
                <c:pt idx="2">
                  <c:v>Ecom Express</c:v>
                </c:pt>
                <c:pt idx="3">
                  <c:v>Xpressbees</c:v>
                </c:pt>
              </c:strCache>
            </c:strRef>
          </c:cat>
          <c:val>
            <c:numRef>
              <c:f>Sheet2!$B$4:$B$7</c:f>
              <c:numCache>
                <c:formatCode>0.00</c:formatCode>
                <c:ptCount val="4"/>
                <c:pt idx="0">
                  <c:v>6.0695652173913039</c:v>
                </c:pt>
                <c:pt idx="1">
                  <c:v>5.8419753086419757</c:v>
                </c:pt>
                <c:pt idx="2">
                  <c:v>6.1472868217054266</c:v>
                </c:pt>
                <c:pt idx="3">
                  <c:v>6.0798898071625347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8-0F4D-840F-DE9824113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3953544"/>
        <c:axId val="1054244872"/>
      </c:barChart>
      <c:catAx>
        <c:axId val="105395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244872"/>
        <c:crosses val="autoZero"/>
        <c:auto val="1"/>
        <c:lblAlgn val="ctr"/>
        <c:lblOffset val="100"/>
        <c:noMultiLvlLbl val="0"/>
      </c:catAx>
      <c:valAx>
        <c:axId val="105424487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95354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[Sales_Report_Final.xlsx]Sheet2!PivotTable2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 delivery time in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4"/>
                <c:pt idx="0">
                  <c:v>Blue Dart</c:v>
                </c:pt>
                <c:pt idx="1">
                  <c:v>Delhivery</c:v>
                </c:pt>
                <c:pt idx="2">
                  <c:v>Ecom Express</c:v>
                </c:pt>
                <c:pt idx="3">
                  <c:v>Xpressbees</c:v>
                </c:pt>
              </c:strCache>
            </c:strRef>
          </c:cat>
          <c:val>
            <c:numRef>
              <c:f>Sheet2!$B$4:$B$7</c:f>
              <c:numCache>
                <c:formatCode>0.00</c:formatCode>
                <c:ptCount val="4"/>
                <c:pt idx="0">
                  <c:v>6.0695652173913039</c:v>
                </c:pt>
                <c:pt idx="1">
                  <c:v>5.8419753086419757</c:v>
                </c:pt>
                <c:pt idx="2">
                  <c:v>6.1472868217054266</c:v>
                </c:pt>
                <c:pt idx="3">
                  <c:v>6.0798898071625347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1-467A-A04E-8C3067B6E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3953544"/>
        <c:axId val="1054244872"/>
      </c:barChart>
      <c:catAx>
        <c:axId val="105395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244872"/>
        <c:crosses val="autoZero"/>
        <c:auto val="1"/>
        <c:lblAlgn val="ctr"/>
        <c:lblOffset val="100"/>
        <c:noMultiLvlLbl val="0"/>
      </c:catAx>
      <c:valAx>
        <c:axId val="105424487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95354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[Sales_Report_Final.xlsx]Sheet3!PivotTable3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Warehouse v/s Av delivery time in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4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</c:strCache>
            </c:strRef>
          </c:cat>
          <c:val>
            <c:numRef>
              <c:f>Sheet3!$B$4:$B$7</c:f>
              <c:numCache>
                <c:formatCode>0.00</c:formatCode>
                <c:ptCount val="4"/>
                <c:pt idx="0">
                  <c:v>6.0462427745664744</c:v>
                </c:pt>
                <c:pt idx="1">
                  <c:v>6.1005434782608692</c:v>
                </c:pt>
                <c:pt idx="2">
                  <c:v>6.2806122448979593</c:v>
                </c:pt>
                <c:pt idx="3">
                  <c:v>5.7030456852791875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2-4CB0-B4E8-CDC6AAAD4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8245896"/>
        <c:axId val="1678247944"/>
      </c:barChart>
      <c:catAx>
        <c:axId val="1678245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247944"/>
        <c:crosses val="autoZero"/>
        <c:auto val="1"/>
        <c:lblAlgn val="ctr"/>
        <c:lblOffset val="100"/>
        <c:noMultiLvlLbl val="0"/>
      </c:catAx>
      <c:valAx>
        <c:axId val="167824794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245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 /><Relationship Id="rId2" Type="http://schemas.openxmlformats.org/officeDocument/2006/relationships/chart" Target="../charts/chart6.xml" /><Relationship Id="rId1" Type="http://schemas.openxmlformats.org/officeDocument/2006/relationships/chart" Target="../charts/chart5.xml" /><Relationship Id="rId6" Type="http://schemas.openxmlformats.org/officeDocument/2006/relationships/chart" Target="../charts/chart10.xml" /><Relationship Id="rId5" Type="http://schemas.openxmlformats.org/officeDocument/2006/relationships/chart" Target="../charts/chart9.xml" /><Relationship Id="rId4" Type="http://schemas.openxmlformats.org/officeDocument/2006/relationships/chart" Target="../charts/chart8.xml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 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1057275</xdr:colOff>
      <xdr:row>0</xdr:row>
      <xdr:rowOff>0</xdr:rowOff>
    </xdr:from>
    <xdr:to>
      <xdr:col>9</xdr:col>
      <xdr:colOff>28575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560085-8FBB-73DA-A28B-89DCC79DC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161925</xdr:rowOff>
    </xdr:from>
    <xdr:to>
      <xdr:col>10</xdr:col>
      <xdr:colOff>304800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36B508-7FFA-5897-D2A4-DF087B525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</xdr:row>
      <xdr:rowOff>66675</xdr:rowOff>
    </xdr:from>
    <xdr:to>
      <xdr:col>10</xdr:col>
      <xdr:colOff>28575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E032FF-E529-0D59-8530-6D472594A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0</xdr:row>
      <xdr:rowOff>133350</xdr:rowOff>
    </xdr:from>
    <xdr:to>
      <xdr:col>11</xdr:col>
      <xdr:colOff>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E0F45D-C7EE-80D1-A7C1-77C2B37BF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201212</xdr:colOff>
      <xdr:row>24</xdr:row>
      <xdr:rowOff>46162</xdr:rowOff>
    </xdr:from>
    <xdr:to>
      <xdr:col>12</xdr:col>
      <xdr:colOff>32254</xdr:colOff>
      <xdr:row>46</xdr:row>
      <xdr:rowOff>63219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F791D8-AACA-4D6A-8445-897B73582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172383</xdr:colOff>
      <xdr:row>5</xdr:row>
      <xdr:rowOff>52105</xdr:rowOff>
    </xdr:from>
    <xdr:to>
      <xdr:col>9</xdr:col>
      <xdr:colOff>14566</xdr:colOff>
      <xdr:row>22</xdr:row>
      <xdr:rowOff>116530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B89654-AAC0-4F92-A69B-2C1D14FFF258}"/>
            </a:ext>
            <a:ext uri="{147F2762-F138-4A5C-976F-8EAC2B608ADB}">
              <a16:predDERef xmlns:a16="http://schemas.microsoft.com/office/drawing/2014/main" pred="{38AD38E3-557F-45C0-9BB2-F3691903C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559966</xdr:colOff>
      <xdr:row>5</xdr:row>
      <xdr:rowOff>63648</xdr:rowOff>
    </xdr:from>
    <xdr:to>
      <xdr:col>17</xdr:col>
      <xdr:colOff>575172</xdr:colOff>
      <xdr:row>23</xdr:row>
      <xdr:rowOff>70553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DB4A5C-75A7-4E37-A1BF-BF023487FF76}"/>
            </a:ext>
            <a:ext uri="{147F2762-F138-4A5C-976F-8EAC2B608ADB}">
              <a16:predDERef xmlns:a16="http://schemas.microsoft.com/office/drawing/2014/main" pred="{5CB89654-AAC0-4F92-A69B-2C1D14FFF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219962</xdr:colOff>
      <xdr:row>6</xdr:row>
      <xdr:rowOff>5613</xdr:rowOff>
    </xdr:from>
    <xdr:to>
      <xdr:col>30</xdr:col>
      <xdr:colOff>352780</xdr:colOff>
      <xdr:row>23</xdr:row>
      <xdr:rowOff>167930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F7A2DE-499B-47B3-BBE0-9D995CD42A2D}"/>
            </a:ext>
            <a:ext uri="{147F2762-F138-4A5C-976F-8EAC2B608ADB}">
              <a16:predDERef xmlns:a16="http://schemas.microsoft.com/office/drawing/2014/main" pred="{03DB4A5C-75A7-4E37-A1BF-BF023487F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283939</xdr:colOff>
      <xdr:row>24</xdr:row>
      <xdr:rowOff>111732</xdr:rowOff>
    </xdr:from>
    <xdr:to>
      <xdr:col>20</xdr:col>
      <xdr:colOff>479775</xdr:colOff>
      <xdr:row>46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9BCEAB-C62E-452B-96C7-1C0DDA0C4571}"/>
            </a:ext>
            <a:ext uri="{147F2762-F138-4A5C-976F-8EAC2B608ADB}">
              <a16:predDERef xmlns:a16="http://schemas.microsoft.com/office/drawing/2014/main" pred="{4DF7A2DE-499B-47B3-BBE0-9D995CD42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71683</xdr:colOff>
      <xdr:row>24</xdr:row>
      <xdr:rowOff>115426</xdr:rowOff>
    </xdr:from>
    <xdr:to>
      <xdr:col>30</xdr:col>
      <xdr:colOff>352213</xdr:colOff>
      <xdr:row>46</xdr:row>
      <xdr:rowOff>54188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9F77EF3-3CCF-B744-E246-EE79F5403774}"/>
            </a:ext>
            <a:ext uri="{147F2762-F138-4A5C-976F-8EAC2B608ADB}">
              <a16:predDERef xmlns:a16="http://schemas.microsoft.com/office/drawing/2014/main" pred="{B4F791D8-AACA-4D6A-8445-897B73582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0</xdr:row>
      <xdr:rowOff>0</xdr:rowOff>
    </xdr:from>
    <xdr:to>
      <xdr:col>10</xdr:col>
      <xdr:colOff>466725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3B5042-46BF-4E88-9B4C-491944FEE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0</xdr:row>
      <xdr:rowOff>104775</xdr:rowOff>
    </xdr:from>
    <xdr:to>
      <xdr:col>10</xdr:col>
      <xdr:colOff>28575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7217BF-8C63-1715-687D-CA3C86E8D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 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 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6.538667129629" createdVersion="8" refreshedVersion="8" minRefreshableVersion="3" recordCount="1501" xr:uid="{D5944DF1-BAB2-4D89-BB1B-8970C8FDE199}">
  <cacheSource type="worksheet">
    <worksheetSource ref="C1:D1048576" sheet="Logistics"/>
  </cacheSource>
  <cacheFields count="2">
    <cacheField name="Courier_Partner" numFmtId="0">
      <sharedItems containsBlank="1" count="5">
        <s v="Blue Dart"/>
        <s v="Delhivery"/>
        <s v="Ecom Express"/>
        <s v="Xpressbees"/>
        <m/>
      </sharedItems>
    </cacheField>
    <cacheField name="Delivery time in days" numFmtId="0">
      <sharedItems containsString="0" containsBlank="1" containsNumber="1" containsInteger="1" minValue="2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6.538667361114" createdVersion="8" refreshedVersion="8" minRefreshableVersion="3" recordCount="1501" xr:uid="{2919AD1F-81EE-43CA-B354-AA599D9E09D6}">
  <cacheSource type="worksheet">
    <worksheetSource ref="B1:D1048576" sheet="Logistics"/>
  </cacheSource>
  <cacheFields count="3">
    <cacheField name="Warehouse_ID" numFmtId="0">
      <sharedItems containsBlank="1" count="5">
        <s v="W01"/>
        <s v="W02"/>
        <s v="W03"/>
        <s v="W04"/>
        <m/>
      </sharedItems>
    </cacheField>
    <cacheField name="Courier_Partner" numFmtId="0">
      <sharedItems containsBlank="1" count="5">
        <s v="Blue Dart"/>
        <s v="Delhivery"/>
        <s v="Ecom Express"/>
        <s v="Xpressbees"/>
        <m/>
      </sharedItems>
    </cacheField>
    <cacheField name="Delivery time in days" numFmtId="0">
      <sharedItems containsString="0" containsBlank="1" containsNumber="1" containsInteger="1" minValue="2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6.541654976849" createdVersion="8" refreshedVersion="8" minRefreshableVersion="3" recordCount="1501" xr:uid="{3AA4B959-FB00-4B31-BDB1-2F4BFA22CEB1}">
  <cacheSource type="worksheet">
    <worksheetSource ref="G1:H1048576" sheet="Orders"/>
  </cacheSource>
  <cacheFields count="2">
    <cacheField name="Product_Category" numFmtId="0">
      <sharedItems containsBlank="1" count="6">
        <s v="Home"/>
        <s v="Electronics"/>
        <s v="Books"/>
        <s v="Grocery"/>
        <s v="Fashion"/>
        <m/>
      </sharedItems>
    </cacheField>
    <cacheField name="Order_Value" numFmtId="0">
      <sharedItems containsString="0" containsBlank="1" containsNumber="1" containsInteger="1" minValue="344" maxValue="499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6.546994097225" createdVersion="8" refreshedVersion="8" minRefreshableVersion="3" recordCount="1501" xr:uid="{8C6A60A7-E650-405A-9DB2-697FC3D91438}">
  <cacheSource type="worksheet">
    <worksheetSource ref="F1:H1048576" sheet="Orders"/>
  </cacheSource>
  <cacheFields count="3">
    <cacheField name="City" numFmtId="0">
      <sharedItems containsBlank="1" count="9">
        <s v="Kolkata"/>
        <s v="Hyderabad"/>
        <s v="Bengaluru"/>
        <s v="Mumbai"/>
        <s v="Patna"/>
        <s v="Chennai"/>
        <s v="Delhi"/>
        <s v="Pune"/>
        <m/>
      </sharedItems>
    </cacheField>
    <cacheField name="Product_Category" numFmtId="0">
      <sharedItems containsBlank="1"/>
    </cacheField>
    <cacheField name="Order_Value" numFmtId="0">
      <sharedItems containsString="0" containsBlank="1" containsNumber="1" containsInteger="1" minValue="344" maxValue="499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6.554718981482" createdVersion="8" refreshedVersion="8" minRefreshableVersion="3" recordCount="1501" xr:uid="{AB1270E5-4877-4610-923A-643644FC8DDE}">
  <cacheSource type="worksheet">
    <worksheetSource ref="H1:I1048576" sheet="Orders"/>
  </cacheSource>
  <cacheFields count="2">
    <cacheField name="Order_Value" numFmtId="0">
      <sharedItems containsString="0" containsBlank="1" containsNumber="1" containsInteger="1" minValue="344" maxValue="49946"/>
    </cacheField>
    <cacheField name="Membership status" numFmtId="0">
      <sharedItems containsBlank="1" count="3">
        <s v="Regular"/>
        <s v="Premiu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1">
  <r>
    <x v="0"/>
    <n v="9"/>
  </r>
  <r>
    <x v="0"/>
    <n v="4"/>
  </r>
  <r>
    <x v="0"/>
    <n v="4"/>
  </r>
  <r>
    <x v="0"/>
    <n v="7"/>
  </r>
  <r>
    <x v="0"/>
    <n v="3"/>
  </r>
  <r>
    <x v="0"/>
    <n v="2"/>
  </r>
  <r>
    <x v="0"/>
    <n v="10"/>
  </r>
  <r>
    <x v="0"/>
    <n v="10"/>
  </r>
  <r>
    <x v="0"/>
    <n v="6"/>
  </r>
  <r>
    <x v="0"/>
    <n v="9"/>
  </r>
  <r>
    <x v="0"/>
    <n v="4"/>
  </r>
  <r>
    <x v="0"/>
    <n v="4"/>
  </r>
  <r>
    <x v="0"/>
    <n v="7"/>
  </r>
  <r>
    <x v="0"/>
    <n v="2"/>
  </r>
  <r>
    <x v="0"/>
    <n v="5"/>
  </r>
  <r>
    <x v="0"/>
    <n v="6"/>
  </r>
  <r>
    <x v="0"/>
    <n v="2"/>
  </r>
  <r>
    <x v="0"/>
    <n v="7"/>
  </r>
  <r>
    <x v="0"/>
    <n v="4"/>
  </r>
  <r>
    <x v="0"/>
    <n v="9"/>
  </r>
  <r>
    <x v="0"/>
    <n v="8"/>
  </r>
  <r>
    <x v="0"/>
    <n v="7"/>
  </r>
  <r>
    <x v="0"/>
    <n v="9"/>
  </r>
  <r>
    <x v="0"/>
    <n v="4"/>
  </r>
  <r>
    <x v="0"/>
    <n v="8"/>
  </r>
  <r>
    <x v="0"/>
    <n v="7"/>
  </r>
  <r>
    <x v="0"/>
    <n v="3"/>
  </r>
  <r>
    <x v="0"/>
    <n v="6"/>
  </r>
  <r>
    <x v="0"/>
    <n v="10"/>
  </r>
  <r>
    <x v="0"/>
    <n v="5"/>
  </r>
  <r>
    <x v="0"/>
    <n v="4"/>
  </r>
  <r>
    <x v="0"/>
    <n v="8"/>
  </r>
  <r>
    <x v="0"/>
    <n v="6"/>
  </r>
  <r>
    <x v="0"/>
    <n v="6"/>
  </r>
  <r>
    <x v="0"/>
    <n v="2"/>
  </r>
  <r>
    <x v="0"/>
    <n v="8"/>
  </r>
  <r>
    <x v="0"/>
    <n v="8"/>
  </r>
  <r>
    <x v="0"/>
    <n v="4"/>
  </r>
  <r>
    <x v="0"/>
    <n v="2"/>
  </r>
  <r>
    <x v="0"/>
    <n v="2"/>
  </r>
  <r>
    <x v="0"/>
    <n v="4"/>
  </r>
  <r>
    <x v="0"/>
    <n v="8"/>
  </r>
  <r>
    <x v="0"/>
    <n v="7"/>
  </r>
  <r>
    <x v="0"/>
    <n v="10"/>
  </r>
  <r>
    <x v="0"/>
    <n v="6"/>
  </r>
  <r>
    <x v="0"/>
    <n v="3"/>
  </r>
  <r>
    <x v="0"/>
    <n v="10"/>
  </r>
  <r>
    <x v="0"/>
    <n v="7"/>
  </r>
  <r>
    <x v="0"/>
    <n v="6"/>
  </r>
  <r>
    <x v="0"/>
    <n v="10"/>
  </r>
  <r>
    <x v="0"/>
    <n v="5"/>
  </r>
  <r>
    <x v="0"/>
    <n v="7"/>
  </r>
  <r>
    <x v="0"/>
    <n v="3"/>
  </r>
  <r>
    <x v="0"/>
    <n v="2"/>
  </r>
  <r>
    <x v="0"/>
    <n v="3"/>
  </r>
  <r>
    <x v="0"/>
    <n v="5"/>
  </r>
  <r>
    <x v="0"/>
    <n v="9"/>
  </r>
  <r>
    <x v="0"/>
    <n v="7"/>
  </r>
  <r>
    <x v="0"/>
    <n v="10"/>
  </r>
  <r>
    <x v="0"/>
    <n v="7"/>
  </r>
  <r>
    <x v="0"/>
    <n v="6"/>
  </r>
  <r>
    <x v="0"/>
    <n v="5"/>
  </r>
  <r>
    <x v="0"/>
    <n v="5"/>
  </r>
  <r>
    <x v="0"/>
    <n v="2"/>
  </r>
  <r>
    <x v="0"/>
    <n v="5"/>
  </r>
  <r>
    <x v="0"/>
    <n v="5"/>
  </r>
  <r>
    <x v="0"/>
    <n v="7"/>
  </r>
  <r>
    <x v="0"/>
    <n v="7"/>
  </r>
  <r>
    <x v="0"/>
    <n v="4"/>
  </r>
  <r>
    <x v="0"/>
    <n v="2"/>
  </r>
  <r>
    <x v="0"/>
    <n v="4"/>
  </r>
  <r>
    <x v="0"/>
    <n v="6"/>
  </r>
  <r>
    <x v="0"/>
    <n v="10"/>
  </r>
  <r>
    <x v="0"/>
    <n v="9"/>
  </r>
  <r>
    <x v="0"/>
    <n v="7"/>
  </r>
  <r>
    <x v="0"/>
    <n v="4"/>
  </r>
  <r>
    <x v="0"/>
    <n v="3"/>
  </r>
  <r>
    <x v="0"/>
    <n v="2"/>
  </r>
  <r>
    <x v="0"/>
    <n v="3"/>
  </r>
  <r>
    <x v="0"/>
    <n v="3"/>
  </r>
  <r>
    <x v="0"/>
    <n v="9"/>
  </r>
  <r>
    <x v="0"/>
    <n v="3"/>
  </r>
  <r>
    <x v="0"/>
    <n v="5"/>
  </r>
  <r>
    <x v="0"/>
    <n v="10"/>
  </r>
  <r>
    <x v="0"/>
    <n v="7"/>
  </r>
  <r>
    <x v="0"/>
    <n v="10"/>
  </r>
  <r>
    <x v="0"/>
    <n v="4"/>
  </r>
  <r>
    <x v="0"/>
    <n v="10"/>
  </r>
  <r>
    <x v="0"/>
    <n v="10"/>
  </r>
  <r>
    <x v="0"/>
    <n v="2"/>
  </r>
  <r>
    <x v="0"/>
    <n v="3"/>
  </r>
  <r>
    <x v="0"/>
    <n v="3"/>
  </r>
  <r>
    <x v="0"/>
    <n v="10"/>
  </r>
  <r>
    <x v="0"/>
    <n v="5"/>
  </r>
  <r>
    <x v="0"/>
    <n v="3"/>
  </r>
  <r>
    <x v="0"/>
    <n v="4"/>
  </r>
  <r>
    <x v="0"/>
    <n v="7"/>
  </r>
  <r>
    <x v="0"/>
    <n v="8"/>
  </r>
  <r>
    <x v="0"/>
    <n v="9"/>
  </r>
  <r>
    <x v="0"/>
    <n v="8"/>
  </r>
  <r>
    <x v="0"/>
    <n v="2"/>
  </r>
  <r>
    <x v="0"/>
    <n v="8"/>
  </r>
  <r>
    <x v="0"/>
    <n v="3"/>
  </r>
  <r>
    <x v="0"/>
    <n v="2"/>
  </r>
  <r>
    <x v="0"/>
    <n v="9"/>
  </r>
  <r>
    <x v="0"/>
    <n v="6"/>
  </r>
  <r>
    <x v="0"/>
    <n v="8"/>
  </r>
  <r>
    <x v="0"/>
    <n v="8"/>
  </r>
  <r>
    <x v="0"/>
    <n v="4"/>
  </r>
  <r>
    <x v="0"/>
    <n v="9"/>
  </r>
  <r>
    <x v="0"/>
    <n v="3"/>
  </r>
  <r>
    <x v="0"/>
    <n v="8"/>
  </r>
  <r>
    <x v="0"/>
    <n v="6"/>
  </r>
  <r>
    <x v="0"/>
    <n v="6"/>
  </r>
  <r>
    <x v="0"/>
    <n v="6"/>
  </r>
  <r>
    <x v="0"/>
    <n v="4"/>
  </r>
  <r>
    <x v="0"/>
    <n v="8"/>
  </r>
  <r>
    <x v="0"/>
    <n v="6"/>
  </r>
  <r>
    <x v="0"/>
    <n v="9"/>
  </r>
  <r>
    <x v="0"/>
    <n v="3"/>
  </r>
  <r>
    <x v="0"/>
    <n v="9"/>
  </r>
  <r>
    <x v="0"/>
    <n v="9"/>
  </r>
  <r>
    <x v="0"/>
    <n v="8"/>
  </r>
  <r>
    <x v="0"/>
    <n v="4"/>
  </r>
  <r>
    <x v="0"/>
    <n v="2"/>
  </r>
  <r>
    <x v="0"/>
    <n v="10"/>
  </r>
  <r>
    <x v="0"/>
    <n v="10"/>
  </r>
  <r>
    <x v="0"/>
    <n v="4"/>
  </r>
  <r>
    <x v="0"/>
    <n v="7"/>
  </r>
  <r>
    <x v="0"/>
    <n v="5"/>
  </r>
  <r>
    <x v="0"/>
    <n v="6"/>
  </r>
  <r>
    <x v="0"/>
    <n v="9"/>
  </r>
  <r>
    <x v="0"/>
    <n v="2"/>
  </r>
  <r>
    <x v="0"/>
    <n v="2"/>
  </r>
  <r>
    <x v="0"/>
    <n v="10"/>
  </r>
  <r>
    <x v="0"/>
    <n v="3"/>
  </r>
  <r>
    <x v="0"/>
    <n v="4"/>
  </r>
  <r>
    <x v="0"/>
    <n v="9"/>
  </r>
  <r>
    <x v="0"/>
    <n v="4"/>
  </r>
  <r>
    <x v="0"/>
    <n v="4"/>
  </r>
  <r>
    <x v="0"/>
    <n v="10"/>
  </r>
  <r>
    <x v="0"/>
    <n v="9"/>
  </r>
  <r>
    <x v="0"/>
    <n v="2"/>
  </r>
  <r>
    <x v="0"/>
    <n v="3"/>
  </r>
  <r>
    <x v="0"/>
    <n v="4"/>
  </r>
  <r>
    <x v="0"/>
    <n v="10"/>
  </r>
  <r>
    <x v="0"/>
    <n v="5"/>
  </r>
  <r>
    <x v="0"/>
    <n v="4"/>
  </r>
  <r>
    <x v="0"/>
    <n v="9"/>
  </r>
  <r>
    <x v="0"/>
    <n v="3"/>
  </r>
  <r>
    <x v="0"/>
    <n v="4"/>
  </r>
  <r>
    <x v="0"/>
    <n v="9"/>
  </r>
  <r>
    <x v="0"/>
    <n v="3"/>
  </r>
  <r>
    <x v="0"/>
    <n v="7"/>
  </r>
  <r>
    <x v="0"/>
    <n v="7"/>
  </r>
  <r>
    <x v="0"/>
    <n v="10"/>
  </r>
  <r>
    <x v="0"/>
    <n v="6"/>
  </r>
  <r>
    <x v="0"/>
    <n v="5"/>
  </r>
  <r>
    <x v="0"/>
    <n v="7"/>
  </r>
  <r>
    <x v="0"/>
    <n v="6"/>
  </r>
  <r>
    <x v="0"/>
    <n v="9"/>
  </r>
  <r>
    <x v="0"/>
    <n v="9"/>
  </r>
  <r>
    <x v="0"/>
    <n v="8"/>
  </r>
  <r>
    <x v="0"/>
    <n v="9"/>
  </r>
  <r>
    <x v="0"/>
    <n v="5"/>
  </r>
  <r>
    <x v="0"/>
    <n v="3"/>
  </r>
  <r>
    <x v="0"/>
    <n v="8"/>
  </r>
  <r>
    <x v="0"/>
    <n v="3"/>
  </r>
  <r>
    <x v="0"/>
    <n v="10"/>
  </r>
  <r>
    <x v="0"/>
    <n v="6"/>
  </r>
  <r>
    <x v="0"/>
    <n v="6"/>
  </r>
  <r>
    <x v="0"/>
    <n v="10"/>
  </r>
  <r>
    <x v="0"/>
    <n v="10"/>
  </r>
  <r>
    <x v="0"/>
    <n v="5"/>
  </r>
  <r>
    <x v="0"/>
    <n v="8"/>
  </r>
  <r>
    <x v="0"/>
    <n v="3"/>
  </r>
  <r>
    <x v="0"/>
    <n v="7"/>
  </r>
  <r>
    <x v="0"/>
    <n v="9"/>
  </r>
  <r>
    <x v="0"/>
    <n v="10"/>
  </r>
  <r>
    <x v="0"/>
    <n v="4"/>
  </r>
  <r>
    <x v="0"/>
    <n v="8"/>
  </r>
  <r>
    <x v="0"/>
    <n v="9"/>
  </r>
  <r>
    <x v="0"/>
    <n v="7"/>
  </r>
  <r>
    <x v="0"/>
    <n v="3"/>
  </r>
  <r>
    <x v="0"/>
    <n v="3"/>
  </r>
  <r>
    <x v="0"/>
    <n v="5"/>
  </r>
  <r>
    <x v="0"/>
    <n v="8"/>
  </r>
  <r>
    <x v="0"/>
    <n v="3"/>
  </r>
  <r>
    <x v="0"/>
    <n v="3"/>
  </r>
  <r>
    <x v="0"/>
    <n v="2"/>
  </r>
  <r>
    <x v="0"/>
    <n v="6"/>
  </r>
  <r>
    <x v="0"/>
    <n v="8"/>
  </r>
  <r>
    <x v="0"/>
    <n v="4"/>
  </r>
  <r>
    <x v="0"/>
    <n v="10"/>
  </r>
  <r>
    <x v="0"/>
    <n v="6"/>
  </r>
  <r>
    <x v="0"/>
    <n v="8"/>
  </r>
  <r>
    <x v="0"/>
    <n v="9"/>
  </r>
  <r>
    <x v="0"/>
    <n v="10"/>
  </r>
  <r>
    <x v="0"/>
    <n v="10"/>
  </r>
  <r>
    <x v="0"/>
    <n v="3"/>
  </r>
  <r>
    <x v="0"/>
    <n v="7"/>
  </r>
  <r>
    <x v="0"/>
    <n v="3"/>
  </r>
  <r>
    <x v="0"/>
    <n v="5"/>
  </r>
  <r>
    <x v="0"/>
    <n v="9"/>
  </r>
  <r>
    <x v="0"/>
    <n v="6"/>
  </r>
  <r>
    <x v="0"/>
    <n v="9"/>
  </r>
  <r>
    <x v="0"/>
    <n v="5"/>
  </r>
  <r>
    <x v="0"/>
    <n v="3"/>
  </r>
  <r>
    <x v="0"/>
    <n v="8"/>
  </r>
  <r>
    <x v="0"/>
    <n v="8"/>
  </r>
  <r>
    <x v="0"/>
    <n v="4"/>
  </r>
  <r>
    <x v="0"/>
    <n v="10"/>
  </r>
  <r>
    <x v="0"/>
    <n v="6"/>
  </r>
  <r>
    <x v="0"/>
    <n v="7"/>
  </r>
  <r>
    <x v="0"/>
    <n v="10"/>
  </r>
  <r>
    <x v="0"/>
    <n v="8"/>
  </r>
  <r>
    <x v="0"/>
    <n v="9"/>
  </r>
  <r>
    <x v="0"/>
    <n v="10"/>
  </r>
  <r>
    <x v="0"/>
    <n v="2"/>
  </r>
  <r>
    <x v="0"/>
    <n v="10"/>
  </r>
  <r>
    <x v="0"/>
    <n v="9"/>
  </r>
  <r>
    <x v="0"/>
    <n v="10"/>
  </r>
  <r>
    <x v="0"/>
    <n v="2"/>
  </r>
  <r>
    <x v="0"/>
    <n v="4"/>
  </r>
  <r>
    <x v="0"/>
    <n v="9"/>
  </r>
  <r>
    <x v="0"/>
    <n v="9"/>
  </r>
  <r>
    <x v="0"/>
    <n v="2"/>
  </r>
  <r>
    <x v="0"/>
    <n v="5"/>
  </r>
  <r>
    <x v="0"/>
    <n v="8"/>
  </r>
  <r>
    <x v="0"/>
    <n v="10"/>
  </r>
  <r>
    <x v="0"/>
    <n v="6"/>
  </r>
  <r>
    <x v="0"/>
    <n v="7"/>
  </r>
  <r>
    <x v="0"/>
    <n v="7"/>
  </r>
  <r>
    <x v="0"/>
    <n v="8"/>
  </r>
  <r>
    <x v="0"/>
    <n v="3"/>
  </r>
  <r>
    <x v="0"/>
    <n v="9"/>
  </r>
  <r>
    <x v="0"/>
    <n v="6"/>
  </r>
  <r>
    <x v="0"/>
    <n v="10"/>
  </r>
  <r>
    <x v="0"/>
    <n v="6"/>
  </r>
  <r>
    <x v="0"/>
    <n v="8"/>
  </r>
  <r>
    <x v="0"/>
    <n v="8"/>
  </r>
  <r>
    <x v="0"/>
    <n v="9"/>
  </r>
  <r>
    <x v="0"/>
    <n v="7"/>
  </r>
  <r>
    <x v="0"/>
    <n v="10"/>
  </r>
  <r>
    <x v="0"/>
    <n v="2"/>
  </r>
  <r>
    <x v="0"/>
    <n v="9"/>
  </r>
  <r>
    <x v="0"/>
    <n v="9"/>
  </r>
  <r>
    <x v="0"/>
    <n v="6"/>
  </r>
  <r>
    <x v="0"/>
    <n v="7"/>
  </r>
  <r>
    <x v="0"/>
    <n v="8"/>
  </r>
  <r>
    <x v="0"/>
    <n v="3"/>
  </r>
  <r>
    <x v="0"/>
    <n v="2"/>
  </r>
  <r>
    <x v="0"/>
    <n v="8"/>
  </r>
  <r>
    <x v="0"/>
    <n v="2"/>
  </r>
  <r>
    <x v="0"/>
    <n v="8"/>
  </r>
  <r>
    <x v="0"/>
    <n v="7"/>
  </r>
  <r>
    <x v="0"/>
    <n v="2"/>
  </r>
  <r>
    <x v="0"/>
    <n v="6"/>
  </r>
  <r>
    <x v="0"/>
    <n v="10"/>
  </r>
  <r>
    <x v="0"/>
    <n v="9"/>
  </r>
  <r>
    <x v="0"/>
    <n v="3"/>
  </r>
  <r>
    <x v="0"/>
    <n v="8"/>
  </r>
  <r>
    <x v="0"/>
    <n v="8"/>
  </r>
  <r>
    <x v="0"/>
    <n v="5"/>
  </r>
  <r>
    <x v="0"/>
    <n v="6"/>
  </r>
  <r>
    <x v="0"/>
    <n v="5"/>
  </r>
  <r>
    <x v="0"/>
    <n v="8"/>
  </r>
  <r>
    <x v="0"/>
    <n v="6"/>
  </r>
  <r>
    <x v="0"/>
    <n v="10"/>
  </r>
  <r>
    <x v="0"/>
    <n v="2"/>
  </r>
  <r>
    <x v="0"/>
    <n v="7"/>
  </r>
  <r>
    <x v="0"/>
    <n v="5"/>
  </r>
  <r>
    <x v="0"/>
    <n v="5"/>
  </r>
  <r>
    <x v="0"/>
    <n v="9"/>
  </r>
  <r>
    <x v="0"/>
    <n v="7"/>
  </r>
  <r>
    <x v="0"/>
    <n v="9"/>
  </r>
  <r>
    <x v="0"/>
    <n v="3"/>
  </r>
  <r>
    <x v="0"/>
    <n v="2"/>
  </r>
  <r>
    <x v="0"/>
    <n v="8"/>
  </r>
  <r>
    <x v="0"/>
    <n v="5"/>
  </r>
  <r>
    <x v="0"/>
    <n v="3"/>
  </r>
  <r>
    <x v="0"/>
    <n v="6"/>
  </r>
  <r>
    <x v="0"/>
    <n v="5"/>
  </r>
  <r>
    <x v="0"/>
    <n v="7"/>
  </r>
  <r>
    <x v="0"/>
    <n v="5"/>
  </r>
  <r>
    <x v="0"/>
    <n v="2"/>
  </r>
  <r>
    <x v="0"/>
    <n v="7"/>
  </r>
  <r>
    <x v="0"/>
    <n v="9"/>
  </r>
  <r>
    <x v="0"/>
    <n v="5"/>
  </r>
  <r>
    <x v="0"/>
    <n v="2"/>
  </r>
  <r>
    <x v="0"/>
    <n v="5"/>
  </r>
  <r>
    <x v="0"/>
    <n v="2"/>
  </r>
  <r>
    <x v="0"/>
    <n v="2"/>
  </r>
  <r>
    <x v="0"/>
    <n v="7"/>
  </r>
  <r>
    <x v="0"/>
    <n v="2"/>
  </r>
  <r>
    <x v="0"/>
    <n v="5"/>
  </r>
  <r>
    <x v="0"/>
    <n v="4"/>
  </r>
  <r>
    <x v="0"/>
    <n v="8"/>
  </r>
  <r>
    <x v="0"/>
    <n v="5"/>
  </r>
  <r>
    <x v="0"/>
    <n v="7"/>
  </r>
  <r>
    <x v="0"/>
    <n v="7"/>
  </r>
  <r>
    <x v="0"/>
    <n v="6"/>
  </r>
  <r>
    <x v="0"/>
    <n v="6"/>
  </r>
  <r>
    <x v="0"/>
    <n v="4"/>
  </r>
  <r>
    <x v="0"/>
    <n v="7"/>
  </r>
  <r>
    <x v="0"/>
    <n v="6"/>
  </r>
  <r>
    <x v="0"/>
    <n v="6"/>
  </r>
  <r>
    <x v="0"/>
    <n v="8"/>
  </r>
  <r>
    <x v="0"/>
    <n v="7"/>
  </r>
  <r>
    <x v="0"/>
    <n v="6"/>
  </r>
  <r>
    <x v="0"/>
    <n v="5"/>
  </r>
  <r>
    <x v="0"/>
    <n v="6"/>
  </r>
  <r>
    <x v="0"/>
    <n v="4"/>
  </r>
  <r>
    <x v="0"/>
    <n v="4"/>
  </r>
  <r>
    <x v="0"/>
    <n v="7"/>
  </r>
  <r>
    <x v="0"/>
    <n v="4"/>
  </r>
  <r>
    <x v="0"/>
    <n v="10"/>
  </r>
  <r>
    <x v="0"/>
    <n v="10"/>
  </r>
  <r>
    <x v="0"/>
    <n v="3"/>
  </r>
  <r>
    <x v="0"/>
    <n v="4"/>
  </r>
  <r>
    <x v="0"/>
    <n v="7"/>
  </r>
  <r>
    <x v="0"/>
    <n v="9"/>
  </r>
  <r>
    <x v="0"/>
    <n v="6"/>
  </r>
  <r>
    <x v="0"/>
    <n v="4"/>
  </r>
  <r>
    <x v="0"/>
    <n v="5"/>
  </r>
  <r>
    <x v="0"/>
    <n v="2"/>
  </r>
  <r>
    <x v="0"/>
    <n v="4"/>
  </r>
  <r>
    <x v="0"/>
    <n v="4"/>
  </r>
  <r>
    <x v="0"/>
    <n v="2"/>
  </r>
  <r>
    <x v="0"/>
    <n v="4"/>
  </r>
  <r>
    <x v="0"/>
    <n v="2"/>
  </r>
  <r>
    <x v="0"/>
    <n v="5"/>
  </r>
  <r>
    <x v="0"/>
    <n v="3"/>
  </r>
  <r>
    <x v="0"/>
    <n v="2"/>
  </r>
  <r>
    <x v="0"/>
    <n v="4"/>
  </r>
  <r>
    <x v="0"/>
    <n v="10"/>
  </r>
  <r>
    <x v="0"/>
    <n v="2"/>
  </r>
  <r>
    <x v="0"/>
    <n v="10"/>
  </r>
  <r>
    <x v="0"/>
    <n v="3"/>
  </r>
  <r>
    <x v="0"/>
    <n v="3"/>
  </r>
  <r>
    <x v="0"/>
    <n v="7"/>
  </r>
  <r>
    <x v="0"/>
    <n v="10"/>
  </r>
  <r>
    <x v="0"/>
    <n v="10"/>
  </r>
  <r>
    <x v="0"/>
    <n v="8"/>
  </r>
  <r>
    <x v="0"/>
    <n v="2"/>
  </r>
  <r>
    <x v="1"/>
    <n v="3"/>
  </r>
  <r>
    <x v="1"/>
    <n v="10"/>
  </r>
  <r>
    <x v="1"/>
    <n v="8"/>
  </r>
  <r>
    <x v="1"/>
    <n v="10"/>
  </r>
  <r>
    <x v="1"/>
    <n v="8"/>
  </r>
  <r>
    <x v="1"/>
    <n v="2"/>
  </r>
  <r>
    <x v="1"/>
    <n v="3"/>
  </r>
  <r>
    <x v="1"/>
    <n v="10"/>
  </r>
  <r>
    <x v="1"/>
    <n v="7"/>
  </r>
  <r>
    <x v="1"/>
    <n v="2"/>
  </r>
  <r>
    <x v="1"/>
    <n v="9"/>
  </r>
  <r>
    <x v="1"/>
    <n v="2"/>
  </r>
  <r>
    <x v="1"/>
    <n v="6"/>
  </r>
  <r>
    <x v="1"/>
    <n v="9"/>
  </r>
  <r>
    <x v="1"/>
    <n v="6"/>
  </r>
  <r>
    <x v="1"/>
    <n v="8"/>
  </r>
  <r>
    <x v="1"/>
    <n v="5"/>
  </r>
  <r>
    <x v="1"/>
    <n v="10"/>
  </r>
  <r>
    <x v="1"/>
    <n v="7"/>
  </r>
  <r>
    <x v="1"/>
    <n v="2"/>
  </r>
  <r>
    <x v="1"/>
    <n v="4"/>
  </r>
  <r>
    <x v="1"/>
    <n v="10"/>
  </r>
  <r>
    <x v="1"/>
    <n v="5"/>
  </r>
  <r>
    <x v="1"/>
    <n v="3"/>
  </r>
  <r>
    <x v="1"/>
    <n v="4"/>
  </r>
  <r>
    <x v="1"/>
    <n v="9"/>
  </r>
  <r>
    <x v="1"/>
    <n v="5"/>
  </r>
  <r>
    <x v="1"/>
    <n v="6"/>
  </r>
  <r>
    <x v="1"/>
    <n v="2"/>
  </r>
  <r>
    <x v="1"/>
    <n v="5"/>
  </r>
  <r>
    <x v="1"/>
    <n v="10"/>
  </r>
  <r>
    <x v="1"/>
    <n v="10"/>
  </r>
  <r>
    <x v="1"/>
    <n v="9"/>
  </r>
  <r>
    <x v="1"/>
    <n v="8"/>
  </r>
  <r>
    <x v="1"/>
    <n v="7"/>
  </r>
  <r>
    <x v="1"/>
    <n v="6"/>
  </r>
  <r>
    <x v="1"/>
    <n v="9"/>
  </r>
  <r>
    <x v="1"/>
    <n v="2"/>
  </r>
  <r>
    <x v="1"/>
    <n v="9"/>
  </r>
  <r>
    <x v="1"/>
    <n v="6"/>
  </r>
  <r>
    <x v="1"/>
    <n v="10"/>
  </r>
  <r>
    <x v="1"/>
    <n v="8"/>
  </r>
  <r>
    <x v="1"/>
    <n v="6"/>
  </r>
  <r>
    <x v="1"/>
    <n v="3"/>
  </r>
  <r>
    <x v="1"/>
    <n v="5"/>
  </r>
  <r>
    <x v="1"/>
    <n v="2"/>
  </r>
  <r>
    <x v="1"/>
    <n v="2"/>
  </r>
  <r>
    <x v="1"/>
    <n v="7"/>
  </r>
  <r>
    <x v="1"/>
    <n v="3"/>
  </r>
  <r>
    <x v="1"/>
    <n v="5"/>
  </r>
  <r>
    <x v="1"/>
    <n v="5"/>
  </r>
  <r>
    <x v="1"/>
    <n v="5"/>
  </r>
  <r>
    <x v="1"/>
    <n v="7"/>
  </r>
  <r>
    <x v="1"/>
    <n v="5"/>
  </r>
  <r>
    <x v="1"/>
    <n v="9"/>
  </r>
  <r>
    <x v="1"/>
    <n v="2"/>
  </r>
  <r>
    <x v="1"/>
    <n v="7"/>
  </r>
  <r>
    <x v="1"/>
    <n v="9"/>
  </r>
  <r>
    <x v="1"/>
    <n v="7"/>
  </r>
  <r>
    <x v="1"/>
    <n v="6"/>
  </r>
  <r>
    <x v="1"/>
    <n v="7"/>
  </r>
  <r>
    <x v="1"/>
    <n v="9"/>
  </r>
  <r>
    <x v="1"/>
    <n v="4"/>
  </r>
  <r>
    <x v="1"/>
    <n v="8"/>
  </r>
  <r>
    <x v="1"/>
    <n v="3"/>
  </r>
  <r>
    <x v="1"/>
    <n v="9"/>
  </r>
  <r>
    <x v="1"/>
    <n v="5"/>
  </r>
  <r>
    <x v="1"/>
    <n v="5"/>
  </r>
  <r>
    <x v="1"/>
    <n v="10"/>
  </r>
  <r>
    <x v="1"/>
    <n v="8"/>
  </r>
  <r>
    <x v="1"/>
    <n v="9"/>
  </r>
  <r>
    <x v="1"/>
    <n v="4"/>
  </r>
  <r>
    <x v="1"/>
    <n v="3"/>
  </r>
  <r>
    <x v="1"/>
    <n v="3"/>
  </r>
  <r>
    <x v="1"/>
    <n v="5"/>
  </r>
  <r>
    <x v="1"/>
    <n v="6"/>
  </r>
  <r>
    <x v="1"/>
    <n v="2"/>
  </r>
  <r>
    <x v="1"/>
    <n v="8"/>
  </r>
  <r>
    <x v="1"/>
    <n v="2"/>
  </r>
  <r>
    <x v="1"/>
    <n v="3"/>
  </r>
  <r>
    <x v="1"/>
    <n v="9"/>
  </r>
  <r>
    <x v="1"/>
    <n v="2"/>
  </r>
  <r>
    <x v="1"/>
    <n v="4"/>
  </r>
  <r>
    <x v="1"/>
    <n v="7"/>
  </r>
  <r>
    <x v="1"/>
    <n v="4"/>
  </r>
  <r>
    <x v="1"/>
    <n v="3"/>
  </r>
  <r>
    <x v="1"/>
    <n v="8"/>
  </r>
  <r>
    <x v="1"/>
    <n v="3"/>
  </r>
  <r>
    <x v="1"/>
    <n v="8"/>
  </r>
  <r>
    <x v="1"/>
    <n v="10"/>
  </r>
  <r>
    <x v="1"/>
    <n v="7"/>
  </r>
  <r>
    <x v="1"/>
    <n v="10"/>
  </r>
  <r>
    <x v="1"/>
    <n v="8"/>
  </r>
  <r>
    <x v="1"/>
    <n v="2"/>
  </r>
  <r>
    <x v="1"/>
    <n v="9"/>
  </r>
  <r>
    <x v="1"/>
    <n v="10"/>
  </r>
  <r>
    <x v="1"/>
    <n v="5"/>
  </r>
  <r>
    <x v="1"/>
    <n v="6"/>
  </r>
  <r>
    <x v="1"/>
    <n v="9"/>
  </r>
  <r>
    <x v="1"/>
    <n v="6"/>
  </r>
  <r>
    <x v="1"/>
    <n v="3"/>
  </r>
  <r>
    <x v="1"/>
    <n v="7"/>
  </r>
  <r>
    <x v="1"/>
    <n v="4"/>
  </r>
  <r>
    <x v="1"/>
    <n v="3"/>
  </r>
  <r>
    <x v="1"/>
    <n v="3"/>
  </r>
  <r>
    <x v="1"/>
    <n v="7"/>
  </r>
  <r>
    <x v="1"/>
    <n v="8"/>
  </r>
  <r>
    <x v="1"/>
    <n v="10"/>
  </r>
  <r>
    <x v="1"/>
    <n v="3"/>
  </r>
  <r>
    <x v="1"/>
    <n v="10"/>
  </r>
  <r>
    <x v="1"/>
    <n v="5"/>
  </r>
  <r>
    <x v="1"/>
    <n v="2"/>
  </r>
  <r>
    <x v="1"/>
    <n v="7"/>
  </r>
  <r>
    <x v="1"/>
    <n v="9"/>
  </r>
  <r>
    <x v="1"/>
    <n v="3"/>
  </r>
  <r>
    <x v="1"/>
    <n v="9"/>
  </r>
  <r>
    <x v="1"/>
    <n v="3"/>
  </r>
  <r>
    <x v="1"/>
    <n v="10"/>
  </r>
  <r>
    <x v="1"/>
    <n v="4"/>
  </r>
  <r>
    <x v="1"/>
    <n v="8"/>
  </r>
  <r>
    <x v="1"/>
    <n v="6"/>
  </r>
  <r>
    <x v="1"/>
    <n v="10"/>
  </r>
  <r>
    <x v="1"/>
    <n v="2"/>
  </r>
  <r>
    <x v="1"/>
    <n v="3"/>
  </r>
  <r>
    <x v="1"/>
    <n v="5"/>
  </r>
  <r>
    <x v="1"/>
    <n v="7"/>
  </r>
  <r>
    <x v="1"/>
    <n v="5"/>
  </r>
  <r>
    <x v="1"/>
    <n v="5"/>
  </r>
  <r>
    <x v="1"/>
    <n v="10"/>
  </r>
  <r>
    <x v="1"/>
    <n v="2"/>
  </r>
  <r>
    <x v="1"/>
    <n v="3"/>
  </r>
  <r>
    <x v="1"/>
    <n v="4"/>
  </r>
  <r>
    <x v="1"/>
    <n v="7"/>
  </r>
  <r>
    <x v="1"/>
    <n v="10"/>
  </r>
  <r>
    <x v="1"/>
    <n v="3"/>
  </r>
  <r>
    <x v="1"/>
    <n v="2"/>
  </r>
  <r>
    <x v="1"/>
    <n v="7"/>
  </r>
  <r>
    <x v="1"/>
    <n v="9"/>
  </r>
  <r>
    <x v="1"/>
    <n v="5"/>
  </r>
  <r>
    <x v="1"/>
    <n v="9"/>
  </r>
  <r>
    <x v="1"/>
    <n v="4"/>
  </r>
  <r>
    <x v="1"/>
    <n v="9"/>
  </r>
  <r>
    <x v="1"/>
    <n v="9"/>
  </r>
  <r>
    <x v="1"/>
    <n v="7"/>
  </r>
  <r>
    <x v="1"/>
    <n v="6"/>
  </r>
  <r>
    <x v="1"/>
    <n v="6"/>
  </r>
  <r>
    <x v="1"/>
    <n v="2"/>
  </r>
  <r>
    <x v="1"/>
    <n v="10"/>
  </r>
  <r>
    <x v="1"/>
    <n v="5"/>
  </r>
  <r>
    <x v="1"/>
    <n v="5"/>
  </r>
  <r>
    <x v="1"/>
    <n v="3"/>
  </r>
  <r>
    <x v="1"/>
    <n v="7"/>
  </r>
  <r>
    <x v="1"/>
    <n v="9"/>
  </r>
  <r>
    <x v="1"/>
    <n v="3"/>
  </r>
  <r>
    <x v="1"/>
    <n v="8"/>
  </r>
  <r>
    <x v="1"/>
    <n v="4"/>
  </r>
  <r>
    <x v="1"/>
    <n v="2"/>
  </r>
  <r>
    <x v="1"/>
    <n v="9"/>
  </r>
  <r>
    <x v="1"/>
    <n v="9"/>
  </r>
  <r>
    <x v="1"/>
    <n v="4"/>
  </r>
  <r>
    <x v="1"/>
    <n v="4"/>
  </r>
  <r>
    <x v="1"/>
    <n v="9"/>
  </r>
  <r>
    <x v="1"/>
    <n v="5"/>
  </r>
  <r>
    <x v="1"/>
    <n v="7"/>
  </r>
  <r>
    <x v="1"/>
    <n v="4"/>
  </r>
  <r>
    <x v="1"/>
    <n v="10"/>
  </r>
  <r>
    <x v="1"/>
    <n v="6"/>
  </r>
  <r>
    <x v="1"/>
    <n v="8"/>
  </r>
  <r>
    <x v="1"/>
    <n v="7"/>
  </r>
  <r>
    <x v="1"/>
    <n v="3"/>
  </r>
  <r>
    <x v="1"/>
    <n v="8"/>
  </r>
  <r>
    <x v="1"/>
    <n v="2"/>
  </r>
  <r>
    <x v="1"/>
    <n v="10"/>
  </r>
  <r>
    <x v="1"/>
    <n v="8"/>
  </r>
  <r>
    <x v="1"/>
    <n v="9"/>
  </r>
  <r>
    <x v="1"/>
    <n v="2"/>
  </r>
  <r>
    <x v="1"/>
    <n v="2"/>
  </r>
  <r>
    <x v="1"/>
    <n v="4"/>
  </r>
  <r>
    <x v="1"/>
    <n v="6"/>
  </r>
  <r>
    <x v="1"/>
    <n v="2"/>
  </r>
  <r>
    <x v="1"/>
    <n v="8"/>
  </r>
  <r>
    <x v="1"/>
    <n v="7"/>
  </r>
  <r>
    <x v="1"/>
    <n v="6"/>
  </r>
  <r>
    <x v="1"/>
    <n v="8"/>
  </r>
  <r>
    <x v="1"/>
    <n v="8"/>
  </r>
  <r>
    <x v="1"/>
    <n v="3"/>
  </r>
  <r>
    <x v="1"/>
    <n v="4"/>
  </r>
  <r>
    <x v="1"/>
    <n v="8"/>
  </r>
  <r>
    <x v="1"/>
    <n v="10"/>
  </r>
  <r>
    <x v="1"/>
    <n v="4"/>
  </r>
  <r>
    <x v="1"/>
    <n v="6"/>
  </r>
  <r>
    <x v="1"/>
    <n v="8"/>
  </r>
  <r>
    <x v="1"/>
    <n v="10"/>
  </r>
  <r>
    <x v="1"/>
    <n v="8"/>
  </r>
  <r>
    <x v="1"/>
    <n v="2"/>
  </r>
  <r>
    <x v="1"/>
    <n v="10"/>
  </r>
  <r>
    <x v="1"/>
    <n v="2"/>
  </r>
  <r>
    <x v="1"/>
    <n v="9"/>
  </r>
  <r>
    <x v="1"/>
    <n v="3"/>
  </r>
  <r>
    <x v="1"/>
    <n v="2"/>
  </r>
  <r>
    <x v="1"/>
    <n v="10"/>
  </r>
  <r>
    <x v="1"/>
    <n v="4"/>
  </r>
  <r>
    <x v="1"/>
    <n v="4"/>
  </r>
  <r>
    <x v="1"/>
    <n v="5"/>
  </r>
  <r>
    <x v="1"/>
    <n v="7"/>
  </r>
  <r>
    <x v="1"/>
    <n v="10"/>
  </r>
  <r>
    <x v="1"/>
    <n v="4"/>
  </r>
  <r>
    <x v="1"/>
    <n v="2"/>
  </r>
  <r>
    <x v="1"/>
    <n v="5"/>
  </r>
  <r>
    <x v="1"/>
    <n v="3"/>
  </r>
  <r>
    <x v="1"/>
    <n v="8"/>
  </r>
  <r>
    <x v="1"/>
    <n v="4"/>
  </r>
  <r>
    <x v="1"/>
    <n v="10"/>
  </r>
  <r>
    <x v="1"/>
    <n v="7"/>
  </r>
  <r>
    <x v="1"/>
    <n v="3"/>
  </r>
  <r>
    <x v="1"/>
    <n v="2"/>
  </r>
  <r>
    <x v="1"/>
    <n v="6"/>
  </r>
  <r>
    <x v="1"/>
    <n v="8"/>
  </r>
  <r>
    <x v="1"/>
    <n v="3"/>
  </r>
  <r>
    <x v="1"/>
    <n v="8"/>
  </r>
  <r>
    <x v="1"/>
    <n v="8"/>
  </r>
  <r>
    <x v="1"/>
    <n v="9"/>
  </r>
  <r>
    <x v="1"/>
    <n v="3"/>
  </r>
  <r>
    <x v="1"/>
    <n v="6"/>
  </r>
  <r>
    <x v="1"/>
    <n v="3"/>
  </r>
  <r>
    <x v="1"/>
    <n v="6"/>
  </r>
  <r>
    <x v="1"/>
    <n v="6"/>
  </r>
  <r>
    <x v="1"/>
    <n v="8"/>
  </r>
  <r>
    <x v="1"/>
    <n v="4"/>
  </r>
  <r>
    <x v="1"/>
    <n v="6"/>
  </r>
  <r>
    <x v="1"/>
    <n v="7"/>
  </r>
  <r>
    <x v="1"/>
    <n v="4"/>
  </r>
  <r>
    <x v="1"/>
    <n v="8"/>
  </r>
  <r>
    <x v="1"/>
    <n v="9"/>
  </r>
  <r>
    <x v="1"/>
    <n v="6"/>
  </r>
  <r>
    <x v="1"/>
    <n v="5"/>
  </r>
  <r>
    <x v="1"/>
    <n v="6"/>
  </r>
  <r>
    <x v="1"/>
    <n v="2"/>
  </r>
  <r>
    <x v="1"/>
    <n v="9"/>
  </r>
  <r>
    <x v="1"/>
    <n v="10"/>
  </r>
  <r>
    <x v="1"/>
    <n v="8"/>
  </r>
  <r>
    <x v="1"/>
    <n v="7"/>
  </r>
  <r>
    <x v="1"/>
    <n v="8"/>
  </r>
  <r>
    <x v="1"/>
    <n v="3"/>
  </r>
  <r>
    <x v="1"/>
    <n v="9"/>
  </r>
  <r>
    <x v="1"/>
    <n v="3"/>
  </r>
  <r>
    <x v="1"/>
    <n v="8"/>
  </r>
  <r>
    <x v="1"/>
    <n v="6"/>
  </r>
  <r>
    <x v="1"/>
    <n v="3"/>
  </r>
  <r>
    <x v="1"/>
    <n v="10"/>
  </r>
  <r>
    <x v="1"/>
    <n v="6"/>
  </r>
  <r>
    <x v="1"/>
    <n v="4"/>
  </r>
  <r>
    <x v="1"/>
    <n v="4"/>
  </r>
  <r>
    <x v="1"/>
    <n v="5"/>
  </r>
  <r>
    <x v="1"/>
    <n v="6"/>
  </r>
  <r>
    <x v="1"/>
    <n v="6"/>
  </r>
  <r>
    <x v="1"/>
    <n v="7"/>
  </r>
  <r>
    <x v="1"/>
    <n v="4"/>
  </r>
  <r>
    <x v="1"/>
    <n v="4"/>
  </r>
  <r>
    <x v="1"/>
    <n v="4"/>
  </r>
  <r>
    <x v="1"/>
    <n v="7"/>
  </r>
  <r>
    <x v="1"/>
    <n v="4"/>
  </r>
  <r>
    <x v="1"/>
    <n v="8"/>
  </r>
  <r>
    <x v="1"/>
    <n v="3"/>
  </r>
  <r>
    <x v="1"/>
    <n v="9"/>
  </r>
  <r>
    <x v="1"/>
    <n v="2"/>
  </r>
  <r>
    <x v="1"/>
    <n v="10"/>
  </r>
  <r>
    <x v="1"/>
    <n v="3"/>
  </r>
  <r>
    <x v="1"/>
    <n v="2"/>
  </r>
  <r>
    <x v="1"/>
    <n v="2"/>
  </r>
  <r>
    <x v="1"/>
    <n v="5"/>
  </r>
  <r>
    <x v="1"/>
    <n v="5"/>
  </r>
  <r>
    <x v="1"/>
    <n v="3"/>
  </r>
  <r>
    <x v="1"/>
    <n v="2"/>
  </r>
  <r>
    <x v="1"/>
    <n v="3"/>
  </r>
  <r>
    <x v="1"/>
    <n v="5"/>
  </r>
  <r>
    <x v="1"/>
    <n v="2"/>
  </r>
  <r>
    <x v="1"/>
    <n v="4"/>
  </r>
  <r>
    <x v="1"/>
    <n v="6"/>
  </r>
  <r>
    <x v="1"/>
    <n v="4"/>
  </r>
  <r>
    <x v="1"/>
    <n v="8"/>
  </r>
  <r>
    <x v="1"/>
    <n v="10"/>
  </r>
  <r>
    <x v="1"/>
    <n v="10"/>
  </r>
  <r>
    <x v="1"/>
    <n v="8"/>
  </r>
  <r>
    <x v="1"/>
    <n v="9"/>
  </r>
  <r>
    <x v="1"/>
    <n v="7"/>
  </r>
  <r>
    <x v="1"/>
    <n v="7"/>
  </r>
  <r>
    <x v="1"/>
    <n v="5"/>
  </r>
  <r>
    <x v="1"/>
    <n v="6"/>
  </r>
  <r>
    <x v="1"/>
    <n v="3"/>
  </r>
  <r>
    <x v="1"/>
    <n v="5"/>
  </r>
  <r>
    <x v="1"/>
    <n v="8"/>
  </r>
  <r>
    <x v="1"/>
    <n v="2"/>
  </r>
  <r>
    <x v="1"/>
    <n v="9"/>
  </r>
  <r>
    <x v="1"/>
    <n v="8"/>
  </r>
  <r>
    <x v="1"/>
    <n v="3"/>
  </r>
  <r>
    <x v="1"/>
    <n v="2"/>
  </r>
  <r>
    <x v="1"/>
    <n v="2"/>
  </r>
  <r>
    <x v="1"/>
    <n v="8"/>
  </r>
  <r>
    <x v="1"/>
    <n v="2"/>
  </r>
  <r>
    <x v="1"/>
    <n v="5"/>
  </r>
  <r>
    <x v="1"/>
    <n v="3"/>
  </r>
  <r>
    <x v="1"/>
    <n v="5"/>
  </r>
  <r>
    <x v="1"/>
    <n v="9"/>
  </r>
  <r>
    <x v="1"/>
    <n v="6"/>
  </r>
  <r>
    <x v="1"/>
    <n v="10"/>
  </r>
  <r>
    <x v="1"/>
    <n v="4"/>
  </r>
  <r>
    <x v="1"/>
    <n v="5"/>
  </r>
  <r>
    <x v="1"/>
    <n v="2"/>
  </r>
  <r>
    <x v="1"/>
    <n v="5"/>
  </r>
  <r>
    <x v="1"/>
    <n v="9"/>
  </r>
  <r>
    <x v="1"/>
    <n v="8"/>
  </r>
  <r>
    <x v="1"/>
    <n v="7"/>
  </r>
  <r>
    <x v="1"/>
    <n v="5"/>
  </r>
  <r>
    <x v="1"/>
    <n v="7"/>
  </r>
  <r>
    <x v="1"/>
    <n v="8"/>
  </r>
  <r>
    <x v="1"/>
    <n v="9"/>
  </r>
  <r>
    <x v="1"/>
    <n v="2"/>
  </r>
  <r>
    <x v="1"/>
    <n v="3"/>
  </r>
  <r>
    <x v="1"/>
    <n v="4"/>
  </r>
  <r>
    <x v="1"/>
    <n v="9"/>
  </r>
  <r>
    <x v="1"/>
    <n v="9"/>
  </r>
  <r>
    <x v="1"/>
    <n v="7"/>
  </r>
  <r>
    <x v="1"/>
    <n v="5"/>
  </r>
  <r>
    <x v="1"/>
    <n v="6"/>
  </r>
  <r>
    <x v="1"/>
    <n v="8"/>
  </r>
  <r>
    <x v="1"/>
    <n v="3"/>
  </r>
  <r>
    <x v="1"/>
    <n v="8"/>
  </r>
  <r>
    <x v="1"/>
    <n v="7"/>
  </r>
  <r>
    <x v="1"/>
    <n v="2"/>
  </r>
  <r>
    <x v="1"/>
    <n v="3"/>
  </r>
  <r>
    <x v="1"/>
    <n v="4"/>
  </r>
  <r>
    <x v="1"/>
    <n v="4"/>
  </r>
  <r>
    <x v="1"/>
    <n v="6"/>
  </r>
  <r>
    <x v="1"/>
    <n v="3"/>
  </r>
  <r>
    <x v="1"/>
    <n v="2"/>
  </r>
  <r>
    <x v="1"/>
    <n v="4"/>
  </r>
  <r>
    <x v="1"/>
    <n v="4"/>
  </r>
  <r>
    <x v="1"/>
    <n v="9"/>
  </r>
  <r>
    <x v="1"/>
    <n v="4"/>
  </r>
  <r>
    <x v="1"/>
    <n v="7"/>
  </r>
  <r>
    <x v="1"/>
    <n v="6"/>
  </r>
  <r>
    <x v="1"/>
    <n v="2"/>
  </r>
  <r>
    <x v="1"/>
    <n v="4"/>
  </r>
  <r>
    <x v="1"/>
    <n v="3"/>
  </r>
  <r>
    <x v="1"/>
    <n v="4"/>
  </r>
  <r>
    <x v="1"/>
    <n v="3"/>
  </r>
  <r>
    <x v="1"/>
    <n v="9"/>
  </r>
  <r>
    <x v="1"/>
    <n v="4"/>
  </r>
  <r>
    <x v="1"/>
    <n v="4"/>
  </r>
  <r>
    <x v="1"/>
    <n v="3"/>
  </r>
  <r>
    <x v="1"/>
    <n v="3"/>
  </r>
  <r>
    <x v="1"/>
    <n v="6"/>
  </r>
  <r>
    <x v="1"/>
    <n v="3"/>
  </r>
  <r>
    <x v="1"/>
    <n v="7"/>
  </r>
  <r>
    <x v="1"/>
    <n v="10"/>
  </r>
  <r>
    <x v="1"/>
    <n v="6"/>
  </r>
  <r>
    <x v="1"/>
    <n v="3"/>
  </r>
  <r>
    <x v="1"/>
    <n v="7"/>
  </r>
  <r>
    <x v="1"/>
    <n v="4"/>
  </r>
  <r>
    <x v="1"/>
    <n v="10"/>
  </r>
  <r>
    <x v="1"/>
    <n v="8"/>
  </r>
  <r>
    <x v="1"/>
    <n v="2"/>
  </r>
  <r>
    <x v="1"/>
    <n v="7"/>
  </r>
  <r>
    <x v="1"/>
    <n v="8"/>
  </r>
  <r>
    <x v="1"/>
    <n v="4"/>
  </r>
  <r>
    <x v="1"/>
    <n v="8"/>
  </r>
  <r>
    <x v="1"/>
    <n v="2"/>
  </r>
  <r>
    <x v="1"/>
    <n v="8"/>
  </r>
  <r>
    <x v="1"/>
    <n v="4"/>
  </r>
  <r>
    <x v="1"/>
    <n v="10"/>
  </r>
  <r>
    <x v="1"/>
    <n v="3"/>
  </r>
  <r>
    <x v="1"/>
    <n v="6"/>
  </r>
  <r>
    <x v="1"/>
    <n v="8"/>
  </r>
  <r>
    <x v="1"/>
    <n v="9"/>
  </r>
  <r>
    <x v="1"/>
    <n v="7"/>
  </r>
  <r>
    <x v="1"/>
    <n v="10"/>
  </r>
  <r>
    <x v="1"/>
    <n v="8"/>
  </r>
  <r>
    <x v="1"/>
    <n v="8"/>
  </r>
  <r>
    <x v="1"/>
    <n v="5"/>
  </r>
  <r>
    <x v="1"/>
    <n v="2"/>
  </r>
  <r>
    <x v="1"/>
    <n v="6"/>
  </r>
  <r>
    <x v="1"/>
    <n v="4"/>
  </r>
  <r>
    <x v="1"/>
    <n v="4"/>
  </r>
  <r>
    <x v="1"/>
    <n v="5"/>
  </r>
  <r>
    <x v="1"/>
    <n v="8"/>
  </r>
  <r>
    <x v="1"/>
    <n v="4"/>
  </r>
  <r>
    <x v="1"/>
    <n v="8"/>
  </r>
  <r>
    <x v="1"/>
    <n v="6"/>
  </r>
  <r>
    <x v="1"/>
    <n v="9"/>
  </r>
  <r>
    <x v="1"/>
    <n v="9"/>
  </r>
  <r>
    <x v="1"/>
    <n v="2"/>
  </r>
  <r>
    <x v="1"/>
    <n v="7"/>
  </r>
  <r>
    <x v="1"/>
    <n v="9"/>
  </r>
  <r>
    <x v="1"/>
    <n v="3"/>
  </r>
  <r>
    <x v="1"/>
    <n v="6"/>
  </r>
  <r>
    <x v="1"/>
    <n v="6"/>
  </r>
  <r>
    <x v="1"/>
    <n v="10"/>
  </r>
  <r>
    <x v="1"/>
    <n v="3"/>
  </r>
  <r>
    <x v="1"/>
    <n v="5"/>
  </r>
  <r>
    <x v="1"/>
    <n v="6"/>
  </r>
  <r>
    <x v="1"/>
    <n v="2"/>
  </r>
  <r>
    <x v="1"/>
    <n v="2"/>
  </r>
  <r>
    <x v="1"/>
    <n v="3"/>
  </r>
  <r>
    <x v="1"/>
    <n v="10"/>
  </r>
  <r>
    <x v="2"/>
    <n v="3"/>
  </r>
  <r>
    <x v="2"/>
    <n v="7"/>
  </r>
  <r>
    <x v="2"/>
    <n v="8"/>
  </r>
  <r>
    <x v="2"/>
    <n v="6"/>
  </r>
  <r>
    <x v="2"/>
    <n v="4"/>
  </r>
  <r>
    <x v="2"/>
    <n v="3"/>
  </r>
  <r>
    <x v="2"/>
    <n v="6"/>
  </r>
  <r>
    <x v="2"/>
    <n v="7"/>
  </r>
  <r>
    <x v="2"/>
    <n v="3"/>
  </r>
  <r>
    <x v="2"/>
    <n v="7"/>
  </r>
  <r>
    <x v="2"/>
    <n v="3"/>
  </r>
  <r>
    <x v="2"/>
    <n v="9"/>
  </r>
  <r>
    <x v="2"/>
    <n v="8"/>
  </r>
  <r>
    <x v="2"/>
    <n v="8"/>
  </r>
  <r>
    <x v="2"/>
    <n v="8"/>
  </r>
  <r>
    <x v="2"/>
    <n v="9"/>
  </r>
  <r>
    <x v="2"/>
    <n v="2"/>
  </r>
  <r>
    <x v="2"/>
    <n v="6"/>
  </r>
  <r>
    <x v="2"/>
    <n v="3"/>
  </r>
  <r>
    <x v="2"/>
    <n v="7"/>
  </r>
  <r>
    <x v="2"/>
    <n v="8"/>
  </r>
  <r>
    <x v="2"/>
    <n v="4"/>
  </r>
  <r>
    <x v="2"/>
    <n v="10"/>
  </r>
  <r>
    <x v="2"/>
    <n v="7"/>
  </r>
  <r>
    <x v="2"/>
    <n v="4"/>
  </r>
  <r>
    <x v="2"/>
    <n v="10"/>
  </r>
  <r>
    <x v="2"/>
    <n v="8"/>
  </r>
  <r>
    <x v="2"/>
    <n v="6"/>
  </r>
  <r>
    <x v="2"/>
    <n v="6"/>
  </r>
  <r>
    <x v="2"/>
    <n v="10"/>
  </r>
  <r>
    <x v="2"/>
    <n v="7"/>
  </r>
  <r>
    <x v="2"/>
    <n v="10"/>
  </r>
  <r>
    <x v="2"/>
    <n v="8"/>
  </r>
  <r>
    <x v="2"/>
    <n v="5"/>
  </r>
  <r>
    <x v="2"/>
    <n v="3"/>
  </r>
  <r>
    <x v="2"/>
    <n v="5"/>
  </r>
  <r>
    <x v="2"/>
    <n v="9"/>
  </r>
  <r>
    <x v="2"/>
    <n v="7"/>
  </r>
  <r>
    <x v="2"/>
    <n v="10"/>
  </r>
  <r>
    <x v="2"/>
    <n v="3"/>
  </r>
  <r>
    <x v="2"/>
    <n v="2"/>
  </r>
  <r>
    <x v="2"/>
    <n v="2"/>
  </r>
  <r>
    <x v="2"/>
    <n v="9"/>
  </r>
  <r>
    <x v="2"/>
    <n v="5"/>
  </r>
  <r>
    <x v="2"/>
    <n v="4"/>
  </r>
  <r>
    <x v="2"/>
    <n v="3"/>
  </r>
  <r>
    <x v="2"/>
    <n v="6"/>
  </r>
  <r>
    <x v="2"/>
    <n v="7"/>
  </r>
  <r>
    <x v="2"/>
    <n v="10"/>
  </r>
  <r>
    <x v="2"/>
    <n v="6"/>
  </r>
  <r>
    <x v="2"/>
    <n v="4"/>
  </r>
  <r>
    <x v="2"/>
    <n v="10"/>
  </r>
  <r>
    <x v="2"/>
    <n v="8"/>
  </r>
  <r>
    <x v="2"/>
    <n v="6"/>
  </r>
  <r>
    <x v="2"/>
    <n v="3"/>
  </r>
  <r>
    <x v="2"/>
    <n v="2"/>
  </r>
  <r>
    <x v="2"/>
    <n v="3"/>
  </r>
  <r>
    <x v="2"/>
    <n v="6"/>
  </r>
  <r>
    <x v="2"/>
    <n v="7"/>
  </r>
  <r>
    <x v="2"/>
    <n v="5"/>
  </r>
  <r>
    <x v="2"/>
    <n v="10"/>
  </r>
  <r>
    <x v="2"/>
    <n v="4"/>
  </r>
  <r>
    <x v="2"/>
    <n v="10"/>
  </r>
  <r>
    <x v="2"/>
    <n v="5"/>
  </r>
  <r>
    <x v="2"/>
    <n v="2"/>
  </r>
  <r>
    <x v="2"/>
    <n v="2"/>
  </r>
  <r>
    <x v="2"/>
    <n v="7"/>
  </r>
  <r>
    <x v="2"/>
    <n v="10"/>
  </r>
  <r>
    <x v="2"/>
    <n v="3"/>
  </r>
  <r>
    <x v="2"/>
    <n v="4"/>
  </r>
  <r>
    <x v="2"/>
    <n v="10"/>
  </r>
  <r>
    <x v="2"/>
    <n v="2"/>
  </r>
  <r>
    <x v="2"/>
    <n v="5"/>
  </r>
  <r>
    <x v="2"/>
    <n v="8"/>
  </r>
  <r>
    <x v="2"/>
    <n v="7"/>
  </r>
  <r>
    <x v="2"/>
    <n v="7"/>
  </r>
  <r>
    <x v="2"/>
    <n v="5"/>
  </r>
  <r>
    <x v="2"/>
    <n v="2"/>
  </r>
  <r>
    <x v="2"/>
    <n v="10"/>
  </r>
  <r>
    <x v="2"/>
    <n v="7"/>
  </r>
  <r>
    <x v="2"/>
    <n v="5"/>
  </r>
  <r>
    <x v="2"/>
    <n v="4"/>
  </r>
  <r>
    <x v="2"/>
    <n v="8"/>
  </r>
  <r>
    <x v="2"/>
    <n v="8"/>
  </r>
  <r>
    <x v="2"/>
    <n v="9"/>
  </r>
  <r>
    <x v="2"/>
    <n v="7"/>
  </r>
  <r>
    <x v="2"/>
    <n v="3"/>
  </r>
  <r>
    <x v="2"/>
    <n v="8"/>
  </r>
  <r>
    <x v="2"/>
    <n v="2"/>
  </r>
  <r>
    <x v="2"/>
    <n v="3"/>
  </r>
  <r>
    <x v="2"/>
    <n v="4"/>
  </r>
  <r>
    <x v="2"/>
    <n v="3"/>
  </r>
  <r>
    <x v="2"/>
    <n v="3"/>
  </r>
  <r>
    <x v="2"/>
    <n v="4"/>
  </r>
  <r>
    <x v="2"/>
    <n v="2"/>
  </r>
  <r>
    <x v="2"/>
    <n v="6"/>
  </r>
  <r>
    <x v="2"/>
    <n v="7"/>
  </r>
  <r>
    <x v="2"/>
    <n v="9"/>
  </r>
  <r>
    <x v="2"/>
    <n v="7"/>
  </r>
  <r>
    <x v="2"/>
    <n v="8"/>
  </r>
  <r>
    <x v="2"/>
    <n v="8"/>
  </r>
  <r>
    <x v="2"/>
    <n v="8"/>
  </r>
  <r>
    <x v="2"/>
    <n v="8"/>
  </r>
  <r>
    <x v="2"/>
    <n v="10"/>
  </r>
  <r>
    <x v="2"/>
    <n v="7"/>
  </r>
  <r>
    <x v="2"/>
    <n v="9"/>
  </r>
  <r>
    <x v="2"/>
    <n v="3"/>
  </r>
  <r>
    <x v="2"/>
    <n v="6"/>
  </r>
  <r>
    <x v="2"/>
    <n v="5"/>
  </r>
  <r>
    <x v="2"/>
    <n v="10"/>
  </r>
  <r>
    <x v="2"/>
    <n v="10"/>
  </r>
  <r>
    <x v="2"/>
    <n v="8"/>
  </r>
  <r>
    <x v="2"/>
    <n v="10"/>
  </r>
  <r>
    <x v="2"/>
    <n v="3"/>
  </r>
  <r>
    <x v="2"/>
    <n v="10"/>
  </r>
  <r>
    <x v="2"/>
    <n v="7"/>
  </r>
  <r>
    <x v="2"/>
    <n v="9"/>
  </r>
  <r>
    <x v="2"/>
    <n v="5"/>
  </r>
  <r>
    <x v="2"/>
    <n v="6"/>
  </r>
  <r>
    <x v="2"/>
    <n v="8"/>
  </r>
  <r>
    <x v="2"/>
    <n v="2"/>
  </r>
  <r>
    <x v="2"/>
    <n v="10"/>
  </r>
  <r>
    <x v="2"/>
    <n v="5"/>
  </r>
  <r>
    <x v="2"/>
    <n v="6"/>
  </r>
  <r>
    <x v="2"/>
    <n v="9"/>
  </r>
  <r>
    <x v="2"/>
    <n v="9"/>
  </r>
  <r>
    <x v="2"/>
    <n v="7"/>
  </r>
  <r>
    <x v="2"/>
    <n v="6"/>
  </r>
  <r>
    <x v="2"/>
    <n v="6"/>
  </r>
  <r>
    <x v="2"/>
    <n v="9"/>
  </r>
  <r>
    <x v="2"/>
    <n v="10"/>
  </r>
  <r>
    <x v="2"/>
    <n v="4"/>
  </r>
  <r>
    <x v="2"/>
    <n v="4"/>
  </r>
  <r>
    <x v="2"/>
    <n v="4"/>
  </r>
  <r>
    <x v="2"/>
    <n v="9"/>
  </r>
  <r>
    <x v="2"/>
    <n v="4"/>
  </r>
  <r>
    <x v="2"/>
    <n v="8"/>
  </r>
  <r>
    <x v="2"/>
    <n v="8"/>
  </r>
  <r>
    <x v="2"/>
    <n v="8"/>
  </r>
  <r>
    <x v="2"/>
    <n v="9"/>
  </r>
  <r>
    <x v="2"/>
    <n v="9"/>
  </r>
  <r>
    <x v="2"/>
    <n v="5"/>
  </r>
  <r>
    <x v="2"/>
    <n v="8"/>
  </r>
  <r>
    <x v="2"/>
    <n v="4"/>
  </r>
  <r>
    <x v="2"/>
    <n v="5"/>
  </r>
  <r>
    <x v="2"/>
    <n v="8"/>
  </r>
  <r>
    <x v="2"/>
    <n v="6"/>
  </r>
  <r>
    <x v="2"/>
    <n v="7"/>
  </r>
  <r>
    <x v="2"/>
    <n v="8"/>
  </r>
  <r>
    <x v="2"/>
    <n v="6"/>
  </r>
  <r>
    <x v="2"/>
    <n v="8"/>
  </r>
  <r>
    <x v="2"/>
    <n v="7"/>
  </r>
  <r>
    <x v="2"/>
    <n v="9"/>
  </r>
  <r>
    <x v="2"/>
    <n v="7"/>
  </r>
  <r>
    <x v="2"/>
    <n v="9"/>
  </r>
  <r>
    <x v="2"/>
    <n v="10"/>
  </r>
  <r>
    <x v="2"/>
    <n v="5"/>
  </r>
  <r>
    <x v="2"/>
    <n v="10"/>
  </r>
  <r>
    <x v="2"/>
    <n v="4"/>
  </r>
  <r>
    <x v="2"/>
    <n v="4"/>
  </r>
  <r>
    <x v="2"/>
    <n v="8"/>
  </r>
  <r>
    <x v="2"/>
    <n v="5"/>
  </r>
  <r>
    <x v="2"/>
    <n v="2"/>
  </r>
  <r>
    <x v="2"/>
    <n v="6"/>
  </r>
  <r>
    <x v="2"/>
    <n v="4"/>
  </r>
  <r>
    <x v="2"/>
    <n v="7"/>
  </r>
  <r>
    <x v="2"/>
    <n v="9"/>
  </r>
  <r>
    <x v="2"/>
    <n v="8"/>
  </r>
  <r>
    <x v="2"/>
    <n v="9"/>
  </r>
  <r>
    <x v="2"/>
    <n v="5"/>
  </r>
  <r>
    <x v="2"/>
    <n v="7"/>
  </r>
  <r>
    <x v="2"/>
    <n v="4"/>
  </r>
  <r>
    <x v="2"/>
    <n v="4"/>
  </r>
  <r>
    <x v="2"/>
    <n v="9"/>
  </r>
  <r>
    <x v="2"/>
    <n v="2"/>
  </r>
  <r>
    <x v="2"/>
    <n v="6"/>
  </r>
  <r>
    <x v="2"/>
    <n v="7"/>
  </r>
  <r>
    <x v="2"/>
    <n v="6"/>
  </r>
  <r>
    <x v="2"/>
    <n v="6"/>
  </r>
  <r>
    <x v="2"/>
    <n v="9"/>
  </r>
  <r>
    <x v="2"/>
    <n v="10"/>
  </r>
  <r>
    <x v="2"/>
    <n v="7"/>
  </r>
  <r>
    <x v="2"/>
    <n v="9"/>
  </r>
  <r>
    <x v="2"/>
    <n v="6"/>
  </r>
  <r>
    <x v="2"/>
    <n v="8"/>
  </r>
  <r>
    <x v="2"/>
    <n v="2"/>
  </r>
  <r>
    <x v="2"/>
    <n v="9"/>
  </r>
  <r>
    <x v="2"/>
    <n v="6"/>
  </r>
  <r>
    <x v="2"/>
    <n v="9"/>
  </r>
  <r>
    <x v="2"/>
    <n v="3"/>
  </r>
  <r>
    <x v="2"/>
    <n v="10"/>
  </r>
  <r>
    <x v="2"/>
    <n v="5"/>
  </r>
  <r>
    <x v="2"/>
    <n v="3"/>
  </r>
  <r>
    <x v="2"/>
    <n v="7"/>
  </r>
  <r>
    <x v="2"/>
    <n v="5"/>
  </r>
  <r>
    <x v="2"/>
    <n v="4"/>
  </r>
  <r>
    <x v="2"/>
    <n v="7"/>
  </r>
  <r>
    <x v="2"/>
    <n v="6"/>
  </r>
  <r>
    <x v="2"/>
    <n v="9"/>
  </r>
  <r>
    <x v="2"/>
    <n v="8"/>
  </r>
  <r>
    <x v="2"/>
    <n v="4"/>
  </r>
  <r>
    <x v="2"/>
    <n v="3"/>
  </r>
  <r>
    <x v="2"/>
    <n v="3"/>
  </r>
  <r>
    <x v="2"/>
    <n v="10"/>
  </r>
  <r>
    <x v="2"/>
    <n v="2"/>
  </r>
  <r>
    <x v="2"/>
    <n v="4"/>
  </r>
  <r>
    <x v="2"/>
    <n v="7"/>
  </r>
  <r>
    <x v="2"/>
    <n v="8"/>
  </r>
  <r>
    <x v="2"/>
    <n v="9"/>
  </r>
  <r>
    <x v="2"/>
    <n v="7"/>
  </r>
  <r>
    <x v="2"/>
    <n v="6"/>
  </r>
  <r>
    <x v="2"/>
    <n v="4"/>
  </r>
  <r>
    <x v="2"/>
    <n v="2"/>
  </r>
  <r>
    <x v="2"/>
    <n v="7"/>
  </r>
  <r>
    <x v="2"/>
    <n v="5"/>
  </r>
  <r>
    <x v="2"/>
    <n v="8"/>
  </r>
  <r>
    <x v="2"/>
    <n v="3"/>
  </r>
  <r>
    <x v="2"/>
    <n v="3"/>
  </r>
  <r>
    <x v="2"/>
    <n v="10"/>
  </r>
  <r>
    <x v="2"/>
    <n v="10"/>
  </r>
  <r>
    <x v="2"/>
    <n v="3"/>
  </r>
  <r>
    <x v="2"/>
    <n v="8"/>
  </r>
  <r>
    <x v="2"/>
    <n v="7"/>
  </r>
  <r>
    <x v="2"/>
    <n v="5"/>
  </r>
  <r>
    <x v="2"/>
    <n v="4"/>
  </r>
  <r>
    <x v="2"/>
    <n v="5"/>
  </r>
  <r>
    <x v="2"/>
    <n v="3"/>
  </r>
  <r>
    <x v="2"/>
    <n v="5"/>
  </r>
  <r>
    <x v="2"/>
    <n v="5"/>
  </r>
  <r>
    <x v="2"/>
    <n v="7"/>
  </r>
  <r>
    <x v="2"/>
    <n v="10"/>
  </r>
  <r>
    <x v="2"/>
    <n v="2"/>
  </r>
  <r>
    <x v="2"/>
    <n v="9"/>
  </r>
  <r>
    <x v="2"/>
    <n v="8"/>
  </r>
  <r>
    <x v="2"/>
    <n v="6"/>
  </r>
  <r>
    <x v="2"/>
    <n v="9"/>
  </r>
  <r>
    <x v="2"/>
    <n v="5"/>
  </r>
  <r>
    <x v="2"/>
    <n v="10"/>
  </r>
  <r>
    <x v="2"/>
    <n v="3"/>
  </r>
  <r>
    <x v="2"/>
    <n v="3"/>
  </r>
  <r>
    <x v="2"/>
    <n v="9"/>
  </r>
  <r>
    <x v="2"/>
    <n v="7"/>
  </r>
  <r>
    <x v="2"/>
    <n v="9"/>
  </r>
  <r>
    <x v="2"/>
    <n v="10"/>
  </r>
  <r>
    <x v="2"/>
    <n v="4"/>
  </r>
  <r>
    <x v="2"/>
    <n v="8"/>
  </r>
  <r>
    <x v="2"/>
    <n v="5"/>
  </r>
  <r>
    <x v="2"/>
    <n v="10"/>
  </r>
  <r>
    <x v="2"/>
    <n v="9"/>
  </r>
  <r>
    <x v="2"/>
    <n v="10"/>
  </r>
  <r>
    <x v="2"/>
    <n v="2"/>
  </r>
  <r>
    <x v="2"/>
    <n v="9"/>
  </r>
  <r>
    <x v="2"/>
    <n v="6"/>
  </r>
  <r>
    <x v="2"/>
    <n v="9"/>
  </r>
  <r>
    <x v="2"/>
    <n v="10"/>
  </r>
  <r>
    <x v="2"/>
    <n v="7"/>
  </r>
  <r>
    <x v="2"/>
    <n v="9"/>
  </r>
  <r>
    <x v="2"/>
    <n v="5"/>
  </r>
  <r>
    <x v="2"/>
    <n v="2"/>
  </r>
  <r>
    <x v="2"/>
    <n v="10"/>
  </r>
  <r>
    <x v="2"/>
    <n v="5"/>
  </r>
  <r>
    <x v="2"/>
    <n v="9"/>
  </r>
  <r>
    <x v="2"/>
    <n v="5"/>
  </r>
  <r>
    <x v="2"/>
    <n v="4"/>
  </r>
  <r>
    <x v="2"/>
    <n v="5"/>
  </r>
  <r>
    <x v="2"/>
    <n v="10"/>
  </r>
  <r>
    <x v="2"/>
    <n v="2"/>
  </r>
  <r>
    <x v="2"/>
    <n v="8"/>
  </r>
  <r>
    <x v="2"/>
    <n v="7"/>
  </r>
  <r>
    <x v="2"/>
    <n v="3"/>
  </r>
  <r>
    <x v="2"/>
    <n v="10"/>
  </r>
  <r>
    <x v="2"/>
    <n v="7"/>
  </r>
  <r>
    <x v="2"/>
    <n v="9"/>
  </r>
  <r>
    <x v="2"/>
    <n v="2"/>
  </r>
  <r>
    <x v="2"/>
    <n v="10"/>
  </r>
  <r>
    <x v="2"/>
    <n v="7"/>
  </r>
  <r>
    <x v="2"/>
    <n v="8"/>
  </r>
  <r>
    <x v="2"/>
    <n v="5"/>
  </r>
  <r>
    <x v="2"/>
    <n v="9"/>
  </r>
  <r>
    <x v="2"/>
    <n v="5"/>
  </r>
  <r>
    <x v="2"/>
    <n v="4"/>
  </r>
  <r>
    <x v="2"/>
    <n v="5"/>
  </r>
  <r>
    <x v="2"/>
    <n v="8"/>
  </r>
  <r>
    <x v="2"/>
    <n v="6"/>
  </r>
  <r>
    <x v="2"/>
    <n v="6"/>
  </r>
  <r>
    <x v="2"/>
    <n v="8"/>
  </r>
  <r>
    <x v="2"/>
    <n v="6"/>
  </r>
  <r>
    <x v="2"/>
    <n v="3"/>
  </r>
  <r>
    <x v="2"/>
    <n v="7"/>
  </r>
  <r>
    <x v="2"/>
    <n v="4"/>
  </r>
  <r>
    <x v="2"/>
    <n v="10"/>
  </r>
  <r>
    <x v="2"/>
    <n v="7"/>
  </r>
  <r>
    <x v="2"/>
    <n v="5"/>
  </r>
  <r>
    <x v="2"/>
    <n v="4"/>
  </r>
  <r>
    <x v="2"/>
    <n v="7"/>
  </r>
  <r>
    <x v="2"/>
    <n v="2"/>
  </r>
  <r>
    <x v="2"/>
    <n v="8"/>
  </r>
  <r>
    <x v="2"/>
    <n v="9"/>
  </r>
  <r>
    <x v="2"/>
    <n v="7"/>
  </r>
  <r>
    <x v="2"/>
    <n v="7"/>
  </r>
  <r>
    <x v="2"/>
    <n v="5"/>
  </r>
  <r>
    <x v="2"/>
    <n v="2"/>
  </r>
  <r>
    <x v="2"/>
    <n v="2"/>
  </r>
  <r>
    <x v="2"/>
    <n v="3"/>
  </r>
  <r>
    <x v="2"/>
    <n v="6"/>
  </r>
  <r>
    <x v="2"/>
    <n v="4"/>
  </r>
  <r>
    <x v="2"/>
    <n v="10"/>
  </r>
  <r>
    <x v="2"/>
    <n v="9"/>
  </r>
  <r>
    <x v="2"/>
    <n v="6"/>
  </r>
  <r>
    <x v="2"/>
    <n v="3"/>
  </r>
  <r>
    <x v="2"/>
    <n v="2"/>
  </r>
  <r>
    <x v="2"/>
    <n v="3"/>
  </r>
  <r>
    <x v="2"/>
    <n v="6"/>
  </r>
  <r>
    <x v="2"/>
    <n v="3"/>
  </r>
  <r>
    <x v="2"/>
    <n v="2"/>
  </r>
  <r>
    <x v="2"/>
    <n v="4"/>
  </r>
  <r>
    <x v="2"/>
    <n v="7"/>
  </r>
  <r>
    <x v="2"/>
    <n v="7"/>
  </r>
  <r>
    <x v="2"/>
    <n v="2"/>
  </r>
  <r>
    <x v="2"/>
    <n v="6"/>
  </r>
  <r>
    <x v="2"/>
    <n v="9"/>
  </r>
  <r>
    <x v="2"/>
    <n v="5"/>
  </r>
  <r>
    <x v="2"/>
    <n v="7"/>
  </r>
  <r>
    <x v="2"/>
    <n v="8"/>
  </r>
  <r>
    <x v="2"/>
    <n v="7"/>
  </r>
  <r>
    <x v="2"/>
    <n v="7"/>
  </r>
  <r>
    <x v="2"/>
    <n v="4"/>
  </r>
  <r>
    <x v="2"/>
    <n v="2"/>
  </r>
  <r>
    <x v="2"/>
    <n v="4"/>
  </r>
  <r>
    <x v="2"/>
    <n v="7"/>
  </r>
  <r>
    <x v="2"/>
    <n v="9"/>
  </r>
  <r>
    <x v="2"/>
    <n v="3"/>
  </r>
  <r>
    <x v="2"/>
    <n v="6"/>
  </r>
  <r>
    <x v="2"/>
    <n v="5"/>
  </r>
  <r>
    <x v="2"/>
    <n v="6"/>
  </r>
  <r>
    <x v="2"/>
    <n v="2"/>
  </r>
  <r>
    <x v="2"/>
    <n v="2"/>
  </r>
  <r>
    <x v="2"/>
    <n v="7"/>
  </r>
  <r>
    <x v="2"/>
    <n v="4"/>
  </r>
  <r>
    <x v="2"/>
    <n v="2"/>
  </r>
  <r>
    <x v="2"/>
    <n v="3"/>
  </r>
  <r>
    <x v="2"/>
    <n v="9"/>
  </r>
  <r>
    <x v="2"/>
    <n v="3"/>
  </r>
  <r>
    <x v="2"/>
    <n v="3"/>
  </r>
  <r>
    <x v="2"/>
    <n v="10"/>
  </r>
  <r>
    <x v="2"/>
    <n v="7"/>
  </r>
  <r>
    <x v="2"/>
    <n v="2"/>
  </r>
  <r>
    <x v="2"/>
    <n v="4"/>
  </r>
  <r>
    <x v="2"/>
    <n v="6"/>
  </r>
  <r>
    <x v="2"/>
    <n v="7"/>
  </r>
  <r>
    <x v="2"/>
    <n v="10"/>
  </r>
  <r>
    <x v="2"/>
    <n v="7"/>
  </r>
  <r>
    <x v="2"/>
    <n v="6"/>
  </r>
  <r>
    <x v="2"/>
    <n v="8"/>
  </r>
  <r>
    <x v="2"/>
    <n v="4"/>
  </r>
  <r>
    <x v="2"/>
    <n v="6"/>
  </r>
  <r>
    <x v="2"/>
    <n v="8"/>
  </r>
  <r>
    <x v="2"/>
    <n v="4"/>
  </r>
  <r>
    <x v="2"/>
    <n v="5"/>
  </r>
  <r>
    <x v="2"/>
    <n v="7"/>
  </r>
  <r>
    <x v="2"/>
    <n v="4"/>
  </r>
  <r>
    <x v="2"/>
    <n v="3"/>
  </r>
  <r>
    <x v="2"/>
    <n v="3"/>
  </r>
  <r>
    <x v="2"/>
    <n v="9"/>
  </r>
  <r>
    <x v="2"/>
    <n v="5"/>
  </r>
  <r>
    <x v="2"/>
    <n v="7"/>
  </r>
  <r>
    <x v="2"/>
    <n v="7"/>
  </r>
  <r>
    <x v="2"/>
    <n v="4"/>
  </r>
  <r>
    <x v="2"/>
    <n v="5"/>
  </r>
  <r>
    <x v="2"/>
    <n v="9"/>
  </r>
  <r>
    <x v="2"/>
    <n v="5"/>
  </r>
  <r>
    <x v="2"/>
    <n v="3"/>
  </r>
  <r>
    <x v="2"/>
    <n v="3"/>
  </r>
  <r>
    <x v="2"/>
    <n v="10"/>
  </r>
  <r>
    <x v="2"/>
    <n v="6"/>
  </r>
  <r>
    <x v="2"/>
    <n v="2"/>
  </r>
  <r>
    <x v="2"/>
    <n v="5"/>
  </r>
  <r>
    <x v="2"/>
    <n v="3"/>
  </r>
  <r>
    <x v="2"/>
    <n v="6"/>
  </r>
  <r>
    <x v="2"/>
    <n v="9"/>
  </r>
  <r>
    <x v="2"/>
    <n v="6"/>
  </r>
  <r>
    <x v="2"/>
    <n v="7"/>
  </r>
  <r>
    <x v="2"/>
    <n v="5"/>
  </r>
  <r>
    <x v="2"/>
    <n v="8"/>
  </r>
  <r>
    <x v="2"/>
    <n v="4"/>
  </r>
  <r>
    <x v="2"/>
    <n v="6"/>
  </r>
  <r>
    <x v="2"/>
    <n v="6"/>
  </r>
  <r>
    <x v="3"/>
    <n v="3"/>
  </r>
  <r>
    <x v="3"/>
    <n v="4"/>
  </r>
  <r>
    <x v="3"/>
    <n v="10"/>
  </r>
  <r>
    <x v="3"/>
    <n v="10"/>
  </r>
  <r>
    <x v="3"/>
    <n v="2"/>
  </r>
  <r>
    <x v="3"/>
    <n v="9"/>
  </r>
  <r>
    <x v="3"/>
    <n v="2"/>
  </r>
  <r>
    <x v="3"/>
    <n v="5"/>
  </r>
  <r>
    <x v="3"/>
    <n v="5"/>
  </r>
  <r>
    <x v="3"/>
    <n v="4"/>
  </r>
  <r>
    <x v="3"/>
    <n v="3"/>
  </r>
  <r>
    <x v="3"/>
    <n v="4"/>
  </r>
  <r>
    <x v="3"/>
    <n v="2"/>
  </r>
  <r>
    <x v="3"/>
    <n v="6"/>
  </r>
  <r>
    <x v="3"/>
    <n v="4"/>
  </r>
  <r>
    <x v="3"/>
    <n v="7"/>
  </r>
  <r>
    <x v="3"/>
    <n v="2"/>
  </r>
  <r>
    <x v="3"/>
    <n v="7"/>
  </r>
  <r>
    <x v="3"/>
    <n v="2"/>
  </r>
  <r>
    <x v="3"/>
    <n v="10"/>
  </r>
  <r>
    <x v="3"/>
    <n v="10"/>
  </r>
  <r>
    <x v="3"/>
    <n v="6"/>
  </r>
  <r>
    <x v="3"/>
    <n v="9"/>
  </r>
  <r>
    <x v="3"/>
    <n v="7"/>
  </r>
  <r>
    <x v="3"/>
    <n v="10"/>
  </r>
  <r>
    <x v="3"/>
    <n v="10"/>
  </r>
  <r>
    <x v="3"/>
    <n v="6"/>
  </r>
  <r>
    <x v="3"/>
    <n v="5"/>
  </r>
  <r>
    <x v="3"/>
    <n v="4"/>
  </r>
  <r>
    <x v="3"/>
    <n v="8"/>
  </r>
  <r>
    <x v="3"/>
    <n v="7"/>
  </r>
  <r>
    <x v="3"/>
    <n v="4"/>
  </r>
  <r>
    <x v="3"/>
    <n v="7"/>
  </r>
  <r>
    <x v="3"/>
    <n v="9"/>
  </r>
  <r>
    <x v="3"/>
    <n v="10"/>
  </r>
  <r>
    <x v="3"/>
    <n v="2"/>
  </r>
  <r>
    <x v="3"/>
    <n v="7"/>
  </r>
  <r>
    <x v="3"/>
    <n v="3"/>
  </r>
  <r>
    <x v="3"/>
    <n v="4"/>
  </r>
  <r>
    <x v="3"/>
    <n v="8"/>
  </r>
  <r>
    <x v="3"/>
    <n v="10"/>
  </r>
  <r>
    <x v="3"/>
    <n v="4"/>
  </r>
  <r>
    <x v="3"/>
    <n v="5"/>
  </r>
  <r>
    <x v="3"/>
    <n v="10"/>
  </r>
  <r>
    <x v="3"/>
    <n v="9"/>
  </r>
  <r>
    <x v="3"/>
    <n v="4"/>
  </r>
  <r>
    <x v="3"/>
    <n v="7"/>
  </r>
  <r>
    <x v="3"/>
    <n v="7"/>
  </r>
  <r>
    <x v="3"/>
    <n v="9"/>
  </r>
  <r>
    <x v="3"/>
    <n v="7"/>
  </r>
  <r>
    <x v="3"/>
    <n v="4"/>
  </r>
  <r>
    <x v="3"/>
    <n v="8"/>
  </r>
  <r>
    <x v="3"/>
    <n v="9"/>
  </r>
  <r>
    <x v="3"/>
    <n v="5"/>
  </r>
  <r>
    <x v="3"/>
    <n v="3"/>
  </r>
  <r>
    <x v="3"/>
    <n v="2"/>
  </r>
  <r>
    <x v="3"/>
    <n v="2"/>
  </r>
  <r>
    <x v="3"/>
    <n v="9"/>
  </r>
  <r>
    <x v="3"/>
    <n v="10"/>
  </r>
  <r>
    <x v="3"/>
    <n v="4"/>
  </r>
  <r>
    <x v="3"/>
    <n v="8"/>
  </r>
  <r>
    <x v="3"/>
    <n v="2"/>
  </r>
  <r>
    <x v="3"/>
    <n v="9"/>
  </r>
  <r>
    <x v="3"/>
    <n v="8"/>
  </r>
  <r>
    <x v="3"/>
    <n v="10"/>
  </r>
  <r>
    <x v="3"/>
    <n v="7"/>
  </r>
  <r>
    <x v="3"/>
    <n v="5"/>
  </r>
  <r>
    <x v="3"/>
    <n v="9"/>
  </r>
  <r>
    <x v="3"/>
    <n v="7"/>
  </r>
  <r>
    <x v="3"/>
    <n v="8"/>
  </r>
  <r>
    <x v="3"/>
    <n v="7"/>
  </r>
  <r>
    <x v="3"/>
    <n v="8"/>
  </r>
  <r>
    <x v="3"/>
    <n v="7"/>
  </r>
  <r>
    <x v="3"/>
    <n v="3"/>
  </r>
  <r>
    <x v="3"/>
    <n v="4"/>
  </r>
  <r>
    <x v="3"/>
    <n v="5"/>
  </r>
  <r>
    <x v="3"/>
    <n v="4"/>
  </r>
  <r>
    <x v="3"/>
    <n v="7"/>
  </r>
  <r>
    <x v="3"/>
    <n v="3"/>
  </r>
  <r>
    <x v="3"/>
    <n v="2"/>
  </r>
  <r>
    <x v="3"/>
    <n v="10"/>
  </r>
  <r>
    <x v="3"/>
    <n v="3"/>
  </r>
  <r>
    <x v="3"/>
    <n v="9"/>
  </r>
  <r>
    <x v="3"/>
    <n v="3"/>
  </r>
  <r>
    <x v="3"/>
    <n v="6"/>
  </r>
  <r>
    <x v="3"/>
    <n v="10"/>
  </r>
  <r>
    <x v="3"/>
    <n v="2"/>
  </r>
  <r>
    <x v="3"/>
    <n v="10"/>
  </r>
  <r>
    <x v="3"/>
    <n v="10"/>
  </r>
  <r>
    <x v="3"/>
    <n v="6"/>
  </r>
  <r>
    <x v="3"/>
    <n v="4"/>
  </r>
  <r>
    <x v="3"/>
    <n v="9"/>
  </r>
  <r>
    <x v="3"/>
    <n v="4"/>
  </r>
  <r>
    <x v="3"/>
    <n v="3"/>
  </r>
  <r>
    <x v="3"/>
    <n v="3"/>
  </r>
  <r>
    <x v="3"/>
    <n v="8"/>
  </r>
  <r>
    <x v="3"/>
    <n v="7"/>
  </r>
  <r>
    <x v="3"/>
    <n v="3"/>
  </r>
  <r>
    <x v="3"/>
    <n v="9"/>
  </r>
  <r>
    <x v="3"/>
    <n v="8"/>
  </r>
  <r>
    <x v="3"/>
    <n v="7"/>
  </r>
  <r>
    <x v="3"/>
    <n v="5"/>
  </r>
  <r>
    <x v="3"/>
    <n v="5"/>
  </r>
  <r>
    <x v="3"/>
    <n v="7"/>
  </r>
  <r>
    <x v="3"/>
    <n v="7"/>
  </r>
  <r>
    <x v="3"/>
    <n v="9"/>
  </r>
  <r>
    <x v="3"/>
    <n v="5"/>
  </r>
  <r>
    <x v="3"/>
    <n v="6"/>
  </r>
  <r>
    <x v="3"/>
    <n v="6"/>
  </r>
  <r>
    <x v="3"/>
    <n v="4"/>
  </r>
  <r>
    <x v="3"/>
    <n v="9"/>
  </r>
  <r>
    <x v="3"/>
    <n v="9"/>
  </r>
  <r>
    <x v="3"/>
    <n v="4"/>
  </r>
  <r>
    <x v="3"/>
    <n v="4"/>
  </r>
  <r>
    <x v="3"/>
    <n v="5"/>
  </r>
  <r>
    <x v="3"/>
    <n v="5"/>
  </r>
  <r>
    <x v="3"/>
    <n v="9"/>
  </r>
  <r>
    <x v="3"/>
    <n v="2"/>
  </r>
  <r>
    <x v="3"/>
    <n v="4"/>
  </r>
  <r>
    <x v="3"/>
    <n v="5"/>
  </r>
  <r>
    <x v="3"/>
    <n v="3"/>
  </r>
  <r>
    <x v="3"/>
    <n v="6"/>
  </r>
  <r>
    <x v="3"/>
    <n v="6"/>
  </r>
  <r>
    <x v="3"/>
    <n v="4"/>
  </r>
  <r>
    <x v="3"/>
    <n v="8"/>
  </r>
  <r>
    <x v="3"/>
    <n v="3"/>
  </r>
  <r>
    <x v="3"/>
    <n v="5"/>
  </r>
  <r>
    <x v="3"/>
    <n v="6"/>
  </r>
  <r>
    <x v="3"/>
    <n v="2"/>
  </r>
  <r>
    <x v="3"/>
    <n v="9"/>
  </r>
  <r>
    <x v="3"/>
    <n v="4"/>
  </r>
  <r>
    <x v="3"/>
    <n v="3"/>
  </r>
  <r>
    <x v="3"/>
    <n v="6"/>
  </r>
  <r>
    <x v="3"/>
    <n v="3"/>
  </r>
  <r>
    <x v="3"/>
    <n v="5"/>
  </r>
  <r>
    <x v="3"/>
    <n v="3"/>
  </r>
  <r>
    <x v="3"/>
    <n v="5"/>
  </r>
  <r>
    <x v="3"/>
    <n v="8"/>
  </r>
  <r>
    <x v="3"/>
    <n v="5"/>
  </r>
  <r>
    <x v="3"/>
    <n v="8"/>
  </r>
  <r>
    <x v="3"/>
    <n v="7"/>
  </r>
  <r>
    <x v="3"/>
    <n v="2"/>
  </r>
  <r>
    <x v="3"/>
    <n v="6"/>
  </r>
  <r>
    <x v="3"/>
    <n v="3"/>
  </r>
  <r>
    <x v="3"/>
    <n v="7"/>
  </r>
  <r>
    <x v="3"/>
    <n v="5"/>
  </r>
  <r>
    <x v="3"/>
    <n v="3"/>
  </r>
  <r>
    <x v="3"/>
    <n v="10"/>
  </r>
  <r>
    <x v="3"/>
    <n v="3"/>
  </r>
  <r>
    <x v="3"/>
    <n v="2"/>
  </r>
  <r>
    <x v="3"/>
    <n v="7"/>
  </r>
  <r>
    <x v="3"/>
    <n v="6"/>
  </r>
  <r>
    <x v="3"/>
    <n v="7"/>
  </r>
  <r>
    <x v="3"/>
    <n v="9"/>
  </r>
  <r>
    <x v="3"/>
    <n v="4"/>
  </r>
  <r>
    <x v="3"/>
    <n v="5"/>
  </r>
  <r>
    <x v="3"/>
    <n v="3"/>
  </r>
  <r>
    <x v="3"/>
    <n v="2"/>
  </r>
  <r>
    <x v="3"/>
    <n v="5"/>
  </r>
  <r>
    <x v="3"/>
    <n v="4"/>
  </r>
  <r>
    <x v="3"/>
    <n v="7"/>
  </r>
  <r>
    <x v="3"/>
    <n v="7"/>
  </r>
  <r>
    <x v="3"/>
    <n v="8"/>
  </r>
  <r>
    <x v="3"/>
    <n v="9"/>
  </r>
  <r>
    <x v="3"/>
    <n v="7"/>
  </r>
  <r>
    <x v="3"/>
    <n v="10"/>
  </r>
  <r>
    <x v="3"/>
    <n v="9"/>
  </r>
  <r>
    <x v="3"/>
    <n v="6"/>
  </r>
  <r>
    <x v="3"/>
    <n v="8"/>
  </r>
  <r>
    <x v="3"/>
    <n v="5"/>
  </r>
  <r>
    <x v="3"/>
    <n v="9"/>
  </r>
  <r>
    <x v="3"/>
    <n v="2"/>
  </r>
  <r>
    <x v="3"/>
    <n v="4"/>
  </r>
  <r>
    <x v="3"/>
    <n v="8"/>
  </r>
  <r>
    <x v="3"/>
    <n v="8"/>
  </r>
  <r>
    <x v="3"/>
    <n v="9"/>
  </r>
  <r>
    <x v="3"/>
    <n v="5"/>
  </r>
  <r>
    <x v="3"/>
    <n v="9"/>
  </r>
  <r>
    <x v="3"/>
    <n v="2"/>
  </r>
  <r>
    <x v="3"/>
    <n v="4"/>
  </r>
  <r>
    <x v="3"/>
    <n v="8"/>
  </r>
  <r>
    <x v="3"/>
    <n v="2"/>
  </r>
  <r>
    <x v="3"/>
    <n v="6"/>
  </r>
  <r>
    <x v="3"/>
    <n v="5"/>
  </r>
  <r>
    <x v="3"/>
    <n v="5"/>
  </r>
  <r>
    <x v="3"/>
    <n v="9"/>
  </r>
  <r>
    <x v="3"/>
    <n v="5"/>
  </r>
  <r>
    <x v="3"/>
    <n v="7"/>
  </r>
  <r>
    <x v="3"/>
    <n v="7"/>
  </r>
  <r>
    <x v="3"/>
    <n v="2"/>
  </r>
  <r>
    <x v="3"/>
    <n v="6"/>
  </r>
  <r>
    <x v="3"/>
    <n v="10"/>
  </r>
  <r>
    <x v="3"/>
    <n v="4"/>
  </r>
  <r>
    <x v="3"/>
    <n v="10"/>
  </r>
  <r>
    <x v="3"/>
    <n v="5"/>
  </r>
  <r>
    <x v="3"/>
    <n v="8"/>
  </r>
  <r>
    <x v="3"/>
    <n v="4"/>
  </r>
  <r>
    <x v="3"/>
    <n v="10"/>
  </r>
  <r>
    <x v="3"/>
    <n v="6"/>
  </r>
  <r>
    <x v="3"/>
    <n v="9"/>
  </r>
  <r>
    <x v="3"/>
    <n v="9"/>
  </r>
  <r>
    <x v="3"/>
    <n v="3"/>
  </r>
  <r>
    <x v="3"/>
    <n v="9"/>
  </r>
  <r>
    <x v="3"/>
    <n v="9"/>
  </r>
  <r>
    <x v="3"/>
    <n v="5"/>
  </r>
  <r>
    <x v="3"/>
    <n v="2"/>
  </r>
  <r>
    <x v="3"/>
    <n v="4"/>
  </r>
  <r>
    <x v="3"/>
    <n v="9"/>
  </r>
  <r>
    <x v="3"/>
    <n v="5"/>
  </r>
  <r>
    <x v="3"/>
    <n v="8"/>
  </r>
  <r>
    <x v="3"/>
    <n v="8"/>
  </r>
  <r>
    <x v="3"/>
    <n v="4"/>
  </r>
  <r>
    <x v="3"/>
    <n v="6"/>
  </r>
  <r>
    <x v="3"/>
    <n v="4"/>
  </r>
  <r>
    <x v="3"/>
    <n v="9"/>
  </r>
  <r>
    <x v="3"/>
    <n v="7"/>
  </r>
  <r>
    <x v="3"/>
    <n v="4"/>
  </r>
  <r>
    <x v="3"/>
    <n v="4"/>
  </r>
  <r>
    <x v="3"/>
    <n v="8"/>
  </r>
  <r>
    <x v="3"/>
    <n v="9"/>
  </r>
  <r>
    <x v="3"/>
    <n v="10"/>
  </r>
  <r>
    <x v="3"/>
    <n v="5"/>
  </r>
  <r>
    <x v="3"/>
    <n v="8"/>
  </r>
  <r>
    <x v="3"/>
    <n v="7"/>
  </r>
  <r>
    <x v="3"/>
    <n v="10"/>
  </r>
  <r>
    <x v="3"/>
    <n v="9"/>
  </r>
  <r>
    <x v="3"/>
    <n v="7"/>
  </r>
  <r>
    <x v="3"/>
    <n v="9"/>
  </r>
  <r>
    <x v="3"/>
    <n v="9"/>
  </r>
  <r>
    <x v="3"/>
    <n v="4"/>
  </r>
  <r>
    <x v="3"/>
    <n v="3"/>
  </r>
  <r>
    <x v="3"/>
    <n v="3"/>
  </r>
  <r>
    <x v="3"/>
    <n v="6"/>
  </r>
  <r>
    <x v="3"/>
    <n v="9"/>
  </r>
  <r>
    <x v="3"/>
    <n v="4"/>
  </r>
  <r>
    <x v="3"/>
    <n v="4"/>
  </r>
  <r>
    <x v="3"/>
    <n v="3"/>
  </r>
  <r>
    <x v="3"/>
    <n v="10"/>
  </r>
  <r>
    <x v="3"/>
    <n v="10"/>
  </r>
  <r>
    <x v="3"/>
    <n v="3"/>
  </r>
  <r>
    <x v="3"/>
    <n v="10"/>
  </r>
  <r>
    <x v="3"/>
    <n v="10"/>
  </r>
  <r>
    <x v="3"/>
    <n v="2"/>
  </r>
  <r>
    <x v="3"/>
    <n v="7"/>
  </r>
  <r>
    <x v="3"/>
    <n v="4"/>
  </r>
  <r>
    <x v="3"/>
    <n v="6"/>
  </r>
  <r>
    <x v="3"/>
    <n v="4"/>
  </r>
  <r>
    <x v="3"/>
    <n v="9"/>
  </r>
  <r>
    <x v="3"/>
    <n v="8"/>
  </r>
  <r>
    <x v="3"/>
    <n v="5"/>
  </r>
  <r>
    <x v="3"/>
    <n v="8"/>
  </r>
  <r>
    <x v="3"/>
    <n v="5"/>
  </r>
  <r>
    <x v="3"/>
    <n v="3"/>
  </r>
  <r>
    <x v="3"/>
    <n v="6"/>
  </r>
  <r>
    <x v="3"/>
    <n v="2"/>
  </r>
  <r>
    <x v="3"/>
    <n v="10"/>
  </r>
  <r>
    <x v="3"/>
    <n v="8"/>
  </r>
  <r>
    <x v="3"/>
    <n v="7"/>
  </r>
  <r>
    <x v="3"/>
    <n v="7"/>
  </r>
  <r>
    <x v="3"/>
    <n v="3"/>
  </r>
  <r>
    <x v="3"/>
    <n v="6"/>
  </r>
  <r>
    <x v="3"/>
    <n v="6"/>
  </r>
  <r>
    <x v="3"/>
    <n v="8"/>
  </r>
  <r>
    <x v="3"/>
    <n v="2"/>
  </r>
  <r>
    <x v="3"/>
    <n v="2"/>
  </r>
  <r>
    <x v="3"/>
    <n v="7"/>
  </r>
  <r>
    <x v="3"/>
    <n v="4"/>
  </r>
  <r>
    <x v="3"/>
    <n v="8"/>
  </r>
  <r>
    <x v="3"/>
    <n v="8"/>
  </r>
  <r>
    <x v="3"/>
    <n v="6"/>
  </r>
  <r>
    <x v="3"/>
    <n v="4"/>
  </r>
  <r>
    <x v="3"/>
    <n v="3"/>
  </r>
  <r>
    <x v="3"/>
    <n v="10"/>
  </r>
  <r>
    <x v="3"/>
    <n v="10"/>
  </r>
  <r>
    <x v="3"/>
    <n v="3"/>
  </r>
  <r>
    <x v="3"/>
    <n v="7"/>
  </r>
  <r>
    <x v="3"/>
    <n v="3"/>
  </r>
  <r>
    <x v="3"/>
    <n v="2"/>
  </r>
  <r>
    <x v="3"/>
    <n v="7"/>
  </r>
  <r>
    <x v="3"/>
    <n v="10"/>
  </r>
  <r>
    <x v="3"/>
    <n v="6"/>
  </r>
  <r>
    <x v="3"/>
    <n v="9"/>
  </r>
  <r>
    <x v="3"/>
    <n v="8"/>
  </r>
  <r>
    <x v="3"/>
    <n v="7"/>
  </r>
  <r>
    <x v="3"/>
    <n v="8"/>
  </r>
  <r>
    <x v="3"/>
    <n v="6"/>
  </r>
  <r>
    <x v="3"/>
    <n v="10"/>
  </r>
  <r>
    <x v="3"/>
    <n v="6"/>
  </r>
  <r>
    <x v="3"/>
    <n v="5"/>
  </r>
  <r>
    <x v="3"/>
    <n v="7"/>
  </r>
  <r>
    <x v="3"/>
    <n v="3"/>
  </r>
  <r>
    <x v="3"/>
    <n v="8"/>
  </r>
  <r>
    <x v="3"/>
    <n v="8"/>
  </r>
  <r>
    <x v="3"/>
    <n v="3"/>
  </r>
  <r>
    <x v="3"/>
    <n v="2"/>
  </r>
  <r>
    <x v="3"/>
    <n v="5"/>
  </r>
  <r>
    <x v="3"/>
    <n v="7"/>
  </r>
  <r>
    <x v="3"/>
    <n v="2"/>
  </r>
  <r>
    <x v="3"/>
    <n v="2"/>
  </r>
  <r>
    <x v="3"/>
    <n v="2"/>
  </r>
  <r>
    <x v="3"/>
    <n v="10"/>
  </r>
  <r>
    <x v="3"/>
    <n v="7"/>
  </r>
  <r>
    <x v="3"/>
    <n v="8"/>
  </r>
  <r>
    <x v="3"/>
    <n v="3"/>
  </r>
  <r>
    <x v="3"/>
    <n v="7"/>
  </r>
  <r>
    <x v="3"/>
    <n v="7"/>
  </r>
  <r>
    <x v="3"/>
    <n v="4"/>
  </r>
  <r>
    <x v="3"/>
    <n v="4"/>
  </r>
  <r>
    <x v="3"/>
    <n v="3"/>
  </r>
  <r>
    <x v="3"/>
    <n v="9"/>
  </r>
  <r>
    <x v="3"/>
    <n v="5"/>
  </r>
  <r>
    <x v="3"/>
    <n v="2"/>
  </r>
  <r>
    <x v="3"/>
    <n v="5"/>
  </r>
  <r>
    <x v="3"/>
    <n v="2"/>
  </r>
  <r>
    <x v="3"/>
    <n v="6"/>
  </r>
  <r>
    <x v="3"/>
    <n v="9"/>
  </r>
  <r>
    <x v="3"/>
    <n v="4"/>
  </r>
  <r>
    <x v="3"/>
    <n v="4"/>
  </r>
  <r>
    <x v="3"/>
    <n v="2"/>
  </r>
  <r>
    <x v="3"/>
    <n v="6"/>
  </r>
  <r>
    <x v="3"/>
    <n v="10"/>
  </r>
  <r>
    <x v="3"/>
    <n v="7"/>
  </r>
  <r>
    <x v="3"/>
    <n v="5"/>
  </r>
  <r>
    <x v="3"/>
    <n v="5"/>
  </r>
  <r>
    <x v="3"/>
    <n v="4"/>
  </r>
  <r>
    <x v="3"/>
    <n v="2"/>
  </r>
  <r>
    <x v="3"/>
    <n v="10"/>
  </r>
  <r>
    <x v="3"/>
    <n v="4"/>
  </r>
  <r>
    <x v="3"/>
    <n v="2"/>
  </r>
  <r>
    <x v="3"/>
    <n v="10"/>
  </r>
  <r>
    <x v="3"/>
    <n v="2"/>
  </r>
  <r>
    <x v="3"/>
    <n v="6"/>
  </r>
  <r>
    <x v="3"/>
    <n v="9"/>
  </r>
  <r>
    <x v="3"/>
    <n v="2"/>
  </r>
  <r>
    <x v="3"/>
    <n v="6"/>
  </r>
  <r>
    <x v="3"/>
    <n v="5"/>
  </r>
  <r>
    <x v="3"/>
    <n v="8"/>
  </r>
  <r>
    <x v="3"/>
    <n v="10"/>
  </r>
  <r>
    <x v="3"/>
    <n v="3"/>
  </r>
  <r>
    <x v="3"/>
    <n v="10"/>
  </r>
  <r>
    <x v="3"/>
    <n v="2"/>
  </r>
  <r>
    <x v="3"/>
    <n v="10"/>
  </r>
  <r>
    <x v="3"/>
    <n v="10"/>
  </r>
  <r>
    <x v="3"/>
    <n v="7"/>
  </r>
  <r>
    <x v="3"/>
    <n v="10"/>
  </r>
  <r>
    <x v="3"/>
    <n v="6"/>
  </r>
  <r>
    <x v="3"/>
    <n v="7"/>
  </r>
  <r>
    <x v="3"/>
    <n v="3"/>
  </r>
  <r>
    <x v="3"/>
    <n v="4"/>
  </r>
  <r>
    <x v="3"/>
    <n v="10"/>
  </r>
  <r>
    <x v="3"/>
    <n v="7"/>
  </r>
  <r>
    <x v="3"/>
    <n v="10"/>
  </r>
  <r>
    <x v="3"/>
    <n v="8"/>
  </r>
  <r>
    <x v="3"/>
    <n v="9"/>
  </r>
  <r>
    <x v="3"/>
    <n v="9"/>
  </r>
  <r>
    <x v="3"/>
    <n v="3"/>
  </r>
  <r>
    <x v="3"/>
    <n v="8"/>
  </r>
  <r>
    <x v="3"/>
    <n v="5"/>
  </r>
  <r>
    <x v="3"/>
    <n v="10"/>
  </r>
  <r>
    <x v="3"/>
    <n v="6"/>
  </r>
  <r>
    <x v="3"/>
    <n v="10"/>
  </r>
  <r>
    <x v="3"/>
    <n v="10"/>
  </r>
  <r>
    <x v="3"/>
    <n v="5"/>
  </r>
  <r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1">
  <r>
    <x v="0"/>
    <x v="0"/>
    <n v="9"/>
  </r>
  <r>
    <x v="0"/>
    <x v="0"/>
    <n v="4"/>
  </r>
  <r>
    <x v="0"/>
    <x v="0"/>
    <n v="4"/>
  </r>
  <r>
    <x v="0"/>
    <x v="0"/>
    <n v="7"/>
  </r>
  <r>
    <x v="0"/>
    <x v="0"/>
    <n v="3"/>
  </r>
  <r>
    <x v="0"/>
    <x v="0"/>
    <n v="2"/>
  </r>
  <r>
    <x v="0"/>
    <x v="0"/>
    <n v="10"/>
  </r>
  <r>
    <x v="0"/>
    <x v="0"/>
    <n v="10"/>
  </r>
  <r>
    <x v="0"/>
    <x v="0"/>
    <n v="6"/>
  </r>
  <r>
    <x v="0"/>
    <x v="0"/>
    <n v="9"/>
  </r>
  <r>
    <x v="0"/>
    <x v="0"/>
    <n v="4"/>
  </r>
  <r>
    <x v="0"/>
    <x v="0"/>
    <n v="4"/>
  </r>
  <r>
    <x v="0"/>
    <x v="0"/>
    <n v="7"/>
  </r>
  <r>
    <x v="0"/>
    <x v="0"/>
    <n v="2"/>
  </r>
  <r>
    <x v="0"/>
    <x v="0"/>
    <n v="5"/>
  </r>
  <r>
    <x v="0"/>
    <x v="0"/>
    <n v="6"/>
  </r>
  <r>
    <x v="0"/>
    <x v="0"/>
    <n v="2"/>
  </r>
  <r>
    <x v="0"/>
    <x v="0"/>
    <n v="7"/>
  </r>
  <r>
    <x v="0"/>
    <x v="0"/>
    <n v="4"/>
  </r>
  <r>
    <x v="0"/>
    <x v="0"/>
    <n v="9"/>
  </r>
  <r>
    <x v="0"/>
    <x v="0"/>
    <n v="8"/>
  </r>
  <r>
    <x v="0"/>
    <x v="0"/>
    <n v="7"/>
  </r>
  <r>
    <x v="0"/>
    <x v="0"/>
    <n v="9"/>
  </r>
  <r>
    <x v="0"/>
    <x v="0"/>
    <n v="4"/>
  </r>
  <r>
    <x v="0"/>
    <x v="0"/>
    <n v="8"/>
  </r>
  <r>
    <x v="0"/>
    <x v="0"/>
    <n v="7"/>
  </r>
  <r>
    <x v="0"/>
    <x v="0"/>
    <n v="3"/>
  </r>
  <r>
    <x v="0"/>
    <x v="0"/>
    <n v="6"/>
  </r>
  <r>
    <x v="0"/>
    <x v="0"/>
    <n v="10"/>
  </r>
  <r>
    <x v="0"/>
    <x v="0"/>
    <n v="5"/>
  </r>
  <r>
    <x v="0"/>
    <x v="0"/>
    <n v="4"/>
  </r>
  <r>
    <x v="0"/>
    <x v="0"/>
    <n v="8"/>
  </r>
  <r>
    <x v="0"/>
    <x v="0"/>
    <n v="6"/>
  </r>
  <r>
    <x v="0"/>
    <x v="0"/>
    <n v="6"/>
  </r>
  <r>
    <x v="0"/>
    <x v="0"/>
    <n v="2"/>
  </r>
  <r>
    <x v="0"/>
    <x v="0"/>
    <n v="8"/>
  </r>
  <r>
    <x v="0"/>
    <x v="0"/>
    <n v="8"/>
  </r>
  <r>
    <x v="0"/>
    <x v="0"/>
    <n v="4"/>
  </r>
  <r>
    <x v="0"/>
    <x v="0"/>
    <n v="2"/>
  </r>
  <r>
    <x v="0"/>
    <x v="0"/>
    <n v="2"/>
  </r>
  <r>
    <x v="0"/>
    <x v="0"/>
    <n v="4"/>
  </r>
  <r>
    <x v="0"/>
    <x v="0"/>
    <n v="8"/>
  </r>
  <r>
    <x v="0"/>
    <x v="0"/>
    <n v="7"/>
  </r>
  <r>
    <x v="0"/>
    <x v="0"/>
    <n v="10"/>
  </r>
  <r>
    <x v="0"/>
    <x v="0"/>
    <n v="6"/>
  </r>
  <r>
    <x v="0"/>
    <x v="0"/>
    <n v="3"/>
  </r>
  <r>
    <x v="0"/>
    <x v="0"/>
    <n v="10"/>
  </r>
  <r>
    <x v="0"/>
    <x v="0"/>
    <n v="7"/>
  </r>
  <r>
    <x v="0"/>
    <x v="0"/>
    <n v="6"/>
  </r>
  <r>
    <x v="0"/>
    <x v="0"/>
    <n v="10"/>
  </r>
  <r>
    <x v="0"/>
    <x v="0"/>
    <n v="5"/>
  </r>
  <r>
    <x v="0"/>
    <x v="0"/>
    <n v="7"/>
  </r>
  <r>
    <x v="0"/>
    <x v="0"/>
    <n v="3"/>
  </r>
  <r>
    <x v="0"/>
    <x v="0"/>
    <n v="2"/>
  </r>
  <r>
    <x v="0"/>
    <x v="0"/>
    <n v="3"/>
  </r>
  <r>
    <x v="0"/>
    <x v="0"/>
    <n v="5"/>
  </r>
  <r>
    <x v="0"/>
    <x v="0"/>
    <n v="9"/>
  </r>
  <r>
    <x v="0"/>
    <x v="0"/>
    <n v="7"/>
  </r>
  <r>
    <x v="0"/>
    <x v="0"/>
    <n v="10"/>
  </r>
  <r>
    <x v="0"/>
    <x v="0"/>
    <n v="7"/>
  </r>
  <r>
    <x v="0"/>
    <x v="0"/>
    <n v="6"/>
  </r>
  <r>
    <x v="0"/>
    <x v="0"/>
    <n v="5"/>
  </r>
  <r>
    <x v="0"/>
    <x v="0"/>
    <n v="5"/>
  </r>
  <r>
    <x v="0"/>
    <x v="0"/>
    <n v="2"/>
  </r>
  <r>
    <x v="0"/>
    <x v="0"/>
    <n v="5"/>
  </r>
  <r>
    <x v="0"/>
    <x v="0"/>
    <n v="5"/>
  </r>
  <r>
    <x v="0"/>
    <x v="0"/>
    <n v="7"/>
  </r>
  <r>
    <x v="0"/>
    <x v="0"/>
    <n v="7"/>
  </r>
  <r>
    <x v="0"/>
    <x v="0"/>
    <n v="4"/>
  </r>
  <r>
    <x v="0"/>
    <x v="0"/>
    <n v="2"/>
  </r>
  <r>
    <x v="0"/>
    <x v="0"/>
    <n v="4"/>
  </r>
  <r>
    <x v="0"/>
    <x v="0"/>
    <n v="6"/>
  </r>
  <r>
    <x v="0"/>
    <x v="0"/>
    <n v="10"/>
  </r>
  <r>
    <x v="0"/>
    <x v="0"/>
    <n v="9"/>
  </r>
  <r>
    <x v="0"/>
    <x v="0"/>
    <n v="7"/>
  </r>
  <r>
    <x v="0"/>
    <x v="0"/>
    <n v="4"/>
  </r>
  <r>
    <x v="0"/>
    <x v="0"/>
    <n v="3"/>
  </r>
  <r>
    <x v="0"/>
    <x v="0"/>
    <n v="2"/>
  </r>
  <r>
    <x v="0"/>
    <x v="0"/>
    <n v="3"/>
  </r>
  <r>
    <x v="0"/>
    <x v="0"/>
    <n v="3"/>
  </r>
  <r>
    <x v="0"/>
    <x v="0"/>
    <n v="9"/>
  </r>
  <r>
    <x v="0"/>
    <x v="0"/>
    <n v="3"/>
  </r>
  <r>
    <x v="0"/>
    <x v="0"/>
    <n v="5"/>
  </r>
  <r>
    <x v="0"/>
    <x v="0"/>
    <n v="10"/>
  </r>
  <r>
    <x v="0"/>
    <x v="0"/>
    <n v="7"/>
  </r>
  <r>
    <x v="0"/>
    <x v="0"/>
    <n v="10"/>
  </r>
  <r>
    <x v="0"/>
    <x v="0"/>
    <n v="4"/>
  </r>
  <r>
    <x v="0"/>
    <x v="0"/>
    <n v="10"/>
  </r>
  <r>
    <x v="0"/>
    <x v="0"/>
    <n v="10"/>
  </r>
  <r>
    <x v="0"/>
    <x v="0"/>
    <n v="2"/>
  </r>
  <r>
    <x v="1"/>
    <x v="0"/>
    <n v="3"/>
  </r>
  <r>
    <x v="1"/>
    <x v="0"/>
    <n v="3"/>
  </r>
  <r>
    <x v="1"/>
    <x v="0"/>
    <n v="10"/>
  </r>
  <r>
    <x v="1"/>
    <x v="0"/>
    <n v="5"/>
  </r>
  <r>
    <x v="1"/>
    <x v="0"/>
    <n v="3"/>
  </r>
  <r>
    <x v="1"/>
    <x v="0"/>
    <n v="4"/>
  </r>
  <r>
    <x v="1"/>
    <x v="0"/>
    <n v="7"/>
  </r>
  <r>
    <x v="1"/>
    <x v="0"/>
    <n v="8"/>
  </r>
  <r>
    <x v="1"/>
    <x v="0"/>
    <n v="9"/>
  </r>
  <r>
    <x v="1"/>
    <x v="0"/>
    <n v="8"/>
  </r>
  <r>
    <x v="1"/>
    <x v="0"/>
    <n v="2"/>
  </r>
  <r>
    <x v="1"/>
    <x v="0"/>
    <n v="8"/>
  </r>
  <r>
    <x v="1"/>
    <x v="0"/>
    <n v="3"/>
  </r>
  <r>
    <x v="1"/>
    <x v="0"/>
    <n v="2"/>
  </r>
  <r>
    <x v="1"/>
    <x v="0"/>
    <n v="9"/>
  </r>
  <r>
    <x v="1"/>
    <x v="0"/>
    <n v="6"/>
  </r>
  <r>
    <x v="1"/>
    <x v="0"/>
    <n v="8"/>
  </r>
  <r>
    <x v="1"/>
    <x v="0"/>
    <n v="8"/>
  </r>
  <r>
    <x v="1"/>
    <x v="0"/>
    <n v="4"/>
  </r>
  <r>
    <x v="1"/>
    <x v="0"/>
    <n v="9"/>
  </r>
  <r>
    <x v="1"/>
    <x v="0"/>
    <n v="3"/>
  </r>
  <r>
    <x v="1"/>
    <x v="0"/>
    <n v="8"/>
  </r>
  <r>
    <x v="1"/>
    <x v="0"/>
    <n v="6"/>
  </r>
  <r>
    <x v="1"/>
    <x v="0"/>
    <n v="6"/>
  </r>
  <r>
    <x v="1"/>
    <x v="0"/>
    <n v="6"/>
  </r>
  <r>
    <x v="1"/>
    <x v="0"/>
    <n v="4"/>
  </r>
  <r>
    <x v="1"/>
    <x v="0"/>
    <n v="8"/>
  </r>
  <r>
    <x v="1"/>
    <x v="0"/>
    <n v="6"/>
  </r>
  <r>
    <x v="1"/>
    <x v="0"/>
    <n v="9"/>
  </r>
  <r>
    <x v="1"/>
    <x v="0"/>
    <n v="3"/>
  </r>
  <r>
    <x v="1"/>
    <x v="0"/>
    <n v="9"/>
  </r>
  <r>
    <x v="1"/>
    <x v="0"/>
    <n v="9"/>
  </r>
  <r>
    <x v="1"/>
    <x v="0"/>
    <n v="8"/>
  </r>
  <r>
    <x v="1"/>
    <x v="0"/>
    <n v="4"/>
  </r>
  <r>
    <x v="1"/>
    <x v="0"/>
    <n v="2"/>
  </r>
  <r>
    <x v="1"/>
    <x v="0"/>
    <n v="10"/>
  </r>
  <r>
    <x v="1"/>
    <x v="0"/>
    <n v="10"/>
  </r>
  <r>
    <x v="1"/>
    <x v="0"/>
    <n v="4"/>
  </r>
  <r>
    <x v="1"/>
    <x v="0"/>
    <n v="7"/>
  </r>
  <r>
    <x v="1"/>
    <x v="0"/>
    <n v="5"/>
  </r>
  <r>
    <x v="1"/>
    <x v="0"/>
    <n v="6"/>
  </r>
  <r>
    <x v="1"/>
    <x v="0"/>
    <n v="9"/>
  </r>
  <r>
    <x v="1"/>
    <x v="0"/>
    <n v="2"/>
  </r>
  <r>
    <x v="1"/>
    <x v="0"/>
    <n v="2"/>
  </r>
  <r>
    <x v="1"/>
    <x v="0"/>
    <n v="10"/>
  </r>
  <r>
    <x v="1"/>
    <x v="0"/>
    <n v="3"/>
  </r>
  <r>
    <x v="1"/>
    <x v="0"/>
    <n v="4"/>
  </r>
  <r>
    <x v="1"/>
    <x v="0"/>
    <n v="9"/>
  </r>
  <r>
    <x v="1"/>
    <x v="0"/>
    <n v="4"/>
  </r>
  <r>
    <x v="1"/>
    <x v="0"/>
    <n v="4"/>
  </r>
  <r>
    <x v="1"/>
    <x v="0"/>
    <n v="10"/>
  </r>
  <r>
    <x v="1"/>
    <x v="0"/>
    <n v="9"/>
  </r>
  <r>
    <x v="1"/>
    <x v="0"/>
    <n v="2"/>
  </r>
  <r>
    <x v="1"/>
    <x v="0"/>
    <n v="3"/>
  </r>
  <r>
    <x v="1"/>
    <x v="0"/>
    <n v="4"/>
  </r>
  <r>
    <x v="1"/>
    <x v="0"/>
    <n v="10"/>
  </r>
  <r>
    <x v="1"/>
    <x v="0"/>
    <n v="5"/>
  </r>
  <r>
    <x v="1"/>
    <x v="0"/>
    <n v="4"/>
  </r>
  <r>
    <x v="1"/>
    <x v="0"/>
    <n v="9"/>
  </r>
  <r>
    <x v="1"/>
    <x v="0"/>
    <n v="3"/>
  </r>
  <r>
    <x v="1"/>
    <x v="0"/>
    <n v="4"/>
  </r>
  <r>
    <x v="1"/>
    <x v="0"/>
    <n v="9"/>
  </r>
  <r>
    <x v="1"/>
    <x v="0"/>
    <n v="3"/>
  </r>
  <r>
    <x v="1"/>
    <x v="0"/>
    <n v="7"/>
  </r>
  <r>
    <x v="1"/>
    <x v="0"/>
    <n v="7"/>
  </r>
  <r>
    <x v="1"/>
    <x v="0"/>
    <n v="10"/>
  </r>
  <r>
    <x v="1"/>
    <x v="0"/>
    <n v="6"/>
  </r>
  <r>
    <x v="1"/>
    <x v="0"/>
    <n v="5"/>
  </r>
  <r>
    <x v="1"/>
    <x v="0"/>
    <n v="7"/>
  </r>
  <r>
    <x v="1"/>
    <x v="0"/>
    <n v="6"/>
  </r>
  <r>
    <x v="1"/>
    <x v="0"/>
    <n v="9"/>
  </r>
  <r>
    <x v="1"/>
    <x v="0"/>
    <n v="9"/>
  </r>
  <r>
    <x v="1"/>
    <x v="0"/>
    <n v="8"/>
  </r>
  <r>
    <x v="1"/>
    <x v="0"/>
    <n v="9"/>
  </r>
  <r>
    <x v="1"/>
    <x v="0"/>
    <n v="5"/>
  </r>
  <r>
    <x v="1"/>
    <x v="0"/>
    <n v="3"/>
  </r>
  <r>
    <x v="1"/>
    <x v="0"/>
    <n v="8"/>
  </r>
  <r>
    <x v="1"/>
    <x v="0"/>
    <n v="3"/>
  </r>
  <r>
    <x v="1"/>
    <x v="0"/>
    <n v="10"/>
  </r>
  <r>
    <x v="1"/>
    <x v="0"/>
    <n v="6"/>
  </r>
  <r>
    <x v="1"/>
    <x v="0"/>
    <n v="6"/>
  </r>
  <r>
    <x v="1"/>
    <x v="0"/>
    <n v="10"/>
  </r>
  <r>
    <x v="1"/>
    <x v="0"/>
    <n v="10"/>
  </r>
  <r>
    <x v="1"/>
    <x v="0"/>
    <n v="5"/>
  </r>
  <r>
    <x v="1"/>
    <x v="0"/>
    <n v="8"/>
  </r>
  <r>
    <x v="1"/>
    <x v="0"/>
    <n v="3"/>
  </r>
  <r>
    <x v="1"/>
    <x v="0"/>
    <n v="7"/>
  </r>
  <r>
    <x v="2"/>
    <x v="0"/>
    <n v="9"/>
  </r>
  <r>
    <x v="2"/>
    <x v="0"/>
    <n v="10"/>
  </r>
  <r>
    <x v="2"/>
    <x v="0"/>
    <n v="4"/>
  </r>
  <r>
    <x v="2"/>
    <x v="0"/>
    <n v="8"/>
  </r>
  <r>
    <x v="2"/>
    <x v="0"/>
    <n v="9"/>
  </r>
  <r>
    <x v="2"/>
    <x v="0"/>
    <n v="7"/>
  </r>
  <r>
    <x v="2"/>
    <x v="0"/>
    <n v="3"/>
  </r>
  <r>
    <x v="2"/>
    <x v="0"/>
    <n v="3"/>
  </r>
  <r>
    <x v="2"/>
    <x v="0"/>
    <n v="5"/>
  </r>
  <r>
    <x v="2"/>
    <x v="0"/>
    <n v="8"/>
  </r>
  <r>
    <x v="2"/>
    <x v="0"/>
    <n v="3"/>
  </r>
  <r>
    <x v="2"/>
    <x v="0"/>
    <n v="3"/>
  </r>
  <r>
    <x v="2"/>
    <x v="0"/>
    <n v="2"/>
  </r>
  <r>
    <x v="2"/>
    <x v="0"/>
    <n v="6"/>
  </r>
  <r>
    <x v="2"/>
    <x v="0"/>
    <n v="8"/>
  </r>
  <r>
    <x v="2"/>
    <x v="0"/>
    <n v="4"/>
  </r>
  <r>
    <x v="2"/>
    <x v="0"/>
    <n v="10"/>
  </r>
  <r>
    <x v="2"/>
    <x v="0"/>
    <n v="6"/>
  </r>
  <r>
    <x v="2"/>
    <x v="0"/>
    <n v="8"/>
  </r>
  <r>
    <x v="2"/>
    <x v="0"/>
    <n v="9"/>
  </r>
  <r>
    <x v="2"/>
    <x v="0"/>
    <n v="10"/>
  </r>
  <r>
    <x v="2"/>
    <x v="0"/>
    <n v="10"/>
  </r>
  <r>
    <x v="2"/>
    <x v="0"/>
    <n v="3"/>
  </r>
  <r>
    <x v="2"/>
    <x v="0"/>
    <n v="7"/>
  </r>
  <r>
    <x v="2"/>
    <x v="0"/>
    <n v="3"/>
  </r>
  <r>
    <x v="2"/>
    <x v="0"/>
    <n v="5"/>
  </r>
  <r>
    <x v="2"/>
    <x v="0"/>
    <n v="9"/>
  </r>
  <r>
    <x v="2"/>
    <x v="0"/>
    <n v="6"/>
  </r>
  <r>
    <x v="2"/>
    <x v="0"/>
    <n v="9"/>
  </r>
  <r>
    <x v="2"/>
    <x v="0"/>
    <n v="5"/>
  </r>
  <r>
    <x v="2"/>
    <x v="0"/>
    <n v="3"/>
  </r>
  <r>
    <x v="2"/>
    <x v="0"/>
    <n v="8"/>
  </r>
  <r>
    <x v="2"/>
    <x v="0"/>
    <n v="8"/>
  </r>
  <r>
    <x v="2"/>
    <x v="0"/>
    <n v="4"/>
  </r>
  <r>
    <x v="2"/>
    <x v="0"/>
    <n v="10"/>
  </r>
  <r>
    <x v="2"/>
    <x v="0"/>
    <n v="6"/>
  </r>
  <r>
    <x v="2"/>
    <x v="0"/>
    <n v="7"/>
  </r>
  <r>
    <x v="2"/>
    <x v="0"/>
    <n v="10"/>
  </r>
  <r>
    <x v="2"/>
    <x v="0"/>
    <n v="8"/>
  </r>
  <r>
    <x v="2"/>
    <x v="0"/>
    <n v="9"/>
  </r>
  <r>
    <x v="2"/>
    <x v="0"/>
    <n v="10"/>
  </r>
  <r>
    <x v="2"/>
    <x v="0"/>
    <n v="2"/>
  </r>
  <r>
    <x v="2"/>
    <x v="0"/>
    <n v="10"/>
  </r>
  <r>
    <x v="2"/>
    <x v="0"/>
    <n v="9"/>
  </r>
  <r>
    <x v="2"/>
    <x v="0"/>
    <n v="10"/>
  </r>
  <r>
    <x v="2"/>
    <x v="0"/>
    <n v="2"/>
  </r>
  <r>
    <x v="2"/>
    <x v="0"/>
    <n v="4"/>
  </r>
  <r>
    <x v="2"/>
    <x v="0"/>
    <n v="9"/>
  </r>
  <r>
    <x v="2"/>
    <x v="0"/>
    <n v="9"/>
  </r>
  <r>
    <x v="2"/>
    <x v="0"/>
    <n v="2"/>
  </r>
  <r>
    <x v="2"/>
    <x v="0"/>
    <n v="5"/>
  </r>
  <r>
    <x v="2"/>
    <x v="0"/>
    <n v="8"/>
  </r>
  <r>
    <x v="2"/>
    <x v="0"/>
    <n v="10"/>
  </r>
  <r>
    <x v="2"/>
    <x v="0"/>
    <n v="6"/>
  </r>
  <r>
    <x v="2"/>
    <x v="0"/>
    <n v="7"/>
  </r>
  <r>
    <x v="2"/>
    <x v="0"/>
    <n v="7"/>
  </r>
  <r>
    <x v="2"/>
    <x v="0"/>
    <n v="8"/>
  </r>
  <r>
    <x v="2"/>
    <x v="0"/>
    <n v="3"/>
  </r>
  <r>
    <x v="2"/>
    <x v="0"/>
    <n v="9"/>
  </r>
  <r>
    <x v="2"/>
    <x v="0"/>
    <n v="6"/>
  </r>
  <r>
    <x v="2"/>
    <x v="0"/>
    <n v="10"/>
  </r>
  <r>
    <x v="2"/>
    <x v="0"/>
    <n v="6"/>
  </r>
  <r>
    <x v="2"/>
    <x v="0"/>
    <n v="8"/>
  </r>
  <r>
    <x v="2"/>
    <x v="0"/>
    <n v="8"/>
  </r>
  <r>
    <x v="2"/>
    <x v="0"/>
    <n v="9"/>
  </r>
  <r>
    <x v="2"/>
    <x v="0"/>
    <n v="7"/>
  </r>
  <r>
    <x v="2"/>
    <x v="0"/>
    <n v="10"/>
  </r>
  <r>
    <x v="2"/>
    <x v="0"/>
    <n v="2"/>
  </r>
  <r>
    <x v="2"/>
    <x v="0"/>
    <n v="9"/>
  </r>
  <r>
    <x v="2"/>
    <x v="0"/>
    <n v="9"/>
  </r>
  <r>
    <x v="2"/>
    <x v="0"/>
    <n v="6"/>
  </r>
  <r>
    <x v="2"/>
    <x v="0"/>
    <n v="7"/>
  </r>
  <r>
    <x v="2"/>
    <x v="0"/>
    <n v="8"/>
  </r>
  <r>
    <x v="2"/>
    <x v="0"/>
    <n v="3"/>
  </r>
  <r>
    <x v="2"/>
    <x v="0"/>
    <n v="2"/>
  </r>
  <r>
    <x v="2"/>
    <x v="0"/>
    <n v="8"/>
  </r>
  <r>
    <x v="2"/>
    <x v="0"/>
    <n v="2"/>
  </r>
  <r>
    <x v="2"/>
    <x v="0"/>
    <n v="8"/>
  </r>
  <r>
    <x v="2"/>
    <x v="0"/>
    <n v="7"/>
  </r>
  <r>
    <x v="2"/>
    <x v="0"/>
    <n v="2"/>
  </r>
  <r>
    <x v="2"/>
    <x v="0"/>
    <n v="6"/>
  </r>
  <r>
    <x v="2"/>
    <x v="0"/>
    <n v="10"/>
  </r>
  <r>
    <x v="2"/>
    <x v="0"/>
    <n v="9"/>
  </r>
  <r>
    <x v="2"/>
    <x v="0"/>
    <n v="3"/>
  </r>
  <r>
    <x v="2"/>
    <x v="0"/>
    <n v="8"/>
  </r>
  <r>
    <x v="2"/>
    <x v="0"/>
    <n v="8"/>
  </r>
  <r>
    <x v="3"/>
    <x v="0"/>
    <n v="5"/>
  </r>
  <r>
    <x v="3"/>
    <x v="0"/>
    <n v="6"/>
  </r>
  <r>
    <x v="3"/>
    <x v="0"/>
    <n v="5"/>
  </r>
  <r>
    <x v="3"/>
    <x v="0"/>
    <n v="8"/>
  </r>
  <r>
    <x v="3"/>
    <x v="0"/>
    <n v="6"/>
  </r>
  <r>
    <x v="3"/>
    <x v="0"/>
    <n v="10"/>
  </r>
  <r>
    <x v="3"/>
    <x v="0"/>
    <n v="2"/>
  </r>
  <r>
    <x v="3"/>
    <x v="0"/>
    <n v="7"/>
  </r>
  <r>
    <x v="3"/>
    <x v="0"/>
    <n v="5"/>
  </r>
  <r>
    <x v="3"/>
    <x v="0"/>
    <n v="5"/>
  </r>
  <r>
    <x v="3"/>
    <x v="0"/>
    <n v="9"/>
  </r>
  <r>
    <x v="3"/>
    <x v="0"/>
    <n v="7"/>
  </r>
  <r>
    <x v="3"/>
    <x v="0"/>
    <n v="9"/>
  </r>
  <r>
    <x v="3"/>
    <x v="0"/>
    <n v="3"/>
  </r>
  <r>
    <x v="3"/>
    <x v="0"/>
    <n v="2"/>
  </r>
  <r>
    <x v="3"/>
    <x v="0"/>
    <n v="8"/>
  </r>
  <r>
    <x v="3"/>
    <x v="0"/>
    <n v="5"/>
  </r>
  <r>
    <x v="3"/>
    <x v="0"/>
    <n v="3"/>
  </r>
  <r>
    <x v="3"/>
    <x v="0"/>
    <n v="6"/>
  </r>
  <r>
    <x v="3"/>
    <x v="0"/>
    <n v="5"/>
  </r>
  <r>
    <x v="3"/>
    <x v="0"/>
    <n v="7"/>
  </r>
  <r>
    <x v="3"/>
    <x v="0"/>
    <n v="5"/>
  </r>
  <r>
    <x v="3"/>
    <x v="0"/>
    <n v="2"/>
  </r>
  <r>
    <x v="3"/>
    <x v="0"/>
    <n v="7"/>
  </r>
  <r>
    <x v="3"/>
    <x v="0"/>
    <n v="9"/>
  </r>
  <r>
    <x v="3"/>
    <x v="0"/>
    <n v="5"/>
  </r>
  <r>
    <x v="3"/>
    <x v="0"/>
    <n v="2"/>
  </r>
  <r>
    <x v="3"/>
    <x v="0"/>
    <n v="5"/>
  </r>
  <r>
    <x v="3"/>
    <x v="0"/>
    <n v="2"/>
  </r>
  <r>
    <x v="3"/>
    <x v="0"/>
    <n v="2"/>
  </r>
  <r>
    <x v="3"/>
    <x v="0"/>
    <n v="7"/>
  </r>
  <r>
    <x v="3"/>
    <x v="0"/>
    <n v="2"/>
  </r>
  <r>
    <x v="3"/>
    <x v="0"/>
    <n v="5"/>
  </r>
  <r>
    <x v="3"/>
    <x v="0"/>
    <n v="4"/>
  </r>
  <r>
    <x v="3"/>
    <x v="0"/>
    <n v="8"/>
  </r>
  <r>
    <x v="3"/>
    <x v="0"/>
    <n v="5"/>
  </r>
  <r>
    <x v="3"/>
    <x v="0"/>
    <n v="7"/>
  </r>
  <r>
    <x v="3"/>
    <x v="0"/>
    <n v="7"/>
  </r>
  <r>
    <x v="3"/>
    <x v="0"/>
    <n v="6"/>
  </r>
  <r>
    <x v="3"/>
    <x v="0"/>
    <n v="6"/>
  </r>
  <r>
    <x v="3"/>
    <x v="0"/>
    <n v="4"/>
  </r>
  <r>
    <x v="3"/>
    <x v="0"/>
    <n v="7"/>
  </r>
  <r>
    <x v="3"/>
    <x v="0"/>
    <n v="6"/>
  </r>
  <r>
    <x v="3"/>
    <x v="0"/>
    <n v="6"/>
  </r>
  <r>
    <x v="3"/>
    <x v="0"/>
    <n v="8"/>
  </r>
  <r>
    <x v="3"/>
    <x v="0"/>
    <n v="7"/>
  </r>
  <r>
    <x v="3"/>
    <x v="0"/>
    <n v="6"/>
  </r>
  <r>
    <x v="3"/>
    <x v="0"/>
    <n v="5"/>
  </r>
  <r>
    <x v="3"/>
    <x v="0"/>
    <n v="6"/>
  </r>
  <r>
    <x v="3"/>
    <x v="0"/>
    <n v="4"/>
  </r>
  <r>
    <x v="3"/>
    <x v="0"/>
    <n v="4"/>
  </r>
  <r>
    <x v="3"/>
    <x v="0"/>
    <n v="7"/>
  </r>
  <r>
    <x v="3"/>
    <x v="0"/>
    <n v="4"/>
  </r>
  <r>
    <x v="3"/>
    <x v="0"/>
    <n v="10"/>
  </r>
  <r>
    <x v="3"/>
    <x v="0"/>
    <n v="10"/>
  </r>
  <r>
    <x v="3"/>
    <x v="0"/>
    <n v="3"/>
  </r>
  <r>
    <x v="3"/>
    <x v="0"/>
    <n v="4"/>
  </r>
  <r>
    <x v="3"/>
    <x v="0"/>
    <n v="7"/>
  </r>
  <r>
    <x v="3"/>
    <x v="0"/>
    <n v="9"/>
  </r>
  <r>
    <x v="3"/>
    <x v="0"/>
    <n v="6"/>
  </r>
  <r>
    <x v="3"/>
    <x v="0"/>
    <n v="4"/>
  </r>
  <r>
    <x v="3"/>
    <x v="0"/>
    <n v="5"/>
  </r>
  <r>
    <x v="3"/>
    <x v="0"/>
    <n v="2"/>
  </r>
  <r>
    <x v="3"/>
    <x v="0"/>
    <n v="4"/>
  </r>
  <r>
    <x v="3"/>
    <x v="0"/>
    <n v="4"/>
  </r>
  <r>
    <x v="3"/>
    <x v="0"/>
    <n v="2"/>
  </r>
  <r>
    <x v="3"/>
    <x v="0"/>
    <n v="4"/>
  </r>
  <r>
    <x v="3"/>
    <x v="0"/>
    <n v="2"/>
  </r>
  <r>
    <x v="3"/>
    <x v="0"/>
    <n v="5"/>
  </r>
  <r>
    <x v="3"/>
    <x v="0"/>
    <n v="3"/>
  </r>
  <r>
    <x v="3"/>
    <x v="0"/>
    <n v="2"/>
  </r>
  <r>
    <x v="3"/>
    <x v="0"/>
    <n v="4"/>
  </r>
  <r>
    <x v="3"/>
    <x v="0"/>
    <n v="10"/>
  </r>
  <r>
    <x v="3"/>
    <x v="0"/>
    <n v="2"/>
  </r>
  <r>
    <x v="3"/>
    <x v="0"/>
    <n v="10"/>
  </r>
  <r>
    <x v="3"/>
    <x v="0"/>
    <n v="3"/>
  </r>
  <r>
    <x v="3"/>
    <x v="0"/>
    <n v="3"/>
  </r>
  <r>
    <x v="3"/>
    <x v="0"/>
    <n v="7"/>
  </r>
  <r>
    <x v="3"/>
    <x v="0"/>
    <n v="10"/>
  </r>
  <r>
    <x v="3"/>
    <x v="0"/>
    <n v="10"/>
  </r>
  <r>
    <x v="3"/>
    <x v="0"/>
    <n v="8"/>
  </r>
  <r>
    <x v="3"/>
    <x v="0"/>
    <n v="2"/>
  </r>
  <r>
    <x v="0"/>
    <x v="1"/>
    <n v="3"/>
  </r>
  <r>
    <x v="0"/>
    <x v="1"/>
    <n v="10"/>
  </r>
  <r>
    <x v="0"/>
    <x v="1"/>
    <n v="8"/>
  </r>
  <r>
    <x v="0"/>
    <x v="1"/>
    <n v="10"/>
  </r>
  <r>
    <x v="0"/>
    <x v="1"/>
    <n v="8"/>
  </r>
  <r>
    <x v="0"/>
    <x v="1"/>
    <n v="2"/>
  </r>
  <r>
    <x v="0"/>
    <x v="1"/>
    <n v="3"/>
  </r>
  <r>
    <x v="0"/>
    <x v="1"/>
    <n v="10"/>
  </r>
  <r>
    <x v="0"/>
    <x v="1"/>
    <n v="7"/>
  </r>
  <r>
    <x v="0"/>
    <x v="1"/>
    <n v="2"/>
  </r>
  <r>
    <x v="0"/>
    <x v="1"/>
    <n v="9"/>
  </r>
  <r>
    <x v="0"/>
    <x v="1"/>
    <n v="2"/>
  </r>
  <r>
    <x v="0"/>
    <x v="1"/>
    <n v="6"/>
  </r>
  <r>
    <x v="0"/>
    <x v="1"/>
    <n v="9"/>
  </r>
  <r>
    <x v="0"/>
    <x v="1"/>
    <n v="6"/>
  </r>
  <r>
    <x v="0"/>
    <x v="1"/>
    <n v="8"/>
  </r>
  <r>
    <x v="0"/>
    <x v="1"/>
    <n v="5"/>
  </r>
  <r>
    <x v="0"/>
    <x v="1"/>
    <n v="10"/>
  </r>
  <r>
    <x v="0"/>
    <x v="1"/>
    <n v="7"/>
  </r>
  <r>
    <x v="0"/>
    <x v="1"/>
    <n v="2"/>
  </r>
  <r>
    <x v="0"/>
    <x v="1"/>
    <n v="4"/>
  </r>
  <r>
    <x v="0"/>
    <x v="1"/>
    <n v="10"/>
  </r>
  <r>
    <x v="0"/>
    <x v="1"/>
    <n v="5"/>
  </r>
  <r>
    <x v="0"/>
    <x v="1"/>
    <n v="3"/>
  </r>
  <r>
    <x v="0"/>
    <x v="1"/>
    <n v="4"/>
  </r>
  <r>
    <x v="0"/>
    <x v="1"/>
    <n v="9"/>
  </r>
  <r>
    <x v="0"/>
    <x v="1"/>
    <n v="5"/>
  </r>
  <r>
    <x v="0"/>
    <x v="1"/>
    <n v="6"/>
  </r>
  <r>
    <x v="0"/>
    <x v="1"/>
    <n v="2"/>
  </r>
  <r>
    <x v="0"/>
    <x v="1"/>
    <n v="5"/>
  </r>
  <r>
    <x v="0"/>
    <x v="1"/>
    <n v="10"/>
  </r>
  <r>
    <x v="0"/>
    <x v="1"/>
    <n v="10"/>
  </r>
  <r>
    <x v="0"/>
    <x v="1"/>
    <n v="9"/>
  </r>
  <r>
    <x v="0"/>
    <x v="1"/>
    <n v="8"/>
  </r>
  <r>
    <x v="0"/>
    <x v="1"/>
    <n v="7"/>
  </r>
  <r>
    <x v="0"/>
    <x v="1"/>
    <n v="6"/>
  </r>
  <r>
    <x v="0"/>
    <x v="1"/>
    <n v="9"/>
  </r>
  <r>
    <x v="0"/>
    <x v="1"/>
    <n v="2"/>
  </r>
  <r>
    <x v="0"/>
    <x v="1"/>
    <n v="9"/>
  </r>
  <r>
    <x v="0"/>
    <x v="1"/>
    <n v="6"/>
  </r>
  <r>
    <x v="0"/>
    <x v="1"/>
    <n v="10"/>
  </r>
  <r>
    <x v="0"/>
    <x v="1"/>
    <n v="8"/>
  </r>
  <r>
    <x v="0"/>
    <x v="1"/>
    <n v="6"/>
  </r>
  <r>
    <x v="0"/>
    <x v="1"/>
    <n v="3"/>
  </r>
  <r>
    <x v="0"/>
    <x v="1"/>
    <n v="5"/>
  </r>
  <r>
    <x v="0"/>
    <x v="1"/>
    <n v="2"/>
  </r>
  <r>
    <x v="0"/>
    <x v="1"/>
    <n v="2"/>
  </r>
  <r>
    <x v="0"/>
    <x v="1"/>
    <n v="7"/>
  </r>
  <r>
    <x v="0"/>
    <x v="1"/>
    <n v="3"/>
  </r>
  <r>
    <x v="0"/>
    <x v="1"/>
    <n v="5"/>
  </r>
  <r>
    <x v="0"/>
    <x v="1"/>
    <n v="5"/>
  </r>
  <r>
    <x v="0"/>
    <x v="1"/>
    <n v="5"/>
  </r>
  <r>
    <x v="0"/>
    <x v="1"/>
    <n v="7"/>
  </r>
  <r>
    <x v="0"/>
    <x v="1"/>
    <n v="5"/>
  </r>
  <r>
    <x v="0"/>
    <x v="1"/>
    <n v="9"/>
  </r>
  <r>
    <x v="0"/>
    <x v="1"/>
    <n v="2"/>
  </r>
  <r>
    <x v="0"/>
    <x v="1"/>
    <n v="7"/>
  </r>
  <r>
    <x v="0"/>
    <x v="1"/>
    <n v="9"/>
  </r>
  <r>
    <x v="0"/>
    <x v="1"/>
    <n v="7"/>
  </r>
  <r>
    <x v="0"/>
    <x v="1"/>
    <n v="6"/>
  </r>
  <r>
    <x v="0"/>
    <x v="1"/>
    <n v="7"/>
  </r>
  <r>
    <x v="0"/>
    <x v="1"/>
    <n v="9"/>
  </r>
  <r>
    <x v="0"/>
    <x v="1"/>
    <n v="4"/>
  </r>
  <r>
    <x v="0"/>
    <x v="1"/>
    <n v="8"/>
  </r>
  <r>
    <x v="0"/>
    <x v="1"/>
    <n v="3"/>
  </r>
  <r>
    <x v="0"/>
    <x v="1"/>
    <n v="9"/>
  </r>
  <r>
    <x v="0"/>
    <x v="1"/>
    <n v="5"/>
  </r>
  <r>
    <x v="0"/>
    <x v="1"/>
    <n v="5"/>
  </r>
  <r>
    <x v="0"/>
    <x v="1"/>
    <n v="10"/>
  </r>
  <r>
    <x v="0"/>
    <x v="1"/>
    <n v="8"/>
  </r>
  <r>
    <x v="0"/>
    <x v="1"/>
    <n v="9"/>
  </r>
  <r>
    <x v="0"/>
    <x v="1"/>
    <n v="4"/>
  </r>
  <r>
    <x v="0"/>
    <x v="1"/>
    <n v="3"/>
  </r>
  <r>
    <x v="0"/>
    <x v="1"/>
    <n v="3"/>
  </r>
  <r>
    <x v="0"/>
    <x v="1"/>
    <n v="5"/>
  </r>
  <r>
    <x v="0"/>
    <x v="1"/>
    <n v="6"/>
  </r>
  <r>
    <x v="0"/>
    <x v="1"/>
    <n v="2"/>
  </r>
  <r>
    <x v="0"/>
    <x v="1"/>
    <n v="8"/>
  </r>
  <r>
    <x v="0"/>
    <x v="1"/>
    <n v="2"/>
  </r>
  <r>
    <x v="0"/>
    <x v="1"/>
    <n v="3"/>
  </r>
  <r>
    <x v="0"/>
    <x v="1"/>
    <n v="9"/>
  </r>
  <r>
    <x v="0"/>
    <x v="1"/>
    <n v="2"/>
  </r>
  <r>
    <x v="0"/>
    <x v="1"/>
    <n v="4"/>
  </r>
  <r>
    <x v="0"/>
    <x v="1"/>
    <n v="7"/>
  </r>
  <r>
    <x v="0"/>
    <x v="1"/>
    <n v="4"/>
  </r>
  <r>
    <x v="0"/>
    <x v="1"/>
    <n v="3"/>
  </r>
  <r>
    <x v="0"/>
    <x v="1"/>
    <n v="8"/>
  </r>
  <r>
    <x v="0"/>
    <x v="1"/>
    <n v="3"/>
  </r>
  <r>
    <x v="0"/>
    <x v="1"/>
    <n v="8"/>
  </r>
  <r>
    <x v="0"/>
    <x v="1"/>
    <n v="10"/>
  </r>
  <r>
    <x v="0"/>
    <x v="1"/>
    <n v="7"/>
  </r>
  <r>
    <x v="0"/>
    <x v="1"/>
    <n v="10"/>
  </r>
  <r>
    <x v="0"/>
    <x v="1"/>
    <n v="8"/>
  </r>
  <r>
    <x v="0"/>
    <x v="1"/>
    <n v="2"/>
  </r>
  <r>
    <x v="0"/>
    <x v="1"/>
    <n v="9"/>
  </r>
  <r>
    <x v="0"/>
    <x v="1"/>
    <n v="10"/>
  </r>
  <r>
    <x v="0"/>
    <x v="1"/>
    <n v="5"/>
  </r>
  <r>
    <x v="0"/>
    <x v="1"/>
    <n v="6"/>
  </r>
  <r>
    <x v="0"/>
    <x v="1"/>
    <n v="9"/>
  </r>
  <r>
    <x v="0"/>
    <x v="1"/>
    <n v="6"/>
  </r>
  <r>
    <x v="1"/>
    <x v="1"/>
    <n v="3"/>
  </r>
  <r>
    <x v="1"/>
    <x v="1"/>
    <n v="7"/>
  </r>
  <r>
    <x v="1"/>
    <x v="1"/>
    <n v="4"/>
  </r>
  <r>
    <x v="1"/>
    <x v="1"/>
    <n v="3"/>
  </r>
  <r>
    <x v="1"/>
    <x v="1"/>
    <n v="3"/>
  </r>
  <r>
    <x v="1"/>
    <x v="1"/>
    <n v="7"/>
  </r>
  <r>
    <x v="1"/>
    <x v="1"/>
    <n v="8"/>
  </r>
  <r>
    <x v="1"/>
    <x v="1"/>
    <n v="10"/>
  </r>
  <r>
    <x v="1"/>
    <x v="1"/>
    <n v="3"/>
  </r>
  <r>
    <x v="1"/>
    <x v="1"/>
    <n v="10"/>
  </r>
  <r>
    <x v="1"/>
    <x v="1"/>
    <n v="5"/>
  </r>
  <r>
    <x v="1"/>
    <x v="1"/>
    <n v="2"/>
  </r>
  <r>
    <x v="1"/>
    <x v="1"/>
    <n v="7"/>
  </r>
  <r>
    <x v="1"/>
    <x v="1"/>
    <n v="9"/>
  </r>
  <r>
    <x v="1"/>
    <x v="1"/>
    <n v="3"/>
  </r>
  <r>
    <x v="1"/>
    <x v="1"/>
    <n v="9"/>
  </r>
  <r>
    <x v="1"/>
    <x v="1"/>
    <n v="3"/>
  </r>
  <r>
    <x v="1"/>
    <x v="1"/>
    <n v="10"/>
  </r>
  <r>
    <x v="1"/>
    <x v="1"/>
    <n v="4"/>
  </r>
  <r>
    <x v="1"/>
    <x v="1"/>
    <n v="8"/>
  </r>
  <r>
    <x v="1"/>
    <x v="1"/>
    <n v="6"/>
  </r>
  <r>
    <x v="1"/>
    <x v="1"/>
    <n v="10"/>
  </r>
  <r>
    <x v="1"/>
    <x v="1"/>
    <n v="2"/>
  </r>
  <r>
    <x v="1"/>
    <x v="1"/>
    <n v="3"/>
  </r>
  <r>
    <x v="1"/>
    <x v="1"/>
    <n v="5"/>
  </r>
  <r>
    <x v="1"/>
    <x v="1"/>
    <n v="7"/>
  </r>
  <r>
    <x v="1"/>
    <x v="1"/>
    <n v="5"/>
  </r>
  <r>
    <x v="1"/>
    <x v="1"/>
    <n v="5"/>
  </r>
  <r>
    <x v="1"/>
    <x v="1"/>
    <n v="10"/>
  </r>
  <r>
    <x v="1"/>
    <x v="1"/>
    <n v="2"/>
  </r>
  <r>
    <x v="1"/>
    <x v="1"/>
    <n v="3"/>
  </r>
  <r>
    <x v="1"/>
    <x v="1"/>
    <n v="4"/>
  </r>
  <r>
    <x v="1"/>
    <x v="1"/>
    <n v="7"/>
  </r>
  <r>
    <x v="1"/>
    <x v="1"/>
    <n v="10"/>
  </r>
  <r>
    <x v="1"/>
    <x v="1"/>
    <n v="3"/>
  </r>
  <r>
    <x v="1"/>
    <x v="1"/>
    <n v="2"/>
  </r>
  <r>
    <x v="1"/>
    <x v="1"/>
    <n v="7"/>
  </r>
  <r>
    <x v="1"/>
    <x v="1"/>
    <n v="9"/>
  </r>
  <r>
    <x v="1"/>
    <x v="1"/>
    <n v="5"/>
  </r>
  <r>
    <x v="1"/>
    <x v="1"/>
    <n v="9"/>
  </r>
  <r>
    <x v="1"/>
    <x v="1"/>
    <n v="4"/>
  </r>
  <r>
    <x v="1"/>
    <x v="1"/>
    <n v="9"/>
  </r>
  <r>
    <x v="1"/>
    <x v="1"/>
    <n v="9"/>
  </r>
  <r>
    <x v="1"/>
    <x v="1"/>
    <n v="7"/>
  </r>
  <r>
    <x v="1"/>
    <x v="1"/>
    <n v="6"/>
  </r>
  <r>
    <x v="1"/>
    <x v="1"/>
    <n v="6"/>
  </r>
  <r>
    <x v="1"/>
    <x v="1"/>
    <n v="2"/>
  </r>
  <r>
    <x v="1"/>
    <x v="1"/>
    <n v="10"/>
  </r>
  <r>
    <x v="1"/>
    <x v="1"/>
    <n v="5"/>
  </r>
  <r>
    <x v="1"/>
    <x v="1"/>
    <n v="5"/>
  </r>
  <r>
    <x v="1"/>
    <x v="1"/>
    <n v="3"/>
  </r>
  <r>
    <x v="1"/>
    <x v="1"/>
    <n v="7"/>
  </r>
  <r>
    <x v="1"/>
    <x v="1"/>
    <n v="9"/>
  </r>
  <r>
    <x v="1"/>
    <x v="1"/>
    <n v="3"/>
  </r>
  <r>
    <x v="1"/>
    <x v="1"/>
    <n v="8"/>
  </r>
  <r>
    <x v="1"/>
    <x v="1"/>
    <n v="4"/>
  </r>
  <r>
    <x v="1"/>
    <x v="1"/>
    <n v="2"/>
  </r>
  <r>
    <x v="1"/>
    <x v="1"/>
    <n v="9"/>
  </r>
  <r>
    <x v="1"/>
    <x v="1"/>
    <n v="9"/>
  </r>
  <r>
    <x v="1"/>
    <x v="1"/>
    <n v="4"/>
  </r>
  <r>
    <x v="1"/>
    <x v="1"/>
    <n v="4"/>
  </r>
  <r>
    <x v="1"/>
    <x v="1"/>
    <n v="9"/>
  </r>
  <r>
    <x v="1"/>
    <x v="1"/>
    <n v="5"/>
  </r>
  <r>
    <x v="1"/>
    <x v="1"/>
    <n v="7"/>
  </r>
  <r>
    <x v="1"/>
    <x v="1"/>
    <n v="4"/>
  </r>
  <r>
    <x v="1"/>
    <x v="1"/>
    <n v="10"/>
  </r>
  <r>
    <x v="1"/>
    <x v="1"/>
    <n v="6"/>
  </r>
  <r>
    <x v="1"/>
    <x v="1"/>
    <n v="8"/>
  </r>
  <r>
    <x v="1"/>
    <x v="1"/>
    <n v="7"/>
  </r>
  <r>
    <x v="1"/>
    <x v="1"/>
    <n v="3"/>
  </r>
  <r>
    <x v="1"/>
    <x v="1"/>
    <n v="8"/>
  </r>
  <r>
    <x v="1"/>
    <x v="1"/>
    <n v="2"/>
  </r>
  <r>
    <x v="1"/>
    <x v="1"/>
    <n v="10"/>
  </r>
  <r>
    <x v="1"/>
    <x v="1"/>
    <n v="8"/>
  </r>
  <r>
    <x v="1"/>
    <x v="1"/>
    <n v="9"/>
  </r>
  <r>
    <x v="1"/>
    <x v="1"/>
    <n v="2"/>
  </r>
  <r>
    <x v="1"/>
    <x v="1"/>
    <n v="2"/>
  </r>
  <r>
    <x v="1"/>
    <x v="1"/>
    <n v="4"/>
  </r>
  <r>
    <x v="1"/>
    <x v="1"/>
    <n v="6"/>
  </r>
  <r>
    <x v="1"/>
    <x v="1"/>
    <n v="2"/>
  </r>
  <r>
    <x v="1"/>
    <x v="1"/>
    <n v="8"/>
  </r>
  <r>
    <x v="1"/>
    <x v="1"/>
    <n v="7"/>
  </r>
  <r>
    <x v="1"/>
    <x v="1"/>
    <n v="6"/>
  </r>
  <r>
    <x v="1"/>
    <x v="1"/>
    <n v="8"/>
  </r>
  <r>
    <x v="1"/>
    <x v="1"/>
    <n v="8"/>
  </r>
  <r>
    <x v="1"/>
    <x v="1"/>
    <n v="3"/>
  </r>
  <r>
    <x v="1"/>
    <x v="1"/>
    <n v="4"/>
  </r>
  <r>
    <x v="1"/>
    <x v="1"/>
    <n v="8"/>
  </r>
  <r>
    <x v="1"/>
    <x v="1"/>
    <n v="10"/>
  </r>
  <r>
    <x v="1"/>
    <x v="1"/>
    <n v="4"/>
  </r>
  <r>
    <x v="1"/>
    <x v="1"/>
    <n v="6"/>
  </r>
  <r>
    <x v="1"/>
    <x v="1"/>
    <n v="8"/>
  </r>
  <r>
    <x v="1"/>
    <x v="1"/>
    <n v="10"/>
  </r>
  <r>
    <x v="1"/>
    <x v="1"/>
    <n v="8"/>
  </r>
  <r>
    <x v="1"/>
    <x v="1"/>
    <n v="2"/>
  </r>
  <r>
    <x v="1"/>
    <x v="1"/>
    <n v="10"/>
  </r>
  <r>
    <x v="1"/>
    <x v="1"/>
    <n v="2"/>
  </r>
  <r>
    <x v="1"/>
    <x v="1"/>
    <n v="9"/>
  </r>
  <r>
    <x v="1"/>
    <x v="1"/>
    <n v="3"/>
  </r>
  <r>
    <x v="1"/>
    <x v="1"/>
    <n v="2"/>
  </r>
  <r>
    <x v="2"/>
    <x v="1"/>
    <n v="10"/>
  </r>
  <r>
    <x v="2"/>
    <x v="1"/>
    <n v="4"/>
  </r>
  <r>
    <x v="2"/>
    <x v="1"/>
    <n v="4"/>
  </r>
  <r>
    <x v="2"/>
    <x v="1"/>
    <n v="5"/>
  </r>
  <r>
    <x v="2"/>
    <x v="1"/>
    <n v="7"/>
  </r>
  <r>
    <x v="2"/>
    <x v="1"/>
    <n v="10"/>
  </r>
  <r>
    <x v="2"/>
    <x v="1"/>
    <n v="4"/>
  </r>
  <r>
    <x v="2"/>
    <x v="1"/>
    <n v="2"/>
  </r>
  <r>
    <x v="2"/>
    <x v="1"/>
    <n v="5"/>
  </r>
  <r>
    <x v="2"/>
    <x v="1"/>
    <n v="3"/>
  </r>
  <r>
    <x v="2"/>
    <x v="1"/>
    <n v="8"/>
  </r>
  <r>
    <x v="2"/>
    <x v="1"/>
    <n v="4"/>
  </r>
  <r>
    <x v="2"/>
    <x v="1"/>
    <n v="10"/>
  </r>
  <r>
    <x v="2"/>
    <x v="1"/>
    <n v="7"/>
  </r>
  <r>
    <x v="2"/>
    <x v="1"/>
    <n v="3"/>
  </r>
  <r>
    <x v="2"/>
    <x v="1"/>
    <n v="2"/>
  </r>
  <r>
    <x v="2"/>
    <x v="1"/>
    <n v="6"/>
  </r>
  <r>
    <x v="2"/>
    <x v="1"/>
    <n v="8"/>
  </r>
  <r>
    <x v="2"/>
    <x v="1"/>
    <n v="3"/>
  </r>
  <r>
    <x v="2"/>
    <x v="1"/>
    <n v="8"/>
  </r>
  <r>
    <x v="2"/>
    <x v="1"/>
    <n v="8"/>
  </r>
  <r>
    <x v="2"/>
    <x v="1"/>
    <n v="9"/>
  </r>
  <r>
    <x v="2"/>
    <x v="1"/>
    <n v="3"/>
  </r>
  <r>
    <x v="2"/>
    <x v="1"/>
    <n v="6"/>
  </r>
  <r>
    <x v="2"/>
    <x v="1"/>
    <n v="3"/>
  </r>
  <r>
    <x v="2"/>
    <x v="1"/>
    <n v="6"/>
  </r>
  <r>
    <x v="2"/>
    <x v="1"/>
    <n v="6"/>
  </r>
  <r>
    <x v="2"/>
    <x v="1"/>
    <n v="8"/>
  </r>
  <r>
    <x v="2"/>
    <x v="1"/>
    <n v="4"/>
  </r>
  <r>
    <x v="2"/>
    <x v="1"/>
    <n v="6"/>
  </r>
  <r>
    <x v="2"/>
    <x v="1"/>
    <n v="7"/>
  </r>
  <r>
    <x v="2"/>
    <x v="1"/>
    <n v="4"/>
  </r>
  <r>
    <x v="2"/>
    <x v="1"/>
    <n v="8"/>
  </r>
  <r>
    <x v="2"/>
    <x v="1"/>
    <n v="9"/>
  </r>
  <r>
    <x v="2"/>
    <x v="1"/>
    <n v="6"/>
  </r>
  <r>
    <x v="2"/>
    <x v="1"/>
    <n v="5"/>
  </r>
  <r>
    <x v="2"/>
    <x v="1"/>
    <n v="6"/>
  </r>
  <r>
    <x v="2"/>
    <x v="1"/>
    <n v="2"/>
  </r>
  <r>
    <x v="2"/>
    <x v="1"/>
    <n v="9"/>
  </r>
  <r>
    <x v="2"/>
    <x v="1"/>
    <n v="10"/>
  </r>
  <r>
    <x v="2"/>
    <x v="1"/>
    <n v="8"/>
  </r>
  <r>
    <x v="2"/>
    <x v="1"/>
    <n v="7"/>
  </r>
  <r>
    <x v="2"/>
    <x v="1"/>
    <n v="8"/>
  </r>
  <r>
    <x v="2"/>
    <x v="1"/>
    <n v="3"/>
  </r>
  <r>
    <x v="2"/>
    <x v="1"/>
    <n v="9"/>
  </r>
  <r>
    <x v="2"/>
    <x v="1"/>
    <n v="3"/>
  </r>
  <r>
    <x v="2"/>
    <x v="1"/>
    <n v="8"/>
  </r>
  <r>
    <x v="2"/>
    <x v="1"/>
    <n v="6"/>
  </r>
  <r>
    <x v="2"/>
    <x v="1"/>
    <n v="3"/>
  </r>
  <r>
    <x v="2"/>
    <x v="1"/>
    <n v="10"/>
  </r>
  <r>
    <x v="2"/>
    <x v="1"/>
    <n v="6"/>
  </r>
  <r>
    <x v="2"/>
    <x v="1"/>
    <n v="4"/>
  </r>
  <r>
    <x v="2"/>
    <x v="1"/>
    <n v="4"/>
  </r>
  <r>
    <x v="2"/>
    <x v="1"/>
    <n v="5"/>
  </r>
  <r>
    <x v="2"/>
    <x v="1"/>
    <n v="6"/>
  </r>
  <r>
    <x v="2"/>
    <x v="1"/>
    <n v="6"/>
  </r>
  <r>
    <x v="2"/>
    <x v="1"/>
    <n v="7"/>
  </r>
  <r>
    <x v="2"/>
    <x v="1"/>
    <n v="4"/>
  </r>
  <r>
    <x v="2"/>
    <x v="1"/>
    <n v="4"/>
  </r>
  <r>
    <x v="2"/>
    <x v="1"/>
    <n v="4"/>
  </r>
  <r>
    <x v="2"/>
    <x v="1"/>
    <n v="7"/>
  </r>
  <r>
    <x v="2"/>
    <x v="1"/>
    <n v="4"/>
  </r>
  <r>
    <x v="2"/>
    <x v="1"/>
    <n v="8"/>
  </r>
  <r>
    <x v="2"/>
    <x v="1"/>
    <n v="3"/>
  </r>
  <r>
    <x v="2"/>
    <x v="1"/>
    <n v="9"/>
  </r>
  <r>
    <x v="2"/>
    <x v="1"/>
    <n v="2"/>
  </r>
  <r>
    <x v="2"/>
    <x v="1"/>
    <n v="10"/>
  </r>
  <r>
    <x v="2"/>
    <x v="1"/>
    <n v="3"/>
  </r>
  <r>
    <x v="2"/>
    <x v="1"/>
    <n v="2"/>
  </r>
  <r>
    <x v="2"/>
    <x v="1"/>
    <n v="2"/>
  </r>
  <r>
    <x v="2"/>
    <x v="1"/>
    <n v="5"/>
  </r>
  <r>
    <x v="2"/>
    <x v="1"/>
    <n v="5"/>
  </r>
  <r>
    <x v="2"/>
    <x v="1"/>
    <n v="3"/>
  </r>
  <r>
    <x v="2"/>
    <x v="1"/>
    <n v="2"/>
  </r>
  <r>
    <x v="2"/>
    <x v="1"/>
    <n v="3"/>
  </r>
  <r>
    <x v="2"/>
    <x v="1"/>
    <n v="5"/>
  </r>
  <r>
    <x v="2"/>
    <x v="1"/>
    <n v="2"/>
  </r>
  <r>
    <x v="2"/>
    <x v="1"/>
    <n v="4"/>
  </r>
  <r>
    <x v="2"/>
    <x v="1"/>
    <n v="6"/>
  </r>
  <r>
    <x v="2"/>
    <x v="1"/>
    <n v="4"/>
  </r>
  <r>
    <x v="2"/>
    <x v="1"/>
    <n v="8"/>
  </r>
  <r>
    <x v="2"/>
    <x v="1"/>
    <n v="10"/>
  </r>
  <r>
    <x v="2"/>
    <x v="1"/>
    <n v="10"/>
  </r>
  <r>
    <x v="2"/>
    <x v="1"/>
    <n v="8"/>
  </r>
  <r>
    <x v="2"/>
    <x v="1"/>
    <n v="9"/>
  </r>
  <r>
    <x v="2"/>
    <x v="1"/>
    <n v="7"/>
  </r>
  <r>
    <x v="2"/>
    <x v="1"/>
    <n v="7"/>
  </r>
  <r>
    <x v="2"/>
    <x v="1"/>
    <n v="5"/>
  </r>
  <r>
    <x v="2"/>
    <x v="1"/>
    <n v="6"/>
  </r>
  <r>
    <x v="2"/>
    <x v="1"/>
    <n v="3"/>
  </r>
  <r>
    <x v="2"/>
    <x v="1"/>
    <n v="5"/>
  </r>
  <r>
    <x v="2"/>
    <x v="1"/>
    <n v="8"/>
  </r>
  <r>
    <x v="2"/>
    <x v="1"/>
    <n v="2"/>
  </r>
  <r>
    <x v="2"/>
    <x v="1"/>
    <n v="9"/>
  </r>
  <r>
    <x v="2"/>
    <x v="1"/>
    <n v="8"/>
  </r>
  <r>
    <x v="2"/>
    <x v="1"/>
    <n v="3"/>
  </r>
  <r>
    <x v="2"/>
    <x v="1"/>
    <n v="2"/>
  </r>
  <r>
    <x v="2"/>
    <x v="1"/>
    <n v="2"/>
  </r>
  <r>
    <x v="2"/>
    <x v="1"/>
    <n v="8"/>
  </r>
  <r>
    <x v="2"/>
    <x v="1"/>
    <n v="2"/>
  </r>
  <r>
    <x v="2"/>
    <x v="1"/>
    <n v="5"/>
  </r>
  <r>
    <x v="2"/>
    <x v="1"/>
    <n v="3"/>
  </r>
  <r>
    <x v="2"/>
    <x v="1"/>
    <n v="5"/>
  </r>
  <r>
    <x v="2"/>
    <x v="1"/>
    <n v="9"/>
  </r>
  <r>
    <x v="2"/>
    <x v="1"/>
    <n v="6"/>
  </r>
  <r>
    <x v="3"/>
    <x v="1"/>
    <n v="10"/>
  </r>
  <r>
    <x v="3"/>
    <x v="1"/>
    <n v="4"/>
  </r>
  <r>
    <x v="3"/>
    <x v="1"/>
    <n v="5"/>
  </r>
  <r>
    <x v="3"/>
    <x v="1"/>
    <n v="2"/>
  </r>
  <r>
    <x v="3"/>
    <x v="1"/>
    <n v="5"/>
  </r>
  <r>
    <x v="3"/>
    <x v="1"/>
    <n v="9"/>
  </r>
  <r>
    <x v="3"/>
    <x v="1"/>
    <n v="8"/>
  </r>
  <r>
    <x v="3"/>
    <x v="1"/>
    <n v="7"/>
  </r>
  <r>
    <x v="3"/>
    <x v="1"/>
    <n v="5"/>
  </r>
  <r>
    <x v="3"/>
    <x v="1"/>
    <n v="7"/>
  </r>
  <r>
    <x v="3"/>
    <x v="1"/>
    <n v="8"/>
  </r>
  <r>
    <x v="3"/>
    <x v="1"/>
    <n v="9"/>
  </r>
  <r>
    <x v="3"/>
    <x v="1"/>
    <n v="2"/>
  </r>
  <r>
    <x v="3"/>
    <x v="1"/>
    <n v="3"/>
  </r>
  <r>
    <x v="3"/>
    <x v="1"/>
    <n v="4"/>
  </r>
  <r>
    <x v="3"/>
    <x v="1"/>
    <n v="9"/>
  </r>
  <r>
    <x v="3"/>
    <x v="1"/>
    <n v="9"/>
  </r>
  <r>
    <x v="3"/>
    <x v="1"/>
    <n v="7"/>
  </r>
  <r>
    <x v="3"/>
    <x v="1"/>
    <n v="5"/>
  </r>
  <r>
    <x v="3"/>
    <x v="1"/>
    <n v="6"/>
  </r>
  <r>
    <x v="3"/>
    <x v="1"/>
    <n v="8"/>
  </r>
  <r>
    <x v="3"/>
    <x v="1"/>
    <n v="3"/>
  </r>
  <r>
    <x v="3"/>
    <x v="1"/>
    <n v="8"/>
  </r>
  <r>
    <x v="3"/>
    <x v="1"/>
    <n v="7"/>
  </r>
  <r>
    <x v="3"/>
    <x v="1"/>
    <n v="2"/>
  </r>
  <r>
    <x v="3"/>
    <x v="1"/>
    <n v="3"/>
  </r>
  <r>
    <x v="3"/>
    <x v="1"/>
    <n v="4"/>
  </r>
  <r>
    <x v="3"/>
    <x v="1"/>
    <n v="4"/>
  </r>
  <r>
    <x v="3"/>
    <x v="1"/>
    <n v="6"/>
  </r>
  <r>
    <x v="3"/>
    <x v="1"/>
    <n v="3"/>
  </r>
  <r>
    <x v="3"/>
    <x v="1"/>
    <n v="2"/>
  </r>
  <r>
    <x v="3"/>
    <x v="1"/>
    <n v="4"/>
  </r>
  <r>
    <x v="3"/>
    <x v="1"/>
    <n v="4"/>
  </r>
  <r>
    <x v="3"/>
    <x v="1"/>
    <n v="9"/>
  </r>
  <r>
    <x v="3"/>
    <x v="1"/>
    <n v="4"/>
  </r>
  <r>
    <x v="3"/>
    <x v="1"/>
    <n v="7"/>
  </r>
  <r>
    <x v="3"/>
    <x v="1"/>
    <n v="6"/>
  </r>
  <r>
    <x v="3"/>
    <x v="1"/>
    <n v="2"/>
  </r>
  <r>
    <x v="3"/>
    <x v="1"/>
    <n v="4"/>
  </r>
  <r>
    <x v="3"/>
    <x v="1"/>
    <n v="3"/>
  </r>
  <r>
    <x v="3"/>
    <x v="1"/>
    <n v="4"/>
  </r>
  <r>
    <x v="3"/>
    <x v="1"/>
    <n v="3"/>
  </r>
  <r>
    <x v="3"/>
    <x v="1"/>
    <n v="9"/>
  </r>
  <r>
    <x v="3"/>
    <x v="1"/>
    <n v="4"/>
  </r>
  <r>
    <x v="3"/>
    <x v="1"/>
    <n v="4"/>
  </r>
  <r>
    <x v="3"/>
    <x v="1"/>
    <n v="3"/>
  </r>
  <r>
    <x v="3"/>
    <x v="1"/>
    <n v="3"/>
  </r>
  <r>
    <x v="3"/>
    <x v="1"/>
    <n v="6"/>
  </r>
  <r>
    <x v="3"/>
    <x v="1"/>
    <n v="3"/>
  </r>
  <r>
    <x v="3"/>
    <x v="1"/>
    <n v="7"/>
  </r>
  <r>
    <x v="3"/>
    <x v="1"/>
    <n v="10"/>
  </r>
  <r>
    <x v="3"/>
    <x v="1"/>
    <n v="6"/>
  </r>
  <r>
    <x v="3"/>
    <x v="1"/>
    <n v="3"/>
  </r>
  <r>
    <x v="3"/>
    <x v="1"/>
    <n v="7"/>
  </r>
  <r>
    <x v="3"/>
    <x v="1"/>
    <n v="4"/>
  </r>
  <r>
    <x v="3"/>
    <x v="1"/>
    <n v="10"/>
  </r>
  <r>
    <x v="3"/>
    <x v="1"/>
    <n v="8"/>
  </r>
  <r>
    <x v="3"/>
    <x v="1"/>
    <n v="2"/>
  </r>
  <r>
    <x v="3"/>
    <x v="1"/>
    <n v="7"/>
  </r>
  <r>
    <x v="3"/>
    <x v="1"/>
    <n v="8"/>
  </r>
  <r>
    <x v="3"/>
    <x v="1"/>
    <n v="4"/>
  </r>
  <r>
    <x v="3"/>
    <x v="1"/>
    <n v="8"/>
  </r>
  <r>
    <x v="3"/>
    <x v="1"/>
    <n v="2"/>
  </r>
  <r>
    <x v="3"/>
    <x v="1"/>
    <n v="8"/>
  </r>
  <r>
    <x v="3"/>
    <x v="1"/>
    <n v="4"/>
  </r>
  <r>
    <x v="3"/>
    <x v="1"/>
    <n v="10"/>
  </r>
  <r>
    <x v="3"/>
    <x v="1"/>
    <n v="3"/>
  </r>
  <r>
    <x v="3"/>
    <x v="1"/>
    <n v="6"/>
  </r>
  <r>
    <x v="3"/>
    <x v="1"/>
    <n v="8"/>
  </r>
  <r>
    <x v="3"/>
    <x v="1"/>
    <n v="9"/>
  </r>
  <r>
    <x v="3"/>
    <x v="1"/>
    <n v="7"/>
  </r>
  <r>
    <x v="3"/>
    <x v="1"/>
    <n v="10"/>
  </r>
  <r>
    <x v="3"/>
    <x v="1"/>
    <n v="8"/>
  </r>
  <r>
    <x v="3"/>
    <x v="1"/>
    <n v="8"/>
  </r>
  <r>
    <x v="3"/>
    <x v="1"/>
    <n v="5"/>
  </r>
  <r>
    <x v="3"/>
    <x v="1"/>
    <n v="2"/>
  </r>
  <r>
    <x v="3"/>
    <x v="1"/>
    <n v="6"/>
  </r>
  <r>
    <x v="3"/>
    <x v="1"/>
    <n v="4"/>
  </r>
  <r>
    <x v="3"/>
    <x v="1"/>
    <n v="4"/>
  </r>
  <r>
    <x v="3"/>
    <x v="1"/>
    <n v="5"/>
  </r>
  <r>
    <x v="3"/>
    <x v="1"/>
    <n v="8"/>
  </r>
  <r>
    <x v="3"/>
    <x v="1"/>
    <n v="4"/>
  </r>
  <r>
    <x v="3"/>
    <x v="1"/>
    <n v="8"/>
  </r>
  <r>
    <x v="3"/>
    <x v="1"/>
    <n v="6"/>
  </r>
  <r>
    <x v="3"/>
    <x v="1"/>
    <n v="9"/>
  </r>
  <r>
    <x v="3"/>
    <x v="1"/>
    <n v="9"/>
  </r>
  <r>
    <x v="3"/>
    <x v="1"/>
    <n v="2"/>
  </r>
  <r>
    <x v="3"/>
    <x v="1"/>
    <n v="7"/>
  </r>
  <r>
    <x v="3"/>
    <x v="1"/>
    <n v="9"/>
  </r>
  <r>
    <x v="3"/>
    <x v="1"/>
    <n v="3"/>
  </r>
  <r>
    <x v="3"/>
    <x v="1"/>
    <n v="6"/>
  </r>
  <r>
    <x v="3"/>
    <x v="1"/>
    <n v="6"/>
  </r>
  <r>
    <x v="3"/>
    <x v="1"/>
    <n v="10"/>
  </r>
  <r>
    <x v="3"/>
    <x v="1"/>
    <n v="3"/>
  </r>
  <r>
    <x v="3"/>
    <x v="1"/>
    <n v="5"/>
  </r>
  <r>
    <x v="3"/>
    <x v="1"/>
    <n v="6"/>
  </r>
  <r>
    <x v="3"/>
    <x v="1"/>
    <n v="2"/>
  </r>
  <r>
    <x v="3"/>
    <x v="1"/>
    <n v="2"/>
  </r>
  <r>
    <x v="3"/>
    <x v="1"/>
    <n v="3"/>
  </r>
  <r>
    <x v="3"/>
    <x v="1"/>
    <n v="10"/>
  </r>
  <r>
    <x v="0"/>
    <x v="2"/>
    <n v="3"/>
  </r>
  <r>
    <x v="0"/>
    <x v="2"/>
    <n v="7"/>
  </r>
  <r>
    <x v="0"/>
    <x v="2"/>
    <n v="8"/>
  </r>
  <r>
    <x v="0"/>
    <x v="2"/>
    <n v="6"/>
  </r>
  <r>
    <x v="0"/>
    <x v="2"/>
    <n v="4"/>
  </r>
  <r>
    <x v="0"/>
    <x v="2"/>
    <n v="3"/>
  </r>
  <r>
    <x v="0"/>
    <x v="2"/>
    <n v="6"/>
  </r>
  <r>
    <x v="0"/>
    <x v="2"/>
    <n v="7"/>
  </r>
  <r>
    <x v="0"/>
    <x v="2"/>
    <n v="3"/>
  </r>
  <r>
    <x v="0"/>
    <x v="2"/>
    <n v="7"/>
  </r>
  <r>
    <x v="0"/>
    <x v="2"/>
    <n v="3"/>
  </r>
  <r>
    <x v="0"/>
    <x v="2"/>
    <n v="9"/>
  </r>
  <r>
    <x v="0"/>
    <x v="2"/>
    <n v="8"/>
  </r>
  <r>
    <x v="0"/>
    <x v="2"/>
    <n v="8"/>
  </r>
  <r>
    <x v="0"/>
    <x v="2"/>
    <n v="8"/>
  </r>
  <r>
    <x v="0"/>
    <x v="2"/>
    <n v="9"/>
  </r>
  <r>
    <x v="0"/>
    <x v="2"/>
    <n v="2"/>
  </r>
  <r>
    <x v="0"/>
    <x v="2"/>
    <n v="6"/>
  </r>
  <r>
    <x v="0"/>
    <x v="2"/>
    <n v="3"/>
  </r>
  <r>
    <x v="0"/>
    <x v="2"/>
    <n v="7"/>
  </r>
  <r>
    <x v="0"/>
    <x v="2"/>
    <n v="8"/>
  </r>
  <r>
    <x v="0"/>
    <x v="2"/>
    <n v="4"/>
  </r>
  <r>
    <x v="0"/>
    <x v="2"/>
    <n v="10"/>
  </r>
  <r>
    <x v="0"/>
    <x v="2"/>
    <n v="7"/>
  </r>
  <r>
    <x v="0"/>
    <x v="2"/>
    <n v="4"/>
  </r>
  <r>
    <x v="0"/>
    <x v="2"/>
    <n v="10"/>
  </r>
  <r>
    <x v="0"/>
    <x v="2"/>
    <n v="8"/>
  </r>
  <r>
    <x v="0"/>
    <x v="2"/>
    <n v="6"/>
  </r>
  <r>
    <x v="0"/>
    <x v="2"/>
    <n v="6"/>
  </r>
  <r>
    <x v="0"/>
    <x v="2"/>
    <n v="10"/>
  </r>
  <r>
    <x v="0"/>
    <x v="2"/>
    <n v="7"/>
  </r>
  <r>
    <x v="0"/>
    <x v="2"/>
    <n v="10"/>
  </r>
  <r>
    <x v="0"/>
    <x v="2"/>
    <n v="8"/>
  </r>
  <r>
    <x v="0"/>
    <x v="2"/>
    <n v="5"/>
  </r>
  <r>
    <x v="0"/>
    <x v="2"/>
    <n v="3"/>
  </r>
  <r>
    <x v="0"/>
    <x v="2"/>
    <n v="5"/>
  </r>
  <r>
    <x v="0"/>
    <x v="2"/>
    <n v="9"/>
  </r>
  <r>
    <x v="0"/>
    <x v="2"/>
    <n v="7"/>
  </r>
  <r>
    <x v="0"/>
    <x v="2"/>
    <n v="10"/>
  </r>
  <r>
    <x v="0"/>
    <x v="2"/>
    <n v="3"/>
  </r>
  <r>
    <x v="0"/>
    <x v="2"/>
    <n v="2"/>
  </r>
  <r>
    <x v="0"/>
    <x v="2"/>
    <n v="2"/>
  </r>
  <r>
    <x v="0"/>
    <x v="2"/>
    <n v="9"/>
  </r>
  <r>
    <x v="0"/>
    <x v="2"/>
    <n v="5"/>
  </r>
  <r>
    <x v="0"/>
    <x v="2"/>
    <n v="4"/>
  </r>
  <r>
    <x v="0"/>
    <x v="2"/>
    <n v="3"/>
  </r>
  <r>
    <x v="0"/>
    <x v="2"/>
    <n v="6"/>
  </r>
  <r>
    <x v="0"/>
    <x v="2"/>
    <n v="7"/>
  </r>
  <r>
    <x v="0"/>
    <x v="2"/>
    <n v="10"/>
  </r>
  <r>
    <x v="0"/>
    <x v="2"/>
    <n v="6"/>
  </r>
  <r>
    <x v="0"/>
    <x v="2"/>
    <n v="4"/>
  </r>
  <r>
    <x v="0"/>
    <x v="2"/>
    <n v="10"/>
  </r>
  <r>
    <x v="0"/>
    <x v="2"/>
    <n v="8"/>
  </r>
  <r>
    <x v="0"/>
    <x v="2"/>
    <n v="6"/>
  </r>
  <r>
    <x v="0"/>
    <x v="2"/>
    <n v="3"/>
  </r>
  <r>
    <x v="0"/>
    <x v="2"/>
    <n v="2"/>
  </r>
  <r>
    <x v="0"/>
    <x v="2"/>
    <n v="3"/>
  </r>
  <r>
    <x v="0"/>
    <x v="2"/>
    <n v="6"/>
  </r>
  <r>
    <x v="0"/>
    <x v="2"/>
    <n v="7"/>
  </r>
  <r>
    <x v="0"/>
    <x v="2"/>
    <n v="5"/>
  </r>
  <r>
    <x v="0"/>
    <x v="2"/>
    <n v="10"/>
  </r>
  <r>
    <x v="0"/>
    <x v="2"/>
    <n v="4"/>
  </r>
  <r>
    <x v="0"/>
    <x v="2"/>
    <n v="10"/>
  </r>
  <r>
    <x v="0"/>
    <x v="2"/>
    <n v="5"/>
  </r>
  <r>
    <x v="0"/>
    <x v="2"/>
    <n v="2"/>
  </r>
  <r>
    <x v="0"/>
    <x v="2"/>
    <n v="2"/>
  </r>
  <r>
    <x v="0"/>
    <x v="2"/>
    <n v="7"/>
  </r>
  <r>
    <x v="0"/>
    <x v="2"/>
    <n v="10"/>
  </r>
  <r>
    <x v="0"/>
    <x v="2"/>
    <n v="3"/>
  </r>
  <r>
    <x v="0"/>
    <x v="2"/>
    <n v="4"/>
  </r>
  <r>
    <x v="0"/>
    <x v="2"/>
    <n v="10"/>
  </r>
  <r>
    <x v="0"/>
    <x v="2"/>
    <n v="2"/>
  </r>
  <r>
    <x v="0"/>
    <x v="2"/>
    <n v="5"/>
  </r>
  <r>
    <x v="0"/>
    <x v="2"/>
    <n v="8"/>
  </r>
  <r>
    <x v="0"/>
    <x v="2"/>
    <n v="7"/>
  </r>
  <r>
    <x v="0"/>
    <x v="2"/>
    <n v="7"/>
  </r>
  <r>
    <x v="0"/>
    <x v="2"/>
    <n v="5"/>
  </r>
  <r>
    <x v="0"/>
    <x v="2"/>
    <n v="2"/>
  </r>
  <r>
    <x v="1"/>
    <x v="2"/>
    <n v="10"/>
  </r>
  <r>
    <x v="1"/>
    <x v="2"/>
    <n v="7"/>
  </r>
  <r>
    <x v="1"/>
    <x v="2"/>
    <n v="5"/>
  </r>
  <r>
    <x v="1"/>
    <x v="2"/>
    <n v="4"/>
  </r>
  <r>
    <x v="1"/>
    <x v="2"/>
    <n v="8"/>
  </r>
  <r>
    <x v="1"/>
    <x v="2"/>
    <n v="8"/>
  </r>
  <r>
    <x v="1"/>
    <x v="2"/>
    <n v="9"/>
  </r>
  <r>
    <x v="1"/>
    <x v="2"/>
    <n v="7"/>
  </r>
  <r>
    <x v="1"/>
    <x v="2"/>
    <n v="3"/>
  </r>
  <r>
    <x v="1"/>
    <x v="2"/>
    <n v="8"/>
  </r>
  <r>
    <x v="1"/>
    <x v="2"/>
    <n v="2"/>
  </r>
  <r>
    <x v="1"/>
    <x v="2"/>
    <n v="3"/>
  </r>
  <r>
    <x v="1"/>
    <x v="2"/>
    <n v="4"/>
  </r>
  <r>
    <x v="1"/>
    <x v="2"/>
    <n v="3"/>
  </r>
  <r>
    <x v="1"/>
    <x v="2"/>
    <n v="3"/>
  </r>
  <r>
    <x v="1"/>
    <x v="2"/>
    <n v="4"/>
  </r>
  <r>
    <x v="1"/>
    <x v="2"/>
    <n v="2"/>
  </r>
  <r>
    <x v="1"/>
    <x v="2"/>
    <n v="6"/>
  </r>
  <r>
    <x v="1"/>
    <x v="2"/>
    <n v="7"/>
  </r>
  <r>
    <x v="1"/>
    <x v="2"/>
    <n v="9"/>
  </r>
  <r>
    <x v="1"/>
    <x v="2"/>
    <n v="7"/>
  </r>
  <r>
    <x v="1"/>
    <x v="2"/>
    <n v="8"/>
  </r>
  <r>
    <x v="1"/>
    <x v="2"/>
    <n v="8"/>
  </r>
  <r>
    <x v="1"/>
    <x v="2"/>
    <n v="8"/>
  </r>
  <r>
    <x v="1"/>
    <x v="2"/>
    <n v="8"/>
  </r>
  <r>
    <x v="1"/>
    <x v="2"/>
    <n v="10"/>
  </r>
  <r>
    <x v="1"/>
    <x v="2"/>
    <n v="7"/>
  </r>
  <r>
    <x v="1"/>
    <x v="2"/>
    <n v="9"/>
  </r>
  <r>
    <x v="1"/>
    <x v="2"/>
    <n v="3"/>
  </r>
  <r>
    <x v="1"/>
    <x v="2"/>
    <n v="6"/>
  </r>
  <r>
    <x v="1"/>
    <x v="2"/>
    <n v="5"/>
  </r>
  <r>
    <x v="1"/>
    <x v="2"/>
    <n v="10"/>
  </r>
  <r>
    <x v="1"/>
    <x v="2"/>
    <n v="10"/>
  </r>
  <r>
    <x v="1"/>
    <x v="2"/>
    <n v="8"/>
  </r>
  <r>
    <x v="1"/>
    <x v="2"/>
    <n v="10"/>
  </r>
  <r>
    <x v="1"/>
    <x v="2"/>
    <n v="3"/>
  </r>
  <r>
    <x v="1"/>
    <x v="2"/>
    <n v="10"/>
  </r>
  <r>
    <x v="1"/>
    <x v="2"/>
    <n v="7"/>
  </r>
  <r>
    <x v="1"/>
    <x v="2"/>
    <n v="9"/>
  </r>
  <r>
    <x v="1"/>
    <x v="2"/>
    <n v="5"/>
  </r>
  <r>
    <x v="1"/>
    <x v="2"/>
    <n v="6"/>
  </r>
  <r>
    <x v="1"/>
    <x v="2"/>
    <n v="8"/>
  </r>
  <r>
    <x v="1"/>
    <x v="2"/>
    <n v="2"/>
  </r>
  <r>
    <x v="1"/>
    <x v="2"/>
    <n v="10"/>
  </r>
  <r>
    <x v="1"/>
    <x v="2"/>
    <n v="5"/>
  </r>
  <r>
    <x v="1"/>
    <x v="2"/>
    <n v="6"/>
  </r>
  <r>
    <x v="1"/>
    <x v="2"/>
    <n v="9"/>
  </r>
  <r>
    <x v="1"/>
    <x v="2"/>
    <n v="9"/>
  </r>
  <r>
    <x v="1"/>
    <x v="2"/>
    <n v="7"/>
  </r>
  <r>
    <x v="1"/>
    <x v="2"/>
    <n v="6"/>
  </r>
  <r>
    <x v="1"/>
    <x v="2"/>
    <n v="6"/>
  </r>
  <r>
    <x v="1"/>
    <x v="2"/>
    <n v="9"/>
  </r>
  <r>
    <x v="1"/>
    <x v="2"/>
    <n v="10"/>
  </r>
  <r>
    <x v="1"/>
    <x v="2"/>
    <n v="4"/>
  </r>
  <r>
    <x v="1"/>
    <x v="2"/>
    <n v="4"/>
  </r>
  <r>
    <x v="1"/>
    <x v="2"/>
    <n v="4"/>
  </r>
  <r>
    <x v="1"/>
    <x v="2"/>
    <n v="9"/>
  </r>
  <r>
    <x v="1"/>
    <x v="2"/>
    <n v="4"/>
  </r>
  <r>
    <x v="1"/>
    <x v="2"/>
    <n v="8"/>
  </r>
  <r>
    <x v="1"/>
    <x v="2"/>
    <n v="8"/>
  </r>
  <r>
    <x v="1"/>
    <x v="2"/>
    <n v="8"/>
  </r>
  <r>
    <x v="1"/>
    <x v="2"/>
    <n v="9"/>
  </r>
  <r>
    <x v="1"/>
    <x v="2"/>
    <n v="9"/>
  </r>
  <r>
    <x v="1"/>
    <x v="2"/>
    <n v="5"/>
  </r>
  <r>
    <x v="1"/>
    <x v="2"/>
    <n v="8"/>
  </r>
  <r>
    <x v="1"/>
    <x v="2"/>
    <n v="4"/>
  </r>
  <r>
    <x v="1"/>
    <x v="2"/>
    <n v="5"/>
  </r>
  <r>
    <x v="1"/>
    <x v="2"/>
    <n v="8"/>
  </r>
  <r>
    <x v="1"/>
    <x v="2"/>
    <n v="6"/>
  </r>
  <r>
    <x v="1"/>
    <x v="2"/>
    <n v="7"/>
  </r>
  <r>
    <x v="1"/>
    <x v="2"/>
    <n v="8"/>
  </r>
  <r>
    <x v="1"/>
    <x v="2"/>
    <n v="6"/>
  </r>
  <r>
    <x v="1"/>
    <x v="2"/>
    <n v="8"/>
  </r>
  <r>
    <x v="1"/>
    <x v="2"/>
    <n v="7"/>
  </r>
  <r>
    <x v="1"/>
    <x v="2"/>
    <n v="9"/>
  </r>
  <r>
    <x v="1"/>
    <x v="2"/>
    <n v="7"/>
  </r>
  <r>
    <x v="1"/>
    <x v="2"/>
    <n v="9"/>
  </r>
  <r>
    <x v="1"/>
    <x v="2"/>
    <n v="10"/>
  </r>
  <r>
    <x v="1"/>
    <x v="2"/>
    <n v="5"/>
  </r>
  <r>
    <x v="1"/>
    <x v="2"/>
    <n v="10"/>
  </r>
  <r>
    <x v="1"/>
    <x v="2"/>
    <n v="4"/>
  </r>
  <r>
    <x v="1"/>
    <x v="2"/>
    <n v="4"/>
  </r>
  <r>
    <x v="1"/>
    <x v="2"/>
    <n v="8"/>
  </r>
  <r>
    <x v="1"/>
    <x v="2"/>
    <n v="5"/>
  </r>
  <r>
    <x v="1"/>
    <x v="2"/>
    <n v="2"/>
  </r>
  <r>
    <x v="1"/>
    <x v="2"/>
    <n v="6"/>
  </r>
  <r>
    <x v="1"/>
    <x v="2"/>
    <n v="4"/>
  </r>
  <r>
    <x v="1"/>
    <x v="2"/>
    <n v="7"/>
  </r>
  <r>
    <x v="1"/>
    <x v="2"/>
    <n v="9"/>
  </r>
  <r>
    <x v="1"/>
    <x v="2"/>
    <n v="8"/>
  </r>
  <r>
    <x v="1"/>
    <x v="2"/>
    <n v="9"/>
  </r>
  <r>
    <x v="1"/>
    <x v="2"/>
    <n v="5"/>
  </r>
  <r>
    <x v="1"/>
    <x v="2"/>
    <n v="7"/>
  </r>
  <r>
    <x v="1"/>
    <x v="2"/>
    <n v="4"/>
  </r>
  <r>
    <x v="1"/>
    <x v="2"/>
    <n v="4"/>
  </r>
  <r>
    <x v="1"/>
    <x v="2"/>
    <n v="9"/>
  </r>
  <r>
    <x v="1"/>
    <x v="2"/>
    <n v="2"/>
  </r>
  <r>
    <x v="1"/>
    <x v="2"/>
    <n v="6"/>
  </r>
  <r>
    <x v="1"/>
    <x v="2"/>
    <n v="7"/>
  </r>
  <r>
    <x v="1"/>
    <x v="2"/>
    <n v="6"/>
  </r>
  <r>
    <x v="1"/>
    <x v="2"/>
    <n v="6"/>
  </r>
  <r>
    <x v="2"/>
    <x v="2"/>
    <n v="9"/>
  </r>
  <r>
    <x v="2"/>
    <x v="2"/>
    <n v="10"/>
  </r>
  <r>
    <x v="2"/>
    <x v="2"/>
    <n v="7"/>
  </r>
  <r>
    <x v="2"/>
    <x v="2"/>
    <n v="9"/>
  </r>
  <r>
    <x v="2"/>
    <x v="2"/>
    <n v="6"/>
  </r>
  <r>
    <x v="2"/>
    <x v="2"/>
    <n v="8"/>
  </r>
  <r>
    <x v="2"/>
    <x v="2"/>
    <n v="2"/>
  </r>
  <r>
    <x v="2"/>
    <x v="2"/>
    <n v="9"/>
  </r>
  <r>
    <x v="2"/>
    <x v="2"/>
    <n v="6"/>
  </r>
  <r>
    <x v="2"/>
    <x v="2"/>
    <n v="9"/>
  </r>
  <r>
    <x v="2"/>
    <x v="2"/>
    <n v="3"/>
  </r>
  <r>
    <x v="2"/>
    <x v="2"/>
    <n v="10"/>
  </r>
  <r>
    <x v="2"/>
    <x v="2"/>
    <n v="5"/>
  </r>
  <r>
    <x v="2"/>
    <x v="2"/>
    <n v="3"/>
  </r>
  <r>
    <x v="2"/>
    <x v="2"/>
    <n v="7"/>
  </r>
  <r>
    <x v="2"/>
    <x v="2"/>
    <n v="5"/>
  </r>
  <r>
    <x v="2"/>
    <x v="2"/>
    <n v="4"/>
  </r>
  <r>
    <x v="2"/>
    <x v="2"/>
    <n v="7"/>
  </r>
  <r>
    <x v="2"/>
    <x v="2"/>
    <n v="6"/>
  </r>
  <r>
    <x v="2"/>
    <x v="2"/>
    <n v="9"/>
  </r>
  <r>
    <x v="2"/>
    <x v="2"/>
    <n v="8"/>
  </r>
  <r>
    <x v="2"/>
    <x v="2"/>
    <n v="4"/>
  </r>
  <r>
    <x v="2"/>
    <x v="2"/>
    <n v="3"/>
  </r>
  <r>
    <x v="2"/>
    <x v="2"/>
    <n v="3"/>
  </r>
  <r>
    <x v="2"/>
    <x v="2"/>
    <n v="10"/>
  </r>
  <r>
    <x v="2"/>
    <x v="2"/>
    <n v="2"/>
  </r>
  <r>
    <x v="2"/>
    <x v="2"/>
    <n v="4"/>
  </r>
  <r>
    <x v="2"/>
    <x v="2"/>
    <n v="7"/>
  </r>
  <r>
    <x v="2"/>
    <x v="2"/>
    <n v="8"/>
  </r>
  <r>
    <x v="2"/>
    <x v="2"/>
    <n v="9"/>
  </r>
  <r>
    <x v="2"/>
    <x v="2"/>
    <n v="7"/>
  </r>
  <r>
    <x v="2"/>
    <x v="2"/>
    <n v="6"/>
  </r>
  <r>
    <x v="2"/>
    <x v="2"/>
    <n v="4"/>
  </r>
  <r>
    <x v="2"/>
    <x v="2"/>
    <n v="2"/>
  </r>
  <r>
    <x v="2"/>
    <x v="2"/>
    <n v="7"/>
  </r>
  <r>
    <x v="2"/>
    <x v="2"/>
    <n v="5"/>
  </r>
  <r>
    <x v="2"/>
    <x v="2"/>
    <n v="8"/>
  </r>
  <r>
    <x v="2"/>
    <x v="2"/>
    <n v="3"/>
  </r>
  <r>
    <x v="2"/>
    <x v="2"/>
    <n v="3"/>
  </r>
  <r>
    <x v="2"/>
    <x v="2"/>
    <n v="10"/>
  </r>
  <r>
    <x v="2"/>
    <x v="2"/>
    <n v="10"/>
  </r>
  <r>
    <x v="2"/>
    <x v="2"/>
    <n v="3"/>
  </r>
  <r>
    <x v="2"/>
    <x v="2"/>
    <n v="8"/>
  </r>
  <r>
    <x v="2"/>
    <x v="2"/>
    <n v="7"/>
  </r>
  <r>
    <x v="2"/>
    <x v="2"/>
    <n v="5"/>
  </r>
  <r>
    <x v="2"/>
    <x v="2"/>
    <n v="4"/>
  </r>
  <r>
    <x v="2"/>
    <x v="2"/>
    <n v="5"/>
  </r>
  <r>
    <x v="2"/>
    <x v="2"/>
    <n v="3"/>
  </r>
  <r>
    <x v="2"/>
    <x v="2"/>
    <n v="5"/>
  </r>
  <r>
    <x v="2"/>
    <x v="2"/>
    <n v="5"/>
  </r>
  <r>
    <x v="2"/>
    <x v="2"/>
    <n v="7"/>
  </r>
  <r>
    <x v="2"/>
    <x v="2"/>
    <n v="10"/>
  </r>
  <r>
    <x v="2"/>
    <x v="2"/>
    <n v="2"/>
  </r>
  <r>
    <x v="2"/>
    <x v="2"/>
    <n v="9"/>
  </r>
  <r>
    <x v="2"/>
    <x v="2"/>
    <n v="8"/>
  </r>
  <r>
    <x v="2"/>
    <x v="2"/>
    <n v="6"/>
  </r>
  <r>
    <x v="2"/>
    <x v="2"/>
    <n v="9"/>
  </r>
  <r>
    <x v="2"/>
    <x v="2"/>
    <n v="5"/>
  </r>
  <r>
    <x v="2"/>
    <x v="2"/>
    <n v="10"/>
  </r>
  <r>
    <x v="2"/>
    <x v="2"/>
    <n v="3"/>
  </r>
  <r>
    <x v="2"/>
    <x v="2"/>
    <n v="3"/>
  </r>
  <r>
    <x v="2"/>
    <x v="2"/>
    <n v="9"/>
  </r>
  <r>
    <x v="2"/>
    <x v="2"/>
    <n v="7"/>
  </r>
  <r>
    <x v="2"/>
    <x v="2"/>
    <n v="9"/>
  </r>
  <r>
    <x v="2"/>
    <x v="2"/>
    <n v="10"/>
  </r>
  <r>
    <x v="2"/>
    <x v="2"/>
    <n v="4"/>
  </r>
  <r>
    <x v="2"/>
    <x v="2"/>
    <n v="8"/>
  </r>
  <r>
    <x v="2"/>
    <x v="2"/>
    <n v="5"/>
  </r>
  <r>
    <x v="2"/>
    <x v="2"/>
    <n v="10"/>
  </r>
  <r>
    <x v="2"/>
    <x v="2"/>
    <n v="9"/>
  </r>
  <r>
    <x v="2"/>
    <x v="2"/>
    <n v="10"/>
  </r>
  <r>
    <x v="2"/>
    <x v="2"/>
    <n v="2"/>
  </r>
  <r>
    <x v="2"/>
    <x v="2"/>
    <n v="9"/>
  </r>
  <r>
    <x v="2"/>
    <x v="2"/>
    <n v="6"/>
  </r>
  <r>
    <x v="2"/>
    <x v="2"/>
    <n v="9"/>
  </r>
  <r>
    <x v="2"/>
    <x v="2"/>
    <n v="10"/>
  </r>
  <r>
    <x v="2"/>
    <x v="2"/>
    <n v="7"/>
  </r>
  <r>
    <x v="2"/>
    <x v="2"/>
    <n v="9"/>
  </r>
  <r>
    <x v="2"/>
    <x v="2"/>
    <n v="5"/>
  </r>
  <r>
    <x v="2"/>
    <x v="2"/>
    <n v="2"/>
  </r>
  <r>
    <x v="2"/>
    <x v="2"/>
    <n v="10"/>
  </r>
  <r>
    <x v="2"/>
    <x v="2"/>
    <n v="5"/>
  </r>
  <r>
    <x v="2"/>
    <x v="2"/>
    <n v="9"/>
  </r>
  <r>
    <x v="2"/>
    <x v="2"/>
    <n v="5"/>
  </r>
  <r>
    <x v="2"/>
    <x v="2"/>
    <n v="4"/>
  </r>
  <r>
    <x v="2"/>
    <x v="2"/>
    <n v="5"/>
  </r>
  <r>
    <x v="2"/>
    <x v="2"/>
    <n v="10"/>
  </r>
  <r>
    <x v="2"/>
    <x v="2"/>
    <n v="2"/>
  </r>
  <r>
    <x v="2"/>
    <x v="2"/>
    <n v="8"/>
  </r>
  <r>
    <x v="2"/>
    <x v="2"/>
    <n v="7"/>
  </r>
  <r>
    <x v="2"/>
    <x v="2"/>
    <n v="3"/>
  </r>
  <r>
    <x v="2"/>
    <x v="2"/>
    <n v="10"/>
  </r>
  <r>
    <x v="2"/>
    <x v="2"/>
    <n v="7"/>
  </r>
  <r>
    <x v="2"/>
    <x v="2"/>
    <n v="9"/>
  </r>
  <r>
    <x v="2"/>
    <x v="2"/>
    <n v="2"/>
  </r>
  <r>
    <x v="2"/>
    <x v="2"/>
    <n v="10"/>
  </r>
  <r>
    <x v="2"/>
    <x v="2"/>
    <n v="7"/>
  </r>
  <r>
    <x v="2"/>
    <x v="2"/>
    <n v="8"/>
  </r>
  <r>
    <x v="2"/>
    <x v="2"/>
    <n v="5"/>
  </r>
  <r>
    <x v="2"/>
    <x v="2"/>
    <n v="9"/>
  </r>
  <r>
    <x v="2"/>
    <x v="2"/>
    <n v="5"/>
  </r>
  <r>
    <x v="2"/>
    <x v="2"/>
    <n v="4"/>
  </r>
  <r>
    <x v="2"/>
    <x v="2"/>
    <n v="5"/>
  </r>
  <r>
    <x v="3"/>
    <x v="2"/>
    <n v="8"/>
  </r>
  <r>
    <x v="3"/>
    <x v="2"/>
    <n v="6"/>
  </r>
  <r>
    <x v="3"/>
    <x v="2"/>
    <n v="6"/>
  </r>
  <r>
    <x v="3"/>
    <x v="2"/>
    <n v="8"/>
  </r>
  <r>
    <x v="3"/>
    <x v="2"/>
    <n v="6"/>
  </r>
  <r>
    <x v="3"/>
    <x v="2"/>
    <n v="3"/>
  </r>
  <r>
    <x v="3"/>
    <x v="2"/>
    <n v="7"/>
  </r>
  <r>
    <x v="3"/>
    <x v="2"/>
    <n v="4"/>
  </r>
  <r>
    <x v="3"/>
    <x v="2"/>
    <n v="10"/>
  </r>
  <r>
    <x v="3"/>
    <x v="2"/>
    <n v="7"/>
  </r>
  <r>
    <x v="3"/>
    <x v="2"/>
    <n v="5"/>
  </r>
  <r>
    <x v="3"/>
    <x v="2"/>
    <n v="4"/>
  </r>
  <r>
    <x v="3"/>
    <x v="2"/>
    <n v="7"/>
  </r>
  <r>
    <x v="3"/>
    <x v="2"/>
    <n v="2"/>
  </r>
  <r>
    <x v="3"/>
    <x v="2"/>
    <n v="8"/>
  </r>
  <r>
    <x v="3"/>
    <x v="2"/>
    <n v="9"/>
  </r>
  <r>
    <x v="3"/>
    <x v="2"/>
    <n v="7"/>
  </r>
  <r>
    <x v="3"/>
    <x v="2"/>
    <n v="7"/>
  </r>
  <r>
    <x v="3"/>
    <x v="2"/>
    <n v="5"/>
  </r>
  <r>
    <x v="3"/>
    <x v="2"/>
    <n v="2"/>
  </r>
  <r>
    <x v="3"/>
    <x v="2"/>
    <n v="2"/>
  </r>
  <r>
    <x v="3"/>
    <x v="2"/>
    <n v="3"/>
  </r>
  <r>
    <x v="3"/>
    <x v="2"/>
    <n v="6"/>
  </r>
  <r>
    <x v="3"/>
    <x v="2"/>
    <n v="4"/>
  </r>
  <r>
    <x v="3"/>
    <x v="2"/>
    <n v="10"/>
  </r>
  <r>
    <x v="3"/>
    <x v="2"/>
    <n v="9"/>
  </r>
  <r>
    <x v="3"/>
    <x v="2"/>
    <n v="6"/>
  </r>
  <r>
    <x v="3"/>
    <x v="2"/>
    <n v="3"/>
  </r>
  <r>
    <x v="3"/>
    <x v="2"/>
    <n v="2"/>
  </r>
  <r>
    <x v="3"/>
    <x v="2"/>
    <n v="3"/>
  </r>
  <r>
    <x v="3"/>
    <x v="2"/>
    <n v="6"/>
  </r>
  <r>
    <x v="3"/>
    <x v="2"/>
    <n v="3"/>
  </r>
  <r>
    <x v="3"/>
    <x v="2"/>
    <n v="2"/>
  </r>
  <r>
    <x v="3"/>
    <x v="2"/>
    <n v="4"/>
  </r>
  <r>
    <x v="3"/>
    <x v="2"/>
    <n v="7"/>
  </r>
  <r>
    <x v="3"/>
    <x v="2"/>
    <n v="7"/>
  </r>
  <r>
    <x v="3"/>
    <x v="2"/>
    <n v="2"/>
  </r>
  <r>
    <x v="3"/>
    <x v="2"/>
    <n v="6"/>
  </r>
  <r>
    <x v="3"/>
    <x v="2"/>
    <n v="9"/>
  </r>
  <r>
    <x v="3"/>
    <x v="2"/>
    <n v="5"/>
  </r>
  <r>
    <x v="3"/>
    <x v="2"/>
    <n v="7"/>
  </r>
  <r>
    <x v="3"/>
    <x v="2"/>
    <n v="8"/>
  </r>
  <r>
    <x v="3"/>
    <x v="2"/>
    <n v="7"/>
  </r>
  <r>
    <x v="3"/>
    <x v="2"/>
    <n v="7"/>
  </r>
  <r>
    <x v="3"/>
    <x v="2"/>
    <n v="4"/>
  </r>
  <r>
    <x v="3"/>
    <x v="2"/>
    <n v="2"/>
  </r>
  <r>
    <x v="3"/>
    <x v="2"/>
    <n v="4"/>
  </r>
  <r>
    <x v="3"/>
    <x v="2"/>
    <n v="7"/>
  </r>
  <r>
    <x v="3"/>
    <x v="2"/>
    <n v="9"/>
  </r>
  <r>
    <x v="3"/>
    <x v="2"/>
    <n v="3"/>
  </r>
  <r>
    <x v="3"/>
    <x v="2"/>
    <n v="6"/>
  </r>
  <r>
    <x v="3"/>
    <x v="2"/>
    <n v="5"/>
  </r>
  <r>
    <x v="3"/>
    <x v="2"/>
    <n v="6"/>
  </r>
  <r>
    <x v="3"/>
    <x v="2"/>
    <n v="2"/>
  </r>
  <r>
    <x v="3"/>
    <x v="2"/>
    <n v="2"/>
  </r>
  <r>
    <x v="3"/>
    <x v="2"/>
    <n v="7"/>
  </r>
  <r>
    <x v="3"/>
    <x v="2"/>
    <n v="4"/>
  </r>
  <r>
    <x v="3"/>
    <x v="2"/>
    <n v="2"/>
  </r>
  <r>
    <x v="3"/>
    <x v="2"/>
    <n v="3"/>
  </r>
  <r>
    <x v="3"/>
    <x v="2"/>
    <n v="9"/>
  </r>
  <r>
    <x v="3"/>
    <x v="2"/>
    <n v="3"/>
  </r>
  <r>
    <x v="3"/>
    <x v="2"/>
    <n v="3"/>
  </r>
  <r>
    <x v="3"/>
    <x v="2"/>
    <n v="10"/>
  </r>
  <r>
    <x v="3"/>
    <x v="2"/>
    <n v="7"/>
  </r>
  <r>
    <x v="3"/>
    <x v="2"/>
    <n v="2"/>
  </r>
  <r>
    <x v="3"/>
    <x v="2"/>
    <n v="4"/>
  </r>
  <r>
    <x v="3"/>
    <x v="2"/>
    <n v="6"/>
  </r>
  <r>
    <x v="3"/>
    <x v="2"/>
    <n v="7"/>
  </r>
  <r>
    <x v="3"/>
    <x v="2"/>
    <n v="10"/>
  </r>
  <r>
    <x v="3"/>
    <x v="2"/>
    <n v="7"/>
  </r>
  <r>
    <x v="3"/>
    <x v="2"/>
    <n v="6"/>
  </r>
  <r>
    <x v="3"/>
    <x v="2"/>
    <n v="8"/>
  </r>
  <r>
    <x v="3"/>
    <x v="2"/>
    <n v="4"/>
  </r>
  <r>
    <x v="3"/>
    <x v="2"/>
    <n v="6"/>
  </r>
  <r>
    <x v="3"/>
    <x v="2"/>
    <n v="8"/>
  </r>
  <r>
    <x v="3"/>
    <x v="2"/>
    <n v="4"/>
  </r>
  <r>
    <x v="3"/>
    <x v="2"/>
    <n v="5"/>
  </r>
  <r>
    <x v="3"/>
    <x v="2"/>
    <n v="7"/>
  </r>
  <r>
    <x v="3"/>
    <x v="2"/>
    <n v="4"/>
  </r>
  <r>
    <x v="3"/>
    <x v="2"/>
    <n v="3"/>
  </r>
  <r>
    <x v="3"/>
    <x v="2"/>
    <n v="3"/>
  </r>
  <r>
    <x v="3"/>
    <x v="2"/>
    <n v="9"/>
  </r>
  <r>
    <x v="3"/>
    <x v="2"/>
    <n v="5"/>
  </r>
  <r>
    <x v="3"/>
    <x v="2"/>
    <n v="7"/>
  </r>
  <r>
    <x v="3"/>
    <x v="2"/>
    <n v="7"/>
  </r>
  <r>
    <x v="3"/>
    <x v="2"/>
    <n v="4"/>
  </r>
  <r>
    <x v="3"/>
    <x v="2"/>
    <n v="5"/>
  </r>
  <r>
    <x v="3"/>
    <x v="2"/>
    <n v="9"/>
  </r>
  <r>
    <x v="3"/>
    <x v="2"/>
    <n v="5"/>
  </r>
  <r>
    <x v="3"/>
    <x v="2"/>
    <n v="3"/>
  </r>
  <r>
    <x v="3"/>
    <x v="2"/>
    <n v="3"/>
  </r>
  <r>
    <x v="3"/>
    <x v="2"/>
    <n v="10"/>
  </r>
  <r>
    <x v="3"/>
    <x v="2"/>
    <n v="6"/>
  </r>
  <r>
    <x v="3"/>
    <x v="2"/>
    <n v="2"/>
  </r>
  <r>
    <x v="3"/>
    <x v="2"/>
    <n v="5"/>
  </r>
  <r>
    <x v="3"/>
    <x v="2"/>
    <n v="3"/>
  </r>
  <r>
    <x v="3"/>
    <x v="2"/>
    <n v="6"/>
  </r>
  <r>
    <x v="3"/>
    <x v="2"/>
    <n v="9"/>
  </r>
  <r>
    <x v="3"/>
    <x v="2"/>
    <n v="6"/>
  </r>
  <r>
    <x v="3"/>
    <x v="2"/>
    <n v="7"/>
  </r>
  <r>
    <x v="3"/>
    <x v="2"/>
    <n v="5"/>
  </r>
  <r>
    <x v="3"/>
    <x v="2"/>
    <n v="8"/>
  </r>
  <r>
    <x v="3"/>
    <x v="2"/>
    <n v="4"/>
  </r>
  <r>
    <x v="3"/>
    <x v="2"/>
    <n v="6"/>
  </r>
  <r>
    <x v="3"/>
    <x v="2"/>
    <n v="6"/>
  </r>
  <r>
    <x v="0"/>
    <x v="3"/>
    <n v="3"/>
  </r>
  <r>
    <x v="0"/>
    <x v="3"/>
    <n v="4"/>
  </r>
  <r>
    <x v="0"/>
    <x v="3"/>
    <n v="10"/>
  </r>
  <r>
    <x v="0"/>
    <x v="3"/>
    <n v="10"/>
  </r>
  <r>
    <x v="0"/>
    <x v="3"/>
    <n v="2"/>
  </r>
  <r>
    <x v="0"/>
    <x v="3"/>
    <n v="9"/>
  </r>
  <r>
    <x v="0"/>
    <x v="3"/>
    <n v="2"/>
  </r>
  <r>
    <x v="0"/>
    <x v="3"/>
    <n v="5"/>
  </r>
  <r>
    <x v="0"/>
    <x v="3"/>
    <n v="5"/>
  </r>
  <r>
    <x v="0"/>
    <x v="3"/>
    <n v="4"/>
  </r>
  <r>
    <x v="0"/>
    <x v="3"/>
    <n v="3"/>
  </r>
  <r>
    <x v="0"/>
    <x v="3"/>
    <n v="4"/>
  </r>
  <r>
    <x v="0"/>
    <x v="3"/>
    <n v="2"/>
  </r>
  <r>
    <x v="0"/>
    <x v="3"/>
    <n v="6"/>
  </r>
  <r>
    <x v="0"/>
    <x v="3"/>
    <n v="4"/>
  </r>
  <r>
    <x v="0"/>
    <x v="3"/>
    <n v="7"/>
  </r>
  <r>
    <x v="0"/>
    <x v="3"/>
    <n v="2"/>
  </r>
  <r>
    <x v="0"/>
    <x v="3"/>
    <n v="7"/>
  </r>
  <r>
    <x v="0"/>
    <x v="3"/>
    <n v="2"/>
  </r>
  <r>
    <x v="0"/>
    <x v="3"/>
    <n v="10"/>
  </r>
  <r>
    <x v="0"/>
    <x v="3"/>
    <n v="10"/>
  </r>
  <r>
    <x v="0"/>
    <x v="3"/>
    <n v="6"/>
  </r>
  <r>
    <x v="0"/>
    <x v="3"/>
    <n v="9"/>
  </r>
  <r>
    <x v="0"/>
    <x v="3"/>
    <n v="7"/>
  </r>
  <r>
    <x v="0"/>
    <x v="3"/>
    <n v="10"/>
  </r>
  <r>
    <x v="0"/>
    <x v="3"/>
    <n v="10"/>
  </r>
  <r>
    <x v="0"/>
    <x v="3"/>
    <n v="6"/>
  </r>
  <r>
    <x v="0"/>
    <x v="3"/>
    <n v="5"/>
  </r>
  <r>
    <x v="0"/>
    <x v="3"/>
    <n v="4"/>
  </r>
  <r>
    <x v="0"/>
    <x v="3"/>
    <n v="8"/>
  </r>
  <r>
    <x v="0"/>
    <x v="3"/>
    <n v="7"/>
  </r>
  <r>
    <x v="0"/>
    <x v="3"/>
    <n v="4"/>
  </r>
  <r>
    <x v="0"/>
    <x v="3"/>
    <n v="7"/>
  </r>
  <r>
    <x v="0"/>
    <x v="3"/>
    <n v="9"/>
  </r>
  <r>
    <x v="0"/>
    <x v="3"/>
    <n v="10"/>
  </r>
  <r>
    <x v="0"/>
    <x v="3"/>
    <n v="2"/>
  </r>
  <r>
    <x v="0"/>
    <x v="3"/>
    <n v="7"/>
  </r>
  <r>
    <x v="0"/>
    <x v="3"/>
    <n v="3"/>
  </r>
  <r>
    <x v="0"/>
    <x v="3"/>
    <n v="4"/>
  </r>
  <r>
    <x v="0"/>
    <x v="3"/>
    <n v="8"/>
  </r>
  <r>
    <x v="0"/>
    <x v="3"/>
    <n v="10"/>
  </r>
  <r>
    <x v="0"/>
    <x v="3"/>
    <n v="4"/>
  </r>
  <r>
    <x v="0"/>
    <x v="3"/>
    <n v="5"/>
  </r>
  <r>
    <x v="0"/>
    <x v="3"/>
    <n v="10"/>
  </r>
  <r>
    <x v="0"/>
    <x v="3"/>
    <n v="9"/>
  </r>
  <r>
    <x v="0"/>
    <x v="3"/>
    <n v="4"/>
  </r>
  <r>
    <x v="0"/>
    <x v="3"/>
    <n v="7"/>
  </r>
  <r>
    <x v="0"/>
    <x v="3"/>
    <n v="7"/>
  </r>
  <r>
    <x v="0"/>
    <x v="3"/>
    <n v="9"/>
  </r>
  <r>
    <x v="0"/>
    <x v="3"/>
    <n v="7"/>
  </r>
  <r>
    <x v="0"/>
    <x v="3"/>
    <n v="4"/>
  </r>
  <r>
    <x v="0"/>
    <x v="3"/>
    <n v="8"/>
  </r>
  <r>
    <x v="0"/>
    <x v="3"/>
    <n v="9"/>
  </r>
  <r>
    <x v="0"/>
    <x v="3"/>
    <n v="5"/>
  </r>
  <r>
    <x v="0"/>
    <x v="3"/>
    <n v="3"/>
  </r>
  <r>
    <x v="0"/>
    <x v="3"/>
    <n v="2"/>
  </r>
  <r>
    <x v="0"/>
    <x v="3"/>
    <n v="2"/>
  </r>
  <r>
    <x v="0"/>
    <x v="3"/>
    <n v="9"/>
  </r>
  <r>
    <x v="0"/>
    <x v="3"/>
    <n v="10"/>
  </r>
  <r>
    <x v="0"/>
    <x v="3"/>
    <n v="4"/>
  </r>
  <r>
    <x v="0"/>
    <x v="3"/>
    <n v="8"/>
  </r>
  <r>
    <x v="0"/>
    <x v="3"/>
    <n v="2"/>
  </r>
  <r>
    <x v="0"/>
    <x v="3"/>
    <n v="9"/>
  </r>
  <r>
    <x v="0"/>
    <x v="3"/>
    <n v="8"/>
  </r>
  <r>
    <x v="0"/>
    <x v="3"/>
    <n v="10"/>
  </r>
  <r>
    <x v="0"/>
    <x v="3"/>
    <n v="7"/>
  </r>
  <r>
    <x v="0"/>
    <x v="3"/>
    <n v="5"/>
  </r>
  <r>
    <x v="0"/>
    <x v="3"/>
    <n v="9"/>
  </r>
  <r>
    <x v="0"/>
    <x v="3"/>
    <n v="7"/>
  </r>
  <r>
    <x v="0"/>
    <x v="3"/>
    <n v="8"/>
  </r>
  <r>
    <x v="0"/>
    <x v="3"/>
    <n v="7"/>
  </r>
  <r>
    <x v="0"/>
    <x v="3"/>
    <n v="8"/>
  </r>
  <r>
    <x v="0"/>
    <x v="3"/>
    <n v="7"/>
  </r>
  <r>
    <x v="0"/>
    <x v="3"/>
    <n v="3"/>
  </r>
  <r>
    <x v="0"/>
    <x v="3"/>
    <n v="4"/>
  </r>
  <r>
    <x v="0"/>
    <x v="3"/>
    <n v="5"/>
  </r>
  <r>
    <x v="0"/>
    <x v="3"/>
    <n v="4"/>
  </r>
  <r>
    <x v="0"/>
    <x v="3"/>
    <n v="7"/>
  </r>
  <r>
    <x v="1"/>
    <x v="3"/>
    <n v="3"/>
  </r>
  <r>
    <x v="1"/>
    <x v="3"/>
    <n v="2"/>
  </r>
  <r>
    <x v="1"/>
    <x v="3"/>
    <n v="10"/>
  </r>
  <r>
    <x v="1"/>
    <x v="3"/>
    <n v="3"/>
  </r>
  <r>
    <x v="1"/>
    <x v="3"/>
    <n v="9"/>
  </r>
  <r>
    <x v="1"/>
    <x v="3"/>
    <n v="3"/>
  </r>
  <r>
    <x v="1"/>
    <x v="3"/>
    <n v="6"/>
  </r>
  <r>
    <x v="1"/>
    <x v="3"/>
    <n v="10"/>
  </r>
  <r>
    <x v="1"/>
    <x v="3"/>
    <n v="2"/>
  </r>
  <r>
    <x v="1"/>
    <x v="3"/>
    <n v="10"/>
  </r>
  <r>
    <x v="1"/>
    <x v="3"/>
    <n v="10"/>
  </r>
  <r>
    <x v="1"/>
    <x v="3"/>
    <n v="6"/>
  </r>
  <r>
    <x v="1"/>
    <x v="3"/>
    <n v="4"/>
  </r>
  <r>
    <x v="1"/>
    <x v="3"/>
    <n v="9"/>
  </r>
  <r>
    <x v="1"/>
    <x v="3"/>
    <n v="4"/>
  </r>
  <r>
    <x v="1"/>
    <x v="3"/>
    <n v="3"/>
  </r>
  <r>
    <x v="1"/>
    <x v="3"/>
    <n v="3"/>
  </r>
  <r>
    <x v="1"/>
    <x v="3"/>
    <n v="8"/>
  </r>
  <r>
    <x v="1"/>
    <x v="3"/>
    <n v="7"/>
  </r>
  <r>
    <x v="1"/>
    <x v="3"/>
    <n v="3"/>
  </r>
  <r>
    <x v="1"/>
    <x v="3"/>
    <n v="9"/>
  </r>
  <r>
    <x v="1"/>
    <x v="3"/>
    <n v="8"/>
  </r>
  <r>
    <x v="1"/>
    <x v="3"/>
    <n v="7"/>
  </r>
  <r>
    <x v="1"/>
    <x v="3"/>
    <n v="5"/>
  </r>
  <r>
    <x v="1"/>
    <x v="3"/>
    <n v="5"/>
  </r>
  <r>
    <x v="1"/>
    <x v="3"/>
    <n v="7"/>
  </r>
  <r>
    <x v="1"/>
    <x v="3"/>
    <n v="7"/>
  </r>
  <r>
    <x v="1"/>
    <x v="3"/>
    <n v="9"/>
  </r>
  <r>
    <x v="1"/>
    <x v="3"/>
    <n v="5"/>
  </r>
  <r>
    <x v="1"/>
    <x v="3"/>
    <n v="6"/>
  </r>
  <r>
    <x v="1"/>
    <x v="3"/>
    <n v="6"/>
  </r>
  <r>
    <x v="1"/>
    <x v="3"/>
    <n v="4"/>
  </r>
  <r>
    <x v="1"/>
    <x v="3"/>
    <n v="9"/>
  </r>
  <r>
    <x v="1"/>
    <x v="3"/>
    <n v="9"/>
  </r>
  <r>
    <x v="1"/>
    <x v="3"/>
    <n v="4"/>
  </r>
  <r>
    <x v="1"/>
    <x v="3"/>
    <n v="4"/>
  </r>
  <r>
    <x v="1"/>
    <x v="3"/>
    <n v="5"/>
  </r>
  <r>
    <x v="1"/>
    <x v="3"/>
    <n v="5"/>
  </r>
  <r>
    <x v="1"/>
    <x v="3"/>
    <n v="9"/>
  </r>
  <r>
    <x v="1"/>
    <x v="3"/>
    <n v="2"/>
  </r>
  <r>
    <x v="1"/>
    <x v="3"/>
    <n v="4"/>
  </r>
  <r>
    <x v="1"/>
    <x v="3"/>
    <n v="5"/>
  </r>
  <r>
    <x v="1"/>
    <x v="3"/>
    <n v="3"/>
  </r>
  <r>
    <x v="1"/>
    <x v="3"/>
    <n v="6"/>
  </r>
  <r>
    <x v="1"/>
    <x v="3"/>
    <n v="6"/>
  </r>
  <r>
    <x v="1"/>
    <x v="3"/>
    <n v="4"/>
  </r>
  <r>
    <x v="1"/>
    <x v="3"/>
    <n v="8"/>
  </r>
  <r>
    <x v="1"/>
    <x v="3"/>
    <n v="3"/>
  </r>
  <r>
    <x v="1"/>
    <x v="3"/>
    <n v="5"/>
  </r>
  <r>
    <x v="1"/>
    <x v="3"/>
    <n v="6"/>
  </r>
  <r>
    <x v="1"/>
    <x v="3"/>
    <n v="2"/>
  </r>
  <r>
    <x v="1"/>
    <x v="3"/>
    <n v="9"/>
  </r>
  <r>
    <x v="1"/>
    <x v="3"/>
    <n v="4"/>
  </r>
  <r>
    <x v="1"/>
    <x v="3"/>
    <n v="3"/>
  </r>
  <r>
    <x v="1"/>
    <x v="3"/>
    <n v="6"/>
  </r>
  <r>
    <x v="1"/>
    <x v="3"/>
    <n v="3"/>
  </r>
  <r>
    <x v="1"/>
    <x v="3"/>
    <n v="5"/>
  </r>
  <r>
    <x v="1"/>
    <x v="3"/>
    <n v="3"/>
  </r>
  <r>
    <x v="1"/>
    <x v="3"/>
    <n v="5"/>
  </r>
  <r>
    <x v="1"/>
    <x v="3"/>
    <n v="8"/>
  </r>
  <r>
    <x v="1"/>
    <x v="3"/>
    <n v="5"/>
  </r>
  <r>
    <x v="1"/>
    <x v="3"/>
    <n v="8"/>
  </r>
  <r>
    <x v="1"/>
    <x v="3"/>
    <n v="7"/>
  </r>
  <r>
    <x v="1"/>
    <x v="3"/>
    <n v="2"/>
  </r>
  <r>
    <x v="1"/>
    <x v="3"/>
    <n v="6"/>
  </r>
  <r>
    <x v="1"/>
    <x v="3"/>
    <n v="3"/>
  </r>
  <r>
    <x v="1"/>
    <x v="3"/>
    <n v="7"/>
  </r>
  <r>
    <x v="1"/>
    <x v="3"/>
    <n v="5"/>
  </r>
  <r>
    <x v="1"/>
    <x v="3"/>
    <n v="3"/>
  </r>
  <r>
    <x v="1"/>
    <x v="3"/>
    <n v="10"/>
  </r>
  <r>
    <x v="1"/>
    <x v="3"/>
    <n v="3"/>
  </r>
  <r>
    <x v="1"/>
    <x v="3"/>
    <n v="2"/>
  </r>
  <r>
    <x v="1"/>
    <x v="3"/>
    <n v="7"/>
  </r>
  <r>
    <x v="1"/>
    <x v="3"/>
    <n v="6"/>
  </r>
  <r>
    <x v="1"/>
    <x v="3"/>
    <n v="7"/>
  </r>
  <r>
    <x v="1"/>
    <x v="3"/>
    <n v="9"/>
  </r>
  <r>
    <x v="1"/>
    <x v="3"/>
    <n v="4"/>
  </r>
  <r>
    <x v="1"/>
    <x v="3"/>
    <n v="5"/>
  </r>
  <r>
    <x v="1"/>
    <x v="3"/>
    <n v="3"/>
  </r>
  <r>
    <x v="1"/>
    <x v="3"/>
    <n v="2"/>
  </r>
  <r>
    <x v="2"/>
    <x v="3"/>
    <n v="5"/>
  </r>
  <r>
    <x v="2"/>
    <x v="3"/>
    <n v="4"/>
  </r>
  <r>
    <x v="2"/>
    <x v="3"/>
    <n v="7"/>
  </r>
  <r>
    <x v="2"/>
    <x v="3"/>
    <n v="7"/>
  </r>
  <r>
    <x v="2"/>
    <x v="3"/>
    <n v="8"/>
  </r>
  <r>
    <x v="2"/>
    <x v="3"/>
    <n v="9"/>
  </r>
  <r>
    <x v="2"/>
    <x v="3"/>
    <n v="7"/>
  </r>
  <r>
    <x v="2"/>
    <x v="3"/>
    <n v="10"/>
  </r>
  <r>
    <x v="2"/>
    <x v="3"/>
    <n v="9"/>
  </r>
  <r>
    <x v="2"/>
    <x v="3"/>
    <n v="6"/>
  </r>
  <r>
    <x v="2"/>
    <x v="3"/>
    <n v="8"/>
  </r>
  <r>
    <x v="2"/>
    <x v="3"/>
    <n v="5"/>
  </r>
  <r>
    <x v="2"/>
    <x v="3"/>
    <n v="9"/>
  </r>
  <r>
    <x v="2"/>
    <x v="3"/>
    <n v="2"/>
  </r>
  <r>
    <x v="2"/>
    <x v="3"/>
    <n v="4"/>
  </r>
  <r>
    <x v="2"/>
    <x v="3"/>
    <n v="8"/>
  </r>
  <r>
    <x v="2"/>
    <x v="3"/>
    <n v="8"/>
  </r>
  <r>
    <x v="2"/>
    <x v="3"/>
    <n v="9"/>
  </r>
  <r>
    <x v="2"/>
    <x v="3"/>
    <n v="5"/>
  </r>
  <r>
    <x v="2"/>
    <x v="3"/>
    <n v="9"/>
  </r>
  <r>
    <x v="2"/>
    <x v="3"/>
    <n v="2"/>
  </r>
  <r>
    <x v="2"/>
    <x v="3"/>
    <n v="4"/>
  </r>
  <r>
    <x v="2"/>
    <x v="3"/>
    <n v="8"/>
  </r>
  <r>
    <x v="2"/>
    <x v="3"/>
    <n v="2"/>
  </r>
  <r>
    <x v="2"/>
    <x v="3"/>
    <n v="6"/>
  </r>
  <r>
    <x v="2"/>
    <x v="3"/>
    <n v="5"/>
  </r>
  <r>
    <x v="2"/>
    <x v="3"/>
    <n v="5"/>
  </r>
  <r>
    <x v="2"/>
    <x v="3"/>
    <n v="9"/>
  </r>
  <r>
    <x v="2"/>
    <x v="3"/>
    <n v="5"/>
  </r>
  <r>
    <x v="2"/>
    <x v="3"/>
    <n v="7"/>
  </r>
  <r>
    <x v="2"/>
    <x v="3"/>
    <n v="7"/>
  </r>
  <r>
    <x v="2"/>
    <x v="3"/>
    <n v="2"/>
  </r>
  <r>
    <x v="2"/>
    <x v="3"/>
    <n v="6"/>
  </r>
  <r>
    <x v="2"/>
    <x v="3"/>
    <n v="10"/>
  </r>
  <r>
    <x v="2"/>
    <x v="3"/>
    <n v="4"/>
  </r>
  <r>
    <x v="2"/>
    <x v="3"/>
    <n v="10"/>
  </r>
  <r>
    <x v="2"/>
    <x v="3"/>
    <n v="5"/>
  </r>
  <r>
    <x v="2"/>
    <x v="3"/>
    <n v="8"/>
  </r>
  <r>
    <x v="2"/>
    <x v="3"/>
    <n v="4"/>
  </r>
  <r>
    <x v="2"/>
    <x v="3"/>
    <n v="10"/>
  </r>
  <r>
    <x v="2"/>
    <x v="3"/>
    <n v="6"/>
  </r>
  <r>
    <x v="2"/>
    <x v="3"/>
    <n v="9"/>
  </r>
  <r>
    <x v="2"/>
    <x v="3"/>
    <n v="9"/>
  </r>
  <r>
    <x v="2"/>
    <x v="3"/>
    <n v="3"/>
  </r>
  <r>
    <x v="2"/>
    <x v="3"/>
    <n v="9"/>
  </r>
  <r>
    <x v="2"/>
    <x v="3"/>
    <n v="9"/>
  </r>
  <r>
    <x v="2"/>
    <x v="3"/>
    <n v="5"/>
  </r>
  <r>
    <x v="2"/>
    <x v="3"/>
    <n v="2"/>
  </r>
  <r>
    <x v="2"/>
    <x v="3"/>
    <n v="4"/>
  </r>
  <r>
    <x v="2"/>
    <x v="3"/>
    <n v="9"/>
  </r>
  <r>
    <x v="2"/>
    <x v="3"/>
    <n v="5"/>
  </r>
  <r>
    <x v="2"/>
    <x v="3"/>
    <n v="8"/>
  </r>
  <r>
    <x v="2"/>
    <x v="3"/>
    <n v="8"/>
  </r>
  <r>
    <x v="2"/>
    <x v="3"/>
    <n v="4"/>
  </r>
  <r>
    <x v="2"/>
    <x v="3"/>
    <n v="6"/>
  </r>
  <r>
    <x v="2"/>
    <x v="3"/>
    <n v="4"/>
  </r>
  <r>
    <x v="2"/>
    <x v="3"/>
    <n v="9"/>
  </r>
  <r>
    <x v="2"/>
    <x v="3"/>
    <n v="7"/>
  </r>
  <r>
    <x v="2"/>
    <x v="3"/>
    <n v="4"/>
  </r>
  <r>
    <x v="2"/>
    <x v="3"/>
    <n v="4"/>
  </r>
  <r>
    <x v="2"/>
    <x v="3"/>
    <n v="8"/>
  </r>
  <r>
    <x v="2"/>
    <x v="3"/>
    <n v="9"/>
  </r>
  <r>
    <x v="2"/>
    <x v="3"/>
    <n v="10"/>
  </r>
  <r>
    <x v="2"/>
    <x v="3"/>
    <n v="5"/>
  </r>
  <r>
    <x v="2"/>
    <x v="3"/>
    <n v="8"/>
  </r>
  <r>
    <x v="2"/>
    <x v="3"/>
    <n v="7"/>
  </r>
  <r>
    <x v="2"/>
    <x v="3"/>
    <n v="10"/>
  </r>
  <r>
    <x v="2"/>
    <x v="3"/>
    <n v="9"/>
  </r>
  <r>
    <x v="2"/>
    <x v="3"/>
    <n v="7"/>
  </r>
  <r>
    <x v="2"/>
    <x v="3"/>
    <n v="9"/>
  </r>
  <r>
    <x v="2"/>
    <x v="3"/>
    <n v="9"/>
  </r>
  <r>
    <x v="2"/>
    <x v="3"/>
    <n v="4"/>
  </r>
  <r>
    <x v="2"/>
    <x v="3"/>
    <n v="3"/>
  </r>
  <r>
    <x v="2"/>
    <x v="3"/>
    <n v="3"/>
  </r>
  <r>
    <x v="2"/>
    <x v="3"/>
    <n v="6"/>
  </r>
  <r>
    <x v="2"/>
    <x v="3"/>
    <n v="9"/>
  </r>
  <r>
    <x v="2"/>
    <x v="3"/>
    <n v="4"/>
  </r>
  <r>
    <x v="2"/>
    <x v="3"/>
    <n v="4"/>
  </r>
  <r>
    <x v="2"/>
    <x v="3"/>
    <n v="3"/>
  </r>
  <r>
    <x v="2"/>
    <x v="3"/>
    <n v="10"/>
  </r>
  <r>
    <x v="2"/>
    <x v="3"/>
    <n v="10"/>
  </r>
  <r>
    <x v="2"/>
    <x v="3"/>
    <n v="3"/>
  </r>
  <r>
    <x v="2"/>
    <x v="3"/>
    <n v="10"/>
  </r>
  <r>
    <x v="2"/>
    <x v="3"/>
    <n v="10"/>
  </r>
  <r>
    <x v="2"/>
    <x v="3"/>
    <n v="2"/>
  </r>
  <r>
    <x v="2"/>
    <x v="3"/>
    <n v="7"/>
  </r>
  <r>
    <x v="2"/>
    <x v="3"/>
    <n v="4"/>
  </r>
  <r>
    <x v="2"/>
    <x v="3"/>
    <n v="6"/>
  </r>
  <r>
    <x v="2"/>
    <x v="3"/>
    <n v="4"/>
  </r>
  <r>
    <x v="2"/>
    <x v="3"/>
    <n v="9"/>
  </r>
  <r>
    <x v="2"/>
    <x v="3"/>
    <n v="8"/>
  </r>
  <r>
    <x v="2"/>
    <x v="3"/>
    <n v="5"/>
  </r>
  <r>
    <x v="2"/>
    <x v="3"/>
    <n v="8"/>
  </r>
  <r>
    <x v="2"/>
    <x v="3"/>
    <n v="5"/>
  </r>
  <r>
    <x v="2"/>
    <x v="3"/>
    <n v="3"/>
  </r>
  <r>
    <x v="2"/>
    <x v="3"/>
    <n v="6"/>
  </r>
  <r>
    <x v="2"/>
    <x v="3"/>
    <n v="2"/>
  </r>
  <r>
    <x v="2"/>
    <x v="3"/>
    <n v="10"/>
  </r>
  <r>
    <x v="3"/>
    <x v="3"/>
    <n v="8"/>
  </r>
  <r>
    <x v="3"/>
    <x v="3"/>
    <n v="7"/>
  </r>
  <r>
    <x v="3"/>
    <x v="3"/>
    <n v="7"/>
  </r>
  <r>
    <x v="3"/>
    <x v="3"/>
    <n v="3"/>
  </r>
  <r>
    <x v="3"/>
    <x v="3"/>
    <n v="6"/>
  </r>
  <r>
    <x v="3"/>
    <x v="3"/>
    <n v="6"/>
  </r>
  <r>
    <x v="3"/>
    <x v="3"/>
    <n v="8"/>
  </r>
  <r>
    <x v="3"/>
    <x v="3"/>
    <n v="2"/>
  </r>
  <r>
    <x v="3"/>
    <x v="3"/>
    <n v="2"/>
  </r>
  <r>
    <x v="3"/>
    <x v="3"/>
    <n v="7"/>
  </r>
  <r>
    <x v="3"/>
    <x v="3"/>
    <n v="4"/>
  </r>
  <r>
    <x v="3"/>
    <x v="3"/>
    <n v="8"/>
  </r>
  <r>
    <x v="3"/>
    <x v="3"/>
    <n v="8"/>
  </r>
  <r>
    <x v="3"/>
    <x v="3"/>
    <n v="6"/>
  </r>
  <r>
    <x v="3"/>
    <x v="3"/>
    <n v="4"/>
  </r>
  <r>
    <x v="3"/>
    <x v="3"/>
    <n v="3"/>
  </r>
  <r>
    <x v="3"/>
    <x v="3"/>
    <n v="10"/>
  </r>
  <r>
    <x v="3"/>
    <x v="3"/>
    <n v="10"/>
  </r>
  <r>
    <x v="3"/>
    <x v="3"/>
    <n v="3"/>
  </r>
  <r>
    <x v="3"/>
    <x v="3"/>
    <n v="7"/>
  </r>
  <r>
    <x v="3"/>
    <x v="3"/>
    <n v="3"/>
  </r>
  <r>
    <x v="3"/>
    <x v="3"/>
    <n v="2"/>
  </r>
  <r>
    <x v="3"/>
    <x v="3"/>
    <n v="7"/>
  </r>
  <r>
    <x v="3"/>
    <x v="3"/>
    <n v="10"/>
  </r>
  <r>
    <x v="3"/>
    <x v="3"/>
    <n v="6"/>
  </r>
  <r>
    <x v="3"/>
    <x v="3"/>
    <n v="9"/>
  </r>
  <r>
    <x v="3"/>
    <x v="3"/>
    <n v="8"/>
  </r>
  <r>
    <x v="3"/>
    <x v="3"/>
    <n v="7"/>
  </r>
  <r>
    <x v="3"/>
    <x v="3"/>
    <n v="8"/>
  </r>
  <r>
    <x v="3"/>
    <x v="3"/>
    <n v="6"/>
  </r>
  <r>
    <x v="3"/>
    <x v="3"/>
    <n v="10"/>
  </r>
  <r>
    <x v="3"/>
    <x v="3"/>
    <n v="6"/>
  </r>
  <r>
    <x v="3"/>
    <x v="3"/>
    <n v="5"/>
  </r>
  <r>
    <x v="3"/>
    <x v="3"/>
    <n v="7"/>
  </r>
  <r>
    <x v="3"/>
    <x v="3"/>
    <n v="3"/>
  </r>
  <r>
    <x v="3"/>
    <x v="3"/>
    <n v="8"/>
  </r>
  <r>
    <x v="3"/>
    <x v="3"/>
    <n v="8"/>
  </r>
  <r>
    <x v="3"/>
    <x v="3"/>
    <n v="3"/>
  </r>
  <r>
    <x v="3"/>
    <x v="3"/>
    <n v="2"/>
  </r>
  <r>
    <x v="3"/>
    <x v="3"/>
    <n v="5"/>
  </r>
  <r>
    <x v="3"/>
    <x v="3"/>
    <n v="7"/>
  </r>
  <r>
    <x v="3"/>
    <x v="3"/>
    <n v="2"/>
  </r>
  <r>
    <x v="3"/>
    <x v="3"/>
    <n v="2"/>
  </r>
  <r>
    <x v="3"/>
    <x v="3"/>
    <n v="2"/>
  </r>
  <r>
    <x v="3"/>
    <x v="3"/>
    <n v="10"/>
  </r>
  <r>
    <x v="3"/>
    <x v="3"/>
    <n v="7"/>
  </r>
  <r>
    <x v="3"/>
    <x v="3"/>
    <n v="8"/>
  </r>
  <r>
    <x v="3"/>
    <x v="3"/>
    <n v="3"/>
  </r>
  <r>
    <x v="3"/>
    <x v="3"/>
    <n v="7"/>
  </r>
  <r>
    <x v="3"/>
    <x v="3"/>
    <n v="7"/>
  </r>
  <r>
    <x v="3"/>
    <x v="3"/>
    <n v="4"/>
  </r>
  <r>
    <x v="3"/>
    <x v="3"/>
    <n v="4"/>
  </r>
  <r>
    <x v="3"/>
    <x v="3"/>
    <n v="3"/>
  </r>
  <r>
    <x v="3"/>
    <x v="3"/>
    <n v="9"/>
  </r>
  <r>
    <x v="3"/>
    <x v="3"/>
    <n v="5"/>
  </r>
  <r>
    <x v="3"/>
    <x v="3"/>
    <n v="2"/>
  </r>
  <r>
    <x v="3"/>
    <x v="3"/>
    <n v="5"/>
  </r>
  <r>
    <x v="3"/>
    <x v="3"/>
    <n v="2"/>
  </r>
  <r>
    <x v="3"/>
    <x v="3"/>
    <n v="6"/>
  </r>
  <r>
    <x v="3"/>
    <x v="3"/>
    <n v="9"/>
  </r>
  <r>
    <x v="3"/>
    <x v="3"/>
    <n v="4"/>
  </r>
  <r>
    <x v="3"/>
    <x v="3"/>
    <n v="4"/>
  </r>
  <r>
    <x v="3"/>
    <x v="3"/>
    <n v="2"/>
  </r>
  <r>
    <x v="3"/>
    <x v="3"/>
    <n v="6"/>
  </r>
  <r>
    <x v="3"/>
    <x v="3"/>
    <n v="10"/>
  </r>
  <r>
    <x v="3"/>
    <x v="3"/>
    <n v="7"/>
  </r>
  <r>
    <x v="3"/>
    <x v="3"/>
    <n v="5"/>
  </r>
  <r>
    <x v="3"/>
    <x v="3"/>
    <n v="5"/>
  </r>
  <r>
    <x v="3"/>
    <x v="3"/>
    <n v="4"/>
  </r>
  <r>
    <x v="3"/>
    <x v="3"/>
    <n v="2"/>
  </r>
  <r>
    <x v="3"/>
    <x v="3"/>
    <n v="10"/>
  </r>
  <r>
    <x v="3"/>
    <x v="3"/>
    <n v="4"/>
  </r>
  <r>
    <x v="3"/>
    <x v="3"/>
    <n v="2"/>
  </r>
  <r>
    <x v="3"/>
    <x v="3"/>
    <n v="10"/>
  </r>
  <r>
    <x v="3"/>
    <x v="3"/>
    <n v="2"/>
  </r>
  <r>
    <x v="3"/>
    <x v="3"/>
    <n v="6"/>
  </r>
  <r>
    <x v="3"/>
    <x v="3"/>
    <n v="9"/>
  </r>
  <r>
    <x v="3"/>
    <x v="3"/>
    <n v="2"/>
  </r>
  <r>
    <x v="3"/>
    <x v="3"/>
    <n v="6"/>
  </r>
  <r>
    <x v="3"/>
    <x v="3"/>
    <n v="5"/>
  </r>
  <r>
    <x v="3"/>
    <x v="3"/>
    <n v="8"/>
  </r>
  <r>
    <x v="3"/>
    <x v="3"/>
    <n v="10"/>
  </r>
  <r>
    <x v="3"/>
    <x v="3"/>
    <n v="3"/>
  </r>
  <r>
    <x v="3"/>
    <x v="3"/>
    <n v="10"/>
  </r>
  <r>
    <x v="3"/>
    <x v="3"/>
    <n v="2"/>
  </r>
  <r>
    <x v="3"/>
    <x v="3"/>
    <n v="10"/>
  </r>
  <r>
    <x v="3"/>
    <x v="3"/>
    <n v="10"/>
  </r>
  <r>
    <x v="3"/>
    <x v="3"/>
    <n v="7"/>
  </r>
  <r>
    <x v="3"/>
    <x v="3"/>
    <n v="10"/>
  </r>
  <r>
    <x v="3"/>
    <x v="3"/>
    <n v="6"/>
  </r>
  <r>
    <x v="3"/>
    <x v="3"/>
    <n v="7"/>
  </r>
  <r>
    <x v="3"/>
    <x v="3"/>
    <n v="3"/>
  </r>
  <r>
    <x v="3"/>
    <x v="3"/>
    <n v="4"/>
  </r>
  <r>
    <x v="3"/>
    <x v="3"/>
    <n v="10"/>
  </r>
  <r>
    <x v="3"/>
    <x v="3"/>
    <n v="7"/>
  </r>
  <r>
    <x v="3"/>
    <x v="3"/>
    <n v="10"/>
  </r>
  <r>
    <x v="3"/>
    <x v="3"/>
    <n v="8"/>
  </r>
  <r>
    <x v="3"/>
    <x v="3"/>
    <n v="9"/>
  </r>
  <r>
    <x v="3"/>
    <x v="3"/>
    <n v="9"/>
  </r>
  <r>
    <x v="3"/>
    <x v="3"/>
    <n v="3"/>
  </r>
  <r>
    <x v="3"/>
    <x v="3"/>
    <n v="8"/>
  </r>
  <r>
    <x v="3"/>
    <x v="3"/>
    <n v="5"/>
  </r>
  <r>
    <x v="3"/>
    <x v="3"/>
    <n v="10"/>
  </r>
  <r>
    <x v="3"/>
    <x v="3"/>
    <n v="6"/>
  </r>
  <r>
    <x v="3"/>
    <x v="3"/>
    <n v="10"/>
  </r>
  <r>
    <x v="3"/>
    <x v="3"/>
    <n v="10"/>
  </r>
  <r>
    <x v="3"/>
    <x v="3"/>
    <n v="5"/>
  </r>
  <r>
    <x v="4"/>
    <x v="4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1">
  <r>
    <x v="0"/>
    <n v="42461"/>
  </r>
  <r>
    <x v="1"/>
    <n v="32430"/>
  </r>
  <r>
    <x v="1"/>
    <n v="8570"/>
  </r>
  <r>
    <x v="2"/>
    <n v="35070"/>
  </r>
  <r>
    <x v="1"/>
    <n v="43207"/>
  </r>
  <r>
    <x v="3"/>
    <n v="30020"/>
  </r>
  <r>
    <x v="3"/>
    <n v="43888"/>
  </r>
  <r>
    <x v="1"/>
    <n v="5894"/>
  </r>
  <r>
    <x v="2"/>
    <n v="4230"/>
  </r>
  <r>
    <x v="1"/>
    <n v="19150"/>
  </r>
  <r>
    <x v="4"/>
    <n v="43339"/>
  </r>
  <r>
    <x v="1"/>
    <n v="18556"/>
  </r>
  <r>
    <x v="2"/>
    <n v="43411"/>
  </r>
  <r>
    <x v="3"/>
    <n v="23304"/>
  </r>
  <r>
    <x v="1"/>
    <n v="9597"/>
  </r>
  <r>
    <x v="0"/>
    <n v="30030"/>
  </r>
  <r>
    <x v="2"/>
    <n v="39374"/>
  </r>
  <r>
    <x v="1"/>
    <n v="18132"/>
  </r>
  <r>
    <x v="3"/>
    <n v="14427"/>
  </r>
  <r>
    <x v="2"/>
    <n v="32191"/>
  </r>
  <r>
    <x v="1"/>
    <n v="13697"/>
  </r>
  <r>
    <x v="3"/>
    <n v="8163"/>
  </r>
  <r>
    <x v="0"/>
    <n v="35203"/>
  </r>
  <r>
    <x v="0"/>
    <n v="48930"/>
  </r>
  <r>
    <x v="3"/>
    <n v="38032"/>
  </r>
  <r>
    <x v="1"/>
    <n v="26844"/>
  </r>
  <r>
    <x v="1"/>
    <n v="28920"/>
  </r>
  <r>
    <x v="0"/>
    <n v="20634"/>
  </r>
  <r>
    <x v="2"/>
    <n v="41799"/>
  </r>
  <r>
    <x v="3"/>
    <n v="47969"/>
  </r>
  <r>
    <x v="4"/>
    <n v="11670"/>
  </r>
  <r>
    <x v="2"/>
    <n v="38276"/>
  </r>
  <r>
    <x v="0"/>
    <n v="4775"/>
  </r>
  <r>
    <x v="3"/>
    <n v="33548"/>
  </r>
  <r>
    <x v="1"/>
    <n v="24465"/>
  </r>
  <r>
    <x v="0"/>
    <n v="38332"/>
  </r>
  <r>
    <x v="2"/>
    <n v="10186"/>
  </r>
  <r>
    <x v="2"/>
    <n v="42644"/>
  </r>
  <r>
    <x v="2"/>
    <n v="34558"/>
  </r>
  <r>
    <x v="0"/>
    <n v="22475"/>
  </r>
  <r>
    <x v="2"/>
    <n v="44758"/>
  </r>
  <r>
    <x v="1"/>
    <n v="38490"/>
  </r>
  <r>
    <x v="2"/>
    <n v="46754"/>
  </r>
  <r>
    <x v="4"/>
    <n v="44216"/>
  </r>
  <r>
    <x v="3"/>
    <n v="20541"/>
  </r>
  <r>
    <x v="4"/>
    <n v="9315"/>
  </r>
  <r>
    <x v="3"/>
    <n v="40803"/>
  </r>
  <r>
    <x v="2"/>
    <n v="11148"/>
  </r>
  <r>
    <x v="0"/>
    <n v="40315"/>
  </r>
  <r>
    <x v="3"/>
    <n v="31037"/>
  </r>
  <r>
    <x v="0"/>
    <n v="33258"/>
  </r>
  <r>
    <x v="1"/>
    <n v="42320"/>
  </r>
  <r>
    <x v="3"/>
    <n v="5796"/>
  </r>
  <r>
    <x v="0"/>
    <n v="6310"/>
  </r>
  <r>
    <x v="1"/>
    <n v="26282"/>
  </r>
  <r>
    <x v="4"/>
    <n v="2147"/>
  </r>
  <r>
    <x v="1"/>
    <n v="19100"/>
  </r>
  <r>
    <x v="1"/>
    <n v="1545"/>
  </r>
  <r>
    <x v="1"/>
    <n v="19181"/>
  </r>
  <r>
    <x v="0"/>
    <n v="42174"/>
  </r>
  <r>
    <x v="2"/>
    <n v="37986"/>
  </r>
  <r>
    <x v="2"/>
    <n v="23422"/>
  </r>
  <r>
    <x v="2"/>
    <n v="23932"/>
  </r>
  <r>
    <x v="0"/>
    <n v="31110"/>
  </r>
  <r>
    <x v="3"/>
    <n v="4727"/>
  </r>
  <r>
    <x v="4"/>
    <n v="3205"/>
  </r>
  <r>
    <x v="0"/>
    <n v="41701"/>
  </r>
  <r>
    <x v="3"/>
    <n v="13511"/>
  </r>
  <r>
    <x v="2"/>
    <n v="26398"/>
  </r>
  <r>
    <x v="3"/>
    <n v="3432"/>
  </r>
  <r>
    <x v="0"/>
    <n v="49013"/>
  </r>
  <r>
    <x v="0"/>
    <n v="24374"/>
  </r>
  <r>
    <x v="2"/>
    <n v="12126"/>
  </r>
  <r>
    <x v="3"/>
    <n v="20386"/>
  </r>
  <r>
    <x v="0"/>
    <n v="3075"/>
  </r>
  <r>
    <x v="0"/>
    <n v="24109"/>
  </r>
  <r>
    <x v="4"/>
    <n v="4706"/>
  </r>
  <r>
    <x v="2"/>
    <n v="10355"/>
  </r>
  <r>
    <x v="2"/>
    <n v="9323"/>
  </r>
  <r>
    <x v="1"/>
    <n v="1998"/>
  </r>
  <r>
    <x v="3"/>
    <n v="17358"/>
  </r>
  <r>
    <x v="1"/>
    <n v="9195"/>
  </r>
  <r>
    <x v="3"/>
    <n v="44067"/>
  </r>
  <r>
    <x v="3"/>
    <n v="10622"/>
  </r>
  <r>
    <x v="4"/>
    <n v="9401"/>
  </r>
  <r>
    <x v="0"/>
    <n v="36452"/>
  </r>
  <r>
    <x v="0"/>
    <n v="34751"/>
  </r>
  <r>
    <x v="1"/>
    <n v="29789"/>
  </r>
  <r>
    <x v="4"/>
    <n v="28652"/>
  </r>
  <r>
    <x v="4"/>
    <n v="10914"/>
  </r>
  <r>
    <x v="1"/>
    <n v="16723"/>
  </r>
  <r>
    <x v="2"/>
    <n v="35262"/>
  </r>
  <r>
    <x v="4"/>
    <n v="43470"/>
  </r>
  <r>
    <x v="1"/>
    <n v="42338"/>
  </r>
  <r>
    <x v="2"/>
    <n v="19283"/>
  </r>
  <r>
    <x v="0"/>
    <n v="5082"/>
  </r>
  <r>
    <x v="0"/>
    <n v="13670"/>
  </r>
  <r>
    <x v="0"/>
    <n v="8869"/>
  </r>
  <r>
    <x v="4"/>
    <n v="30870"/>
  </r>
  <r>
    <x v="1"/>
    <n v="3616"/>
  </r>
  <r>
    <x v="3"/>
    <n v="38159"/>
  </r>
  <r>
    <x v="0"/>
    <n v="20520"/>
  </r>
  <r>
    <x v="4"/>
    <n v="14399"/>
  </r>
  <r>
    <x v="2"/>
    <n v="43177"/>
  </r>
  <r>
    <x v="0"/>
    <n v="9077"/>
  </r>
  <r>
    <x v="0"/>
    <n v="3652"/>
  </r>
  <r>
    <x v="0"/>
    <n v="33346"/>
  </r>
  <r>
    <x v="1"/>
    <n v="26114"/>
  </r>
  <r>
    <x v="4"/>
    <n v="39783"/>
  </r>
  <r>
    <x v="4"/>
    <n v="47065"/>
  </r>
  <r>
    <x v="2"/>
    <n v="34084"/>
  </r>
  <r>
    <x v="2"/>
    <n v="48752"/>
  </r>
  <r>
    <x v="2"/>
    <n v="19947"/>
  </r>
  <r>
    <x v="0"/>
    <n v="38553"/>
  </r>
  <r>
    <x v="1"/>
    <n v="38541"/>
  </r>
  <r>
    <x v="4"/>
    <n v="2369"/>
  </r>
  <r>
    <x v="0"/>
    <n v="10224"/>
  </r>
  <r>
    <x v="1"/>
    <n v="46553"/>
  </r>
  <r>
    <x v="0"/>
    <n v="34737"/>
  </r>
  <r>
    <x v="2"/>
    <n v="23518"/>
  </r>
  <r>
    <x v="2"/>
    <n v="19862"/>
  </r>
  <r>
    <x v="3"/>
    <n v="31744"/>
  </r>
  <r>
    <x v="2"/>
    <n v="44643"/>
  </r>
  <r>
    <x v="1"/>
    <n v="19150"/>
  </r>
  <r>
    <x v="4"/>
    <n v="13542"/>
  </r>
  <r>
    <x v="2"/>
    <n v="48855"/>
  </r>
  <r>
    <x v="4"/>
    <n v="3740"/>
  </r>
  <r>
    <x v="4"/>
    <n v="639"/>
  </r>
  <r>
    <x v="3"/>
    <n v="21348"/>
  </r>
  <r>
    <x v="2"/>
    <n v="48710"/>
  </r>
  <r>
    <x v="0"/>
    <n v="32765"/>
  </r>
  <r>
    <x v="2"/>
    <n v="39803"/>
  </r>
  <r>
    <x v="4"/>
    <n v="33344"/>
  </r>
  <r>
    <x v="4"/>
    <n v="48214"/>
  </r>
  <r>
    <x v="3"/>
    <n v="37510"/>
  </r>
  <r>
    <x v="1"/>
    <n v="26569"/>
  </r>
  <r>
    <x v="4"/>
    <n v="747"/>
  </r>
  <r>
    <x v="3"/>
    <n v="20088"/>
  </r>
  <r>
    <x v="1"/>
    <n v="30800"/>
  </r>
  <r>
    <x v="1"/>
    <n v="42158"/>
  </r>
  <r>
    <x v="0"/>
    <n v="10339"/>
  </r>
  <r>
    <x v="2"/>
    <n v="43822"/>
  </r>
  <r>
    <x v="2"/>
    <n v="46422"/>
  </r>
  <r>
    <x v="2"/>
    <n v="35470"/>
  </r>
  <r>
    <x v="1"/>
    <n v="44883"/>
  </r>
  <r>
    <x v="1"/>
    <n v="30016"/>
  </r>
  <r>
    <x v="2"/>
    <n v="30602"/>
  </r>
  <r>
    <x v="4"/>
    <n v="38200"/>
  </r>
  <r>
    <x v="2"/>
    <n v="4248"/>
  </r>
  <r>
    <x v="4"/>
    <n v="9175"/>
  </r>
  <r>
    <x v="0"/>
    <n v="5559"/>
  </r>
  <r>
    <x v="2"/>
    <n v="8645"/>
  </r>
  <r>
    <x v="2"/>
    <n v="28095"/>
  </r>
  <r>
    <x v="4"/>
    <n v="18364"/>
  </r>
  <r>
    <x v="4"/>
    <n v="13805"/>
  </r>
  <r>
    <x v="4"/>
    <n v="48832"/>
  </r>
  <r>
    <x v="1"/>
    <n v="9483"/>
  </r>
  <r>
    <x v="4"/>
    <n v="20076"/>
  </r>
  <r>
    <x v="3"/>
    <n v="4294"/>
  </r>
  <r>
    <x v="3"/>
    <n v="42460"/>
  </r>
  <r>
    <x v="4"/>
    <n v="19953"/>
  </r>
  <r>
    <x v="4"/>
    <n v="20009"/>
  </r>
  <r>
    <x v="0"/>
    <n v="36822"/>
  </r>
  <r>
    <x v="3"/>
    <n v="42682"/>
  </r>
  <r>
    <x v="1"/>
    <n v="17893"/>
  </r>
  <r>
    <x v="0"/>
    <n v="13989"/>
  </r>
  <r>
    <x v="1"/>
    <n v="49247"/>
  </r>
  <r>
    <x v="2"/>
    <n v="21377"/>
  </r>
  <r>
    <x v="3"/>
    <n v="17441"/>
  </r>
  <r>
    <x v="0"/>
    <n v="21286"/>
  </r>
  <r>
    <x v="2"/>
    <n v="14801"/>
  </r>
  <r>
    <x v="3"/>
    <n v="10288"/>
  </r>
  <r>
    <x v="0"/>
    <n v="36386"/>
  </r>
  <r>
    <x v="4"/>
    <n v="48322"/>
  </r>
  <r>
    <x v="4"/>
    <n v="35829"/>
  </r>
  <r>
    <x v="1"/>
    <n v="27326"/>
  </r>
  <r>
    <x v="4"/>
    <n v="33443"/>
  </r>
  <r>
    <x v="1"/>
    <n v="733"/>
  </r>
  <r>
    <x v="2"/>
    <n v="19088"/>
  </r>
  <r>
    <x v="1"/>
    <n v="34666"/>
  </r>
  <r>
    <x v="3"/>
    <n v="17819"/>
  </r>
  <r>
    <x v="2"/>
    <n v="16238"/>
  </r>
  <r>
    <x v="0"/>
    <n v="25155"/>
  </r>
  <r>
    <x v="4"/>
    <n v="5718"/>
  </r>
  <r>
    <x v="2"/>
    <n v="3088"/>
  </r>
  <r>
    <x v="1"/>
    <n v="45154"/>
  </r>
  <r>
    <x v="1"/>
    <n v="13876"/>
  </r>
  <r>
    <x v="2"/>
    <n v="16059"/>
  </r>
  <r>
    <x v="1"/>
    <n v="33119"/>
  </r>
  <r>
    <x v="1"/>
    <n v="22621"/>
  </r>
  <r>
    <x v="0"/>
    <n v="15251"/>
  </r>
  <r>
    <x v="2"/>
    <n v="43597"/>
  </r>
  <r>
    <x v="1"/>
    <n v="17861"/>
  </r>
  <r>
    <x v="3"/>
    <n v="7282"/>
  </r>
  <r>
    <x v="3"/>
    <n v="6999"/>
  </r>
  <r>
    <x v="2"/>
    <n v="36655"/>
  </r>
  <r>
    <x v="2"/>
    <n v="6399"/>
  </r>
  <r>
    <x v="0"/>
    <n v="5850"/>
  </r>
  <r>
    <x v="4"/>
    <n v="9399"/>
  </r>
  <r>
    <x v="1"/>
    <n v="11258"/>
  </r>
  <r>
    <x v="1"/>
    <n v="23966"/>
  </r>
  <r>
    <x v="1"/>
    <n v="9179"/>
  </r>
  <r>
    <x v="3"/>
    <n v="29150"/>
  </r>
  <r>
    <x v="2"/>
    <n v="45866"/>
  </r>
  <r>
    <x v="3"/>
    <n v="19400"/>
  </r>
  <r>
    <x v="3"/>
    <n v="26051"/>
  </r>
  <r>
    <x v="2"/>
    <n v="2063"/>
  </r>
  <r>
    <x v="0"/>
    <n v="44404"/>
  </r>
  <r>
    <x v="4"/>
    <n v="47173"/>
  </r>
  <r>
    <x v="2"/>
    <n v="26567"/>
  </r>
  <r>
    <x v="1"/>
    <n v="16568"/>
  </r>
  <r>
    <x v="3"/>
    <n v="28510"/>
  </r>
  <r>
    <x v="2"/>
    <n v="49245"/>
  </r>
  <r>
    <x v="2"/>
    <n v="45548"/>
  </r>
  <r>
    <x v="3"/>
    <n v="27561"/>
  </r>
  <r>
    <x v="3"/>
    <n v="30140"/>
  </r>
  <r>
    <x v="1"/>
    <n v="29015"/>
  </r>
  <r>
    <x v="1"/>
    <n v="1780"/>
  </r>
  <r>
    <x v="2"/>
    <n v="10794"/>
  </r>
  <r>
    <x v="0"/>
    <n v="41571"/>
  </r>
  <r>
    <x v="2"/>
    <n v="13231"/>
  </r>
  <r>
    <x v="4"/>
    <n v="18541"/>
  </r>
  <r>
    <x v="3"/>
    <n v="21663"/>
  </r>
  <r>
    <x v="2"/>
    <n v="42184"/>
  </r>
  <r>
    <x v="3"/>
    <n v="30306"/>
  </r>
  <r>
    <x v="1"/>
    <n v="15935"/>
  </r>
  <r>
    <x v="2"/>
    <n v="25758"/>
  </r>
  <r>
    <x v="0"/>
    <n v="41948"/>
  </r>
  <r>
    <x v="4"/>
    <n v="12561"/>
  </r>
  <r>
    <x v="0"/>
    <n v="9247"/>
  </r>
  <r>
    <x v="0"/>
    <n v="45172"/>
  </r>
  <r>
    <x v="1"/>
    <n v="37353"/>
  </r>
  <r>
    <x v="4"/>
    <n v="35532"/>
  </r>
  <r>
    <x v="2"/>
    <n v="33776"/>
  </r>
  <r>
    <x v="2"/>
    <n v="49896"/>
  </r>
  <r>
    <x v="1"/>
    <n v="48533"/>
  </r>
  <r>
    <x v="3"/>
    <n v="6000"/>
  </r>
  <r>
    <x v="2"/>
    <n v="41769"/>
  </r>
  <r>
    <x v="1"/>
    <n v="37660"/>
  </r>
  <r>
    <x v="3"/>
    <n v="46440"/>
  </r>
  <r>
    <x v="4"/>
    <n v="49458"/>
  </r>
  <r>
    <x v="4"/>
    <n v="9884"/>
  </r>
  <r>
    <x v="2"/>
    <n v="41745"/>
  </r>
  <r>
    <x v="1"/>
    <n v="26701"/>
  </r>
  <r>
    <x v="2"/>
    <n v="462"/>
  </r>
  <r>
    <x v="4"/>
    <n v="28457"/>
  </r>
  <r>
    <x v="3"/>
    <n v="36168"/>
  </r>
  <r>
    <x v="1"/>
    <n v="6825"/>
  </r>
  <r>
    <x v="0"/>
    <n v="344"/>
  </r>
  <r>
    <x v="3"/>
    <n v="6417"/>
  </r>
  <r>
    <x v="1"/>
    <n v="26274"/>
  </r>
  <r>
    <x v="1"/>
    <n v="14286"/>
  </r>
  <r>
    <x v="1"/>
    <n v="828"/>
  </r>
  <r>
    <x v="1"/>
    <n v="15304"/>
  </r>
  <r>
    <x v="3"/>
    <n v="19911"/>
  </r>
  <r>
    <x v="2"/>
    <n v="37215"/>
  </r>
  <r>
    <x v="4"/>
    <n v="27281"/>
  </r>
  <r>
    <x v="1"/>
    <n v="38938"/>
  </r>
  <r>
    <x v="4"/>
    <n v="18451"/>
  </r>
  <r>
    <x v="3"/>
    <n v="13764"/>
  </r>
  <r>
    <x v="0"/>
    <n v="25589"/>
  </r>
  <r>
    <x v="3"/>
    <n v="21040"/>
  </r>
  <r>
    <x v="0"/>
    <n v="5083"/>
  </r>
  <r>
    <x v="4"/>
    <n v="2910"/>
  </r>
  <r>
    <x v="0"/>
    <n v="46293"/>
  </r>
  <r>
    <x v="3"/>
    <n v="5778"/>
  </r>
  <r>
    <x v="2"/>
    <n v="21713"/>
  </r>
  <r>
    <x v="4"/>
    <n v="4094"/>
  </r>
  <r>
    <x v="2"/>
    <n v="40200"/>
  </r>
  <r>
    <x v="4"/>
    <n v="46273"/>
  </r>
  <r>
    <x v="4"/>
    <n v="24670"/>
  </r>
  <r>
    <x v="0"/>
    <n v="18124"/>
  </r>
  <r>
    <x v="2"/>
    <n v="23901"/>
  </r>
  <r>
    <x v="3"/>
    <n v="7043"/>
  </r>
  <r>
    <x v="1"/>
    <n v="16326"/>
  </r>
  <r>
    <x v="4"/>
    <n v="2617"/>
  </r>
  <r>
    <x v="3"/>
    <n v="18077"/>
  </r>
  <r>
    <x v="4"/>
    <n v="14926"/>
  </r>
  <r>
    <x v="3"/>
    <n v="21749"/>
  </r>
  <r>
    <x v="4"/>
    <n v="19409"/>
  </r>
  <r>
    <x v="4"/>
    <n v="48302"/>
  </r>
  <r>
    <x v="4"/>
    <n v="35790"/>
  </r>
  <r>
    <x v="3"/>
    <n v="7112"/>
  </r>
  <r>
    <x v="1"/>
    <n v="9630"/>
  </r>
  <r>
    <x v="3"/>
    <n v="30345"/>
  </r>
  <r>
    <x v="0"/>
    <n v="5204"/>
  </r>
  <r>
    <x v="3"/>
    <n v="20944"/>
  </r>
  <r>
    <x v="4"/>
    <n v="5194"/>
  </r>
  <r>
    <x v="4"/>
    <n v="29762"/>
  </r>
  <r>
    <x v="4"/>
    <n v="29916"/>
  </r>
  <r>
    <x v="4"/>
    <n v="45261"/>
  </r>
  <r>
    <x v="1"/>
    <n v="46906"/>
  </r>
  <r>
    <x v="3"/>
    <n v="17350"/>
  </r>
  <r>
    <x v="1"/>
    <n v="30580"/>
  </r>
  <r>
    <x v="4"/>
    <n v="8866"/>
  </r>
  <r>
    <x v="1"/>
    <n v="1728"/>
  </r>
  <r>
    <x v="3"/>
    <n v="8329"/>
  </r>
  <r>
    <x v="0"/>
    <n v="32814"/>
  </r>
  <r>
    <x v="4"/>
    <n v="12565"/>
  </r>
  <r>
    <x v="2"/>
    <n v="40878"/>
  </r>
  <r>
    <x v="1"/>
    <n v="6048"/>
  </r>
  <r>
    <x v="2"/>
    <n v="16628"/>
  </r>
  <r>
    <x v="3"/>
    <n v="37370"/>
  </r>
  <r>
    <x v="3"/>
    <n v="39432"/>
  </r>
  <r>
    <x v="2"/>
    <n v="23724"/>
  </r>
  <r>
    <x v="3"/>
    <n v="35275"/>
  </r>
  <r>
    <x v="4"/>
    <n v="15802"/>
  </r>
  <r>
    <x v="2"/>
    <n v="12636"/>
  </r>
  <r>
    <x v="1"/>
    <n v="6215"/>
  </r>
  <r>
    <x v="1"/>
    <n v="22040"/>
  </r>
  <r>
    <x v="1"/>
    <n v="1736"/>
  </r>
  <r>
    <x v="1"/>
    <n v="24783"/>
  </r>
  <r>
    <x v="3"/>
    <n v="9242"/>
  </r>
  <r>
    <x v="2"/>
    <n v="45753"/>
  </r>
  <r>
    <x v="3"/>
    <n v="8645"/>
  </r>
  <r>
    <x v="4"/>
    <n v="39778"/>
  </r>
  <r>
    <x v="3"/>
    <n v="49146"/>
  </r>
  <r>
    <x v="1"/>
    <n v="46762"/>
  </r>
  <r>
    <x v="4"/>
    <n v="45727"/>
  </r>
  <r>
    <x v="1"/>
    <n v="25592"/>
  </r>
  <r>
    <x v="0"/>
    <n v="23318"/>
  </r>
  <r>
    <x v="4"/>
    <n v="29875"/>
  </r>
  <r>
    <x v="3"/>
    <n v="7163"/>
  </r>
  <r>
    <x v="1"/>
    <n v="36151"/>
  </r>
  <r>
    <x v="4"/>
    <n v="40101"/>
  </r>
  <r>
    <x v="4"/>
    <n v="12750"/>
  </r>
  <r>
    <x v="3"/>
    <n v="15867"/>
  </r>
  <r>
    <x v="4"/>
    <n v="3872"/>
  </r>
  <r>
    <x v="2"/>
    <n v="31778"/>
  </r>
  <r>
    <x v="3"/>
    <n v="5669"/>
  </r>
  <r>
    <x v="0"/>
    <n v="43621"/>
  </r>
  <r>
    <x v="3"/>
    <n v="25298"/>
  </r>
  <r>
    <x v="0"/>
    <n v="30778"/>
  </r>
  <r>
    <x v="4"/>
    <n v="49598"/>
  </r>
  <r>
    <x v="2"/>
    <n v="15210"/>
  </r>
  <r>
    <x v="2"/>
    <n v="15743"/>
  </r>
  <r>
    <x v="2"/>
    <n v="37735"/>
  </r>
  <r>
    <x v="4"/>
    <n v="12930"/>
  </r>
  <r>
    <x v="4"/>
    <n v="41405"/>
  </r>
  <r>
    <x v="0"/>
    <n v="36761"/>
  </r>
  <r>
    <x v="1"/>
    <n v="46202"/>
  </r>
  <r>
    <x v="2"/>
    <n v="38830"/>
  </r>
  <r>
    <x v="0"/>
    <n v="17610"/>
  </r>
  <r>
    <x v="3"/>
    <n v="26709"/>
  </r>
  <r>
    <x v="4"/>
    <n v="3530"/>
  </r>
  <r>
    <x v="3"/>
    <n v="20678"/>
  </r>
  <r>
    <x v="3"/>
    <n v="49040"/>
  </r>
  <r>
    <x v="4"/>
    <n v="29248"/>
  </r>
  <r>
    <x v="1"/>
    <n v="34068"/>
  </r>
  <r>
    <x v="4"/>
    <n v="34659"/>
  </r>
  <r>
    <x v="4"/>
    <n v="2467"/>
  </r>
  <r>
    <x v="3"/>
    <n v="30723"/>
  </r>
  <r>
    <x v="0"/>
    <n v="39231"/>
  </r>
  <r>
    <x v="3"/>
    <n v="11016"/>
  </r>
  <r>
    <x v="1"/>
    <n v="10976"/>
  </r>
  <r>
    <x v="0"/>
    <n v="33938"/>
  </r>
  <r>
    <x v="2"/>
    <n v="854"/>
  </r>
  <r>
    <x v="0"/>
    <n v="23153"/>
  </r>
  <r>
    <x v="2"/>
    <n v="41168"/>
  </r>
  <r>
    <x v="2"/>
    <n v="42724"/>
  </r>
  <r>
    <x v="3"/>
    <n v="18419"/>
  </r>
  <r>
    <x v="4"/>
    <n v="34201"/>
  </r>
  <r>
    <x v="1"/>
    <n v="43252"/>
  </r>
  <r>
    <x v="0"/>
    <n v="48582"/>
  </r>
  <r>
    <x v="2"/>
    <n v="42132"/>
  </r>
  <r>
    <x v="2"/>
    <n v="12170"/>
  </r>
  <r>
    <x v="2"/>
    <n v="12297"/>
  </r>
  <r>
    <x v="3"/>
    <n v="27856"/>
  </r>
  <r>
    <x v="0"/>
    <n v="8018"/>
  </r>
  <r>
    <x v="2"/>
    <n v="8152"/>
  </r>
  <r>
    <x v="4"/>
    <n v="9302"/>
  </r>
  <r>
    <x v="4"/>
    <n v="21034"/>
  </r>
  <r>
    <x v="3"/>
    <n v="41882"/>
  </r>
  <r>
    <x v="4"/>
    <n v="38067"/>
  </r>
  <r>
    <x v="0"/>
    <n v="26736"/>
  </r>
  <r>
    <x v="2"/>
    <n v="13368"/>
  </r>
  <r>
    <x v="1"/>
    <n v="44651"/>
  </r>
  <r>
    <x v="4"/>
    <n v="7031"/>
  </r>
  <r>
    <x v="1"/>
    <n v="19842"/>
  </r>
  <r>
    <x v="0"/>
    <n v="45308"/>
  </r>
  <r>
    <x v="4"/>
    <n v="26736"/>
  </r>
  <r>
    <x v="1"/>
    <n v="38946"/>
  </r>
  <r>
    <x v="3"/>
    <n v="35344"/>
  </r>
  <r>
    <x v="1"/>
    <n v="27613"/>
  </r>
  <r>
    <x v="0"/>
    <n v="46297"/>
  </r>
  <r>
    <x v="1"/>
    <n v="43716"/>
  </r>
  <r>
    <x v="3"/>
    <n v="7771"/>
  </r>
  <r>
    <x v="2"/>
    <n v="13516"/>
  </r>
  <r>
    <x v="2"/>
    <n v="32829"/>
  </r>
  <r>
    <x v="1"/>
    <n v="44316"/>
  </r>
  <r>
    <x v="2"/>
    <n v="5218"/>
  </r>
  <r>
    <x v="3"/>
    <n v="30726"/>
  </r>
  <r>
    <x v="3"/>
    <n v="44652"/>
  </r>
  <r>
    <x v="1"/>
    <n v="9369"/>
  </r>
  <r>
    <x v="1"/>
    <n v="24720"/>
  </r>
  <r>
    <x v="0"/>
    <n v="18114"/>
  </r>
  <r>
    <x v="4"/>
    <n v="45924"/>
  </r>
  <r>
    <x v="2"/>
    <n v="44759"/>
  </r>
  <r>
    <x v="4"/>
    <n v="31959"/>
  </r>
  <r>
    <x v="1"/>
    <n v="17445"/>
  </r>
  <r>
    <x v="3"/>
    <n v="34319"/>
  </r>
  <r>
    <x v="0"/>
    <n v="10042"/>
  </r>
  <r>
    <x v="0"/>
    <n v="11139"/>
  </r>
  <r>
    <x v="3"/>
    <n v="3599"/>
  </r>
  <r>
    <x v="1"/>
    <n v="30387"/>
  </r>
  <r>
    <x v="0"/>
    <n v="21013"/>
  </r>
  <r>
    <x v="0"/>
    <n v="2648"/>
  </r>
  <r>
    <x v="0"/>
    <n v="22638"/>
  </r>
  <r>
    <x v="2"/>
    <n v="40916"/>
  </r>
  <r>
    <x v="4"/>
    <n v="443"/>
  </r>
  <r>
    <x v="1"/>
    <n v="3300"/>
  </r>
  <r>
    <x v="3"/>
    <n v="40332"/>
  </r>
  <r>
    <x v="0"/>
    <n v="12789"/>
  </r>
  <r>
    <x v="0"/>
    <n v="30275"/>
  </r>
  <r>
    <x v="2"/>
    <n v="28664"/>
  </r>
  <r>
    <x v="4"/>
    <n v="7086"/>
  </r>
  <r>
    <x v="2"/>
    <n v="45684"/>
  </r>
  <r>
    <x v="0"/>
    <n v="9040"/>
  </r>
  <r>
    <x v="2"/>
    <n v="41756"/>
  </r>
  <r>
    <x v="4"/>
    <n v="46856"/>
  </r>
  <r>
    <x v="3"/>
    <n v="37149"/>
  </r>
  <r>
    <x v="0"/>
    <n v="1136"/>
  </r>
  <r>
    <x v="1"/>
    <n v="13400"/>
  </r>
  <r>
    <x v="1"/>
    <n v="45558"/>
  </r>
  <r>
    <x v="0"/>
    <n v="7016"/>
  </r>
  <r>
    <x v="1"/>
    <n v="25307"/>
  </r>
  <r>
    <x v="1"/>
    <n v="49037"/>
  </r>
  <r>
    <x v="2"/>
    <n v="36122"/>
  </r>
  <r>
    <x v="1"/>
    <n v="12553"/>
  </r>
  <r>
    <x v="0"/>
    <n v="18591"/>
  </r>
  <r>
    <x v="1"/>
    <n v="21963"/>
  </r>
  <r>
    <x v="2"/>
    <n v="3632"/>
  </r>
  <r>
    <x v="3"/>
    <n v="34732"/>
  </r>
  <r>
    <x v="0"/>
    <n v="35891"/>
  </r>
  <r>
    <x v="3"/>
    <n v="21996"/>
  </r>
  <r>
    <x v="2"/>
    <n v="49591"/>
  </r>
  <r>
    <x v="2"/>
    <n v="41006"/>
  </r>
  <r>
    <x v="0"/>
    <n v="17115"/>
  </r>
  <r>
    <x v="0"/>
    <n v="3173"/>
  </r>
  <r>
    <x v="1"/>
    <n v="11270"/>
  </r>
  <r>
    <x v="1"/>
    <n v="13772"/>
  </r>
  <r>
    <x v="3"/>
    <n v="2782"/>
  </r>
  <r>
    <x v="2"/>
    <n v="4916"/>
  </r>
  <r>
    <x v="0"/>
    <n v="28678"/>
  </r>
  <r>
    <x v="2"/>
    <n v="4444"/>
  </r>
  <r>
    <x v="3"/>
    <n v="45249"/>
  </r>
  <r>
    <x v="0"/>
    <n v="43601"/>
  </r>
  <r>
    <x v="4"/>
    <n v="49239"/>
  </r>
  <r>
    <x v="3"/>
    <n v="1030"/>
  </r>
  <r>
    <x v="2"/>
    <n v="36182"/>
  </r>
  <r>
    <x v="0"/>
    <n v="42631"/>
  </r>
  <r>
    <x v="4"/>
    <n v="7811"/>
  </r>
  <r>
    <x v="2"/>
    <n v="5093"/>
  </r>
  <r>
    <x v="2"/>
    <n v="32228"/>
  </r>
  <r>
    <x v="3"/>
    <n v="40900"/>
  </r>
  <r>
    <x v="3"/>
    <n v="40692"/>
  </r>
  <r>
    <x v="3"/>
    <n v="28369"/>
  </r>
  <r>
    <x v="0"/>
    <n v="18432"/>
  </r>
  <r>
    <x v="0"/>
    <n v="23810"/>
  </r>
  <r>
    <x v="2"/>
    <n v="5672"/>
  </r>
  <r>
    <x v="1"/>
    <n v="47972"/>
  </r>
  <r>
    <x v="2"/>
    <n v="14243"/>
  </r>
  <r>
    <x v="4"/>
    <n v="24274"/>
  </r>
  <r>
    <x v="2"/>
    <n v="33750"/>
  </r>
  <r>
    <x v="4"/>
    <n v="40541"/>
  </r>
  <r>
    <x v="4"/>
    <n v="37416"/>
  </r>
  <r>
    <x v="0"/>
    <n v="15487"/>
  </r>
  <r>
    <x v="4"/>
    <n v="34240"/>
  </r>
  <r>
    <x v="1"/>
    <n v="42801"/>
  </r>
  <r>
    <x v="2"/>
    <n v="35974"/>
  </r>
  <r>
    <x v="2"/>
    <n v="16787"/>
  </r>
  <r>
    <x v="3"/>
    <n v="32206"/>
  </r>
  <r>
    <x v="4"/>
    <n v="15372"/>
  </r>
  <r>
    <x v="4"/>
    <n v="10612"/>
  </r>
  <r>
    <x v="1"/>
    <n v="31856"/>
  </r>
  <r>
    <x v="1"/>
    <n v="16269"/>
  </r>
  <r>
    <x v="2"/>
    <n v="9924"/>
  </r>
  <r>
    <x v="2"/>
    <n v="37236"/>
  </r>
  <r>
    <x v="2"/>
    <n v="31194"/>
  </r>
  <r>
    <x v="2"/>
    <n v="12219"/>
  </r>
  <r>
    <x v="4"/>
    <n v="25086"/>
  </r>
  <r>
    <x v="2"/>
    <n v="33353"/>
  </r>
  <r>
    <x v="2"/>
    <n v="39609"/>
  </r>
  <r>
    <x v="0"/>
    <n v="43513"/>
  </r>
  <r>
    <x v="3"/>
    <n v="3146"/>
  </r>
  <r>
    <x v="2"/>
    <n v="48887"/>
  </r>
  <r>
    <x v="4"/>
    <n v="5793"/>
  </r>
  <r>
    <x v="1"/>
    <n v="46774"/>
  </r>
  <r>
    <x v="0"/>
    <n v="43196"/>
  </r>
  <r>
    <x v="4"/>
    <n v="28223"/>
  </r>
  <r>
    <x v="2"/>
    <n v="18359"/>
  </r>
  <r>
    <x v="4"/>
    <n v="24562"/>
  </r>
  <r>
    <x v="0"/>
    <n v="48520"/>
  </r>
  <r>
    <x v="1"/>
    <n v="14354"/>
  </r>
  <r>
    <x v="0"/>
    <n v="41972"/>
  </r>
  <r>
    <x v="1"/>
    <n v="4499"/>
  </r>
  <r>
    <x v="0"/>
    <n v="26556"/>
  </r>
  <r>
    <x v="1"/>
    <n v="13519"/>
  </r>
  <r>
    <x v="2"/>
    <n v="11407"/>
  </r>
  <r>
    <x v="1"/>
    <n v="18383"/>
  </r>
  <r>
    <x v="2"/>
    <n v="1307"/>
  </r>
  <r>
    <x v="3"/>
    <n v="18421"/>
  </r>
  <r>
    <x v="3"/>
    <n v="11771"/>
  </r>
  <r>
    <x v="2"/>
    <n v="19584"/>
  </r>
  <r>
    <x v="0"/>
    <n v="25012"/>
  </r>
  <r>
    <x v="2"/>
    <n v="2092"/>
  </r>
  <r>
    <x v="4"/>
    <n v="44662"/>
  </r>
  <r>
    <x v="3"/>
    <n v="16569"/>
  </r>
  <r>
    <x v="2"/>
    <n v="11997"/>
  </r>
  <r>
    <x v="4"/>
    <n v="49200"/>
  </r>
  <r>
    <x v="3"/>
    <n v="13851"/>
  </r>
  <r>
    <x v="1"/>
    <n v="8156"/>
  </r>
  <r>
    <x v="0"/>
    <n v="24626"/>
  </r>
  <r>
    <x v="2"/>
    <n v="18667"/>
  </r>
  <r>
    <x v="0"/>
    <n v="35739"/>
  </r>
  <r>
    <x v="0"/>
    <n v="8188"/>
  </r>
  <r>
    <x v="0"/>
    <n v="38376"/>
  </r>
  <r>
    <x v="2"/>
    <n v="17526"/>
  </r>
  <r>
    <x v="4"/>
    <n v="32987"/>
  </r>
  <r>
    <x v="0"/>
    <n v="18625"/>
  </r>
  <r>
    <x v="1"/>
    <n v="47539"/>
  </r>
  <r>
    <x v="4"/>
    <n v="9858"/>
  </r>
  <r>
    <x v="0"/>
    <n v="9112"/>
  </r>
  <r>
    <x v="0"/>
    <n v="6786"/>
  </r>
  <r>
    <x v="1"/>
    <n v="29781"/>
  </r>
  <r>
    <x v="3"/>
    <n v="1599"/>
  </r>
  <r>
    <x v="3"/>
    <n v="23572"/>
  </r>
  <r>
    <x v="0"/>
    <n v="40517"/>
  </r>
  <r>
    <x v="0"/>
    <n v="41671"/>
  </r>
  <r>
    <x v="4"/>
    <n v="20844"/>
  </r>
  <r>
    <x v="0"/>
    <n v="24100"/>
  </r>
  <r>
    <x v="4"/>
    <n v="47995"/>
  </r>
  <r>
    <x v="0"/>
    <n v="7050"/>
  </r>
  <r>
    <x v="1"/>
    <n v="26318"/>
  </r>
  <r>
    <x v="0"/>
    <n v="20574"/>
  </r>
  <r>
    <x v="4"/>
    <n v="34820"/>
  </r>
  <r>
    <x v="0"/>
    <n v="30917"/>
  </r>
  <r>
    <x v="2"/>
    <n v="39463"/>
  </r>
  <r>
    <x v="3"/>
    <n v="31865"/>
  </r>
  <r>
    <x v="0"/>
    <n v="17326"/>
  </r>
  <r>
    <x v="3"/>
    <n v="19093"/>
  </r>
  <r>
    <x v="3"/>
    <n v="898"/>
  </r>
  <r>
    <x v="4"/>
    <n v="27283"/>
  </r>
  <r>
    <x v="0"/>
    <n v="14756"/>
  </r>
  <r>
    <x v="3"/>
    <n v="42797"/>
  </r>
  <r>
    <x v="4"/>
    <n v="19278"/>
  </r>
  <r>
    <x v="4"/>
    <n v="21313"/>
  </r>
  <r>
    <x v="4"/>
    <n v="7002"/>
  </r>
  <r>
    <x v="4"/>
    <n v="6211"/>
  </r>
  <r>
    <x v="0"/>
    <n v="20719"/>
  </r>
  <r>
    <x v="1"/>
    <n v="49489"/>
  </r>
  <r>
    <x v="2"/>
    <n v="31111"/>
  </r>
  <r>
    <x v="1"/>
    <n v="47137"/>
  </r>
  <r>
    <x v="4"/>
    <n v="30501"/>
  </r>
  <r>
    <x v="3"/>
    <n v="21472"/>
  </r>
  <r>
    <x v="3"/>
    <n v="31837"/>
  </r>
  <r>
    <x v="1"/>
    <n v="15764"/>
  </r>
  <r>
    <x v="2"/>
    <n v="8141"/>
  </r>
  <r>
    <x v="2"/>
    <n v="10457"/>
  </r>
  <r>
    <x v="1"/>
    <n v="45254"/>
  </r>
  <r>
    <x v="2"/>
    <n v="7338"/>
  </r>
  <r>
    <x v="0"/>
    <n v="48350"/>
  </r>
  <r>
    <x v="3"/>
    <n v="2887"/>
  </r>
  <r>
    <x v="4"/>
    <n v="37439"/>
  </r>
  <r>
    <x v="3"/>
    <n v="39535"/>
  </r>
  <r>
    <x v="3"/>
    <n v="17558"/>
  </r>
  <r>
    <x v="4"/>
    <n v="1526"/>
  </r>
  <r>
    <x v="4"/>
    <n v="34645"/>
  </r>
  <r>
    <x v="0"/>
    <n v="42302"/>
  </r>
  <r>
    <x v="1"/>
    <n v="8804"/>
  </r>
  <r>
    <x v="4"/>
    <n v="6771"/>
  </r>
  <r>
    <x v="1"/>
    <n v="24309"/>
  </r>
  <r>
    <x v="1"/>
    <n v="30974"/>
  </r>
  <r>
    <x v="1"/>
    <n v="40731"/>
  </r>
  <r>
    <x v="1"/>
    <n v="14449"/>
  </r>
  <r>
    <x v="4"/>
    <n v="12956"/>
  </r>
  <r>
    <x v="1"/>
    <n v="42152"/>
  </r>
  <r>
    <x v="4"/>
    <n v="36342"/>
  </r>
  <r>
    <x v="3"/>
    <n v="20953"/>
  </r>
  <r>
    <x v="2"/>
    <n v="16075"/>
  </r>
  <r>
    <x v="0"/>
    <n v="29627"/>
  </r>
  <r>
    <x v="2"/>
    <n v="9152"/>
  </r>
  <r>
    <x v="3"/>
    <n v="1722"/>
  </r>
  <r>
    <x v="1"/>
    <n v="2773"/>
  </r>
  <r>
    <x v="3"/>
    <n v="38452"/>
  </r>
  <r>
    <x v="2"/>
    <n v="26501"/>
  </r>
  <r>
    <x v="0"/>
    <n v="45493"/>
  </r>
  <r>
    <x v="1"/>
    <n v="3964"/>
  </r>
  <r>
    <x v="4"/>
    <n v="49299"/>
  </r>
  <r>
    <x v="3"/>
    <n v="35684"/>
  </r>
  <r>
    <x v="1"/>
    <n v="44447"/>
  </r>
  <r>
    <x v="0"/>
    <n v="19291"/>
  </r>
  <r>
    <x v="0"/>
    <n v="37749"/>
  </r>
  <r>
    <x v="0"/>
    <n v="33187"/>
  </r>
  <r>
    <x v="0"/>
    <n v="26207"/>
  </r>
  <r>
    <x v="1"/>
    <n v="17749"/>
  </r>
  <r>
    <x v="0"/>
    <n v="24238"/>
  </r>
  <r>
    <x v="3"/>
    <n v="11392"/>
  </r>
  <r>
    <x v="4"/>
    <n v="13386"/>
  </r>
  <r>
    <x v="4"/>
    <n v="40998"/>
  </r>
  <r>
    <x v="3"/>
    <n v="29795"/>
  </r>
  <r>
    <x v="4"/>
    <n v="36110"/>
  </r>
  <r>
    <x v="0"/>
    <n v="38507"/>
  </r>
  <r>
    <x v="4"/>
    <n v="45947"/>
  </r>
  <r>
    <x v="0"/>
    <n v="43578"/>
  </r>
  <r>
    <x v="0"/>
    <n v="15449"/>
  </r>
  <r>
    <x v="2"/>
    <n v="35136"/>
  </r>
  <r>
    <x v="2"/>
    <n v="46992"/>
  </r>
  <r>
    <x v="3"/>
    <n v="32408"/>
  </r>
  <r>
    <x v="3"/>
    <n v="41275"/>
  </r>
  <r>
    <x v="3"/>
    <n v="25673"/>
  </r>
  <r>
    <x v="3"/>
    <n v="26045"/>
  </r>
  <r>
    <x v="0"/>
    <n v="16052"/>
  </r>
  <r>
    <x v="2"/>
    <n v="8935"/>
  </r>
  <r>
    <x v="3"/>
    <n v="45423"/>
  </r>
  <r>
    <x v="3"/>
    <n v="4744"/>
  </r>
  <r>
    <x v="3"/>
    <n v="27434"/>
  </r>
  <r>
    <x v="4"/>
    <n v="7297"/>
  </r>
  <r>
    <x v="2"/>
    <n v="15516"/>
  </r>
  <r>
    <x v="4"/>
    <n v="33220"/>
  </r>
  <r>
    <x v="0"/>
    <n v="9312"/>
  </r>
  <r>
    <x v="1"/>
    <n v="17985"/>
  </r>
  <r>
    <x v="4"/>
    <n v="29088"/>
  </r>
  <r>
    <x v="0"/>
    <n v="3041"/>
  </r>
  <r>
    <x v="2"/>
    <n v="7464"/>
  </r>
  <r>
    <x v="1"/>
    <n v="36849"/>
  </r>
  <r>
    <x v="0"/>
    <n v="26385"/>
  </r>
  <r>
    <x v="3"/>
    <n v="40482"/>
  </r>
  <r>
    <x v="1"/>
    <n v="47659"/>
  </r>
  <r>
    <x v="0"/>
    <n v="21498"/>
  </r>
  <r>
    <x v="0"/>
    <n v="6210"/>
  </r>
  <r>
    <x v="1"/>
    <n v="46583"/>
  </r>
  <r>
    <x v="2"/>
    <n v="40412"/>
  </r>
  <r>
    <x v="4"/>
    <n v="22267"/>
  </r>
  <r>
    <x v="0"/>
    <n v="20489"/>
  </r>
  <r>
    <x v="4"/>
    <n v="13594"/>
  </r>
  <r>
    <x v="0"/>
    <n v="35918"/>
  </r>
  <r>
    <x v="0"/>
    <n v="27179"/>
  </r>
  <r>
    <x v="2"/>
    <n v="41498"/>
  </r>
  <r>
    <x v="3"/>
    <n v="2706"/>
  </r>
  <r>
    <x v="1"/>
    <n v="7436"/>
  </r>
  <r>
    <x v="0"/>
    <n v="49408"/>
  </r>
  <r>
    <x v="3"/>
    <n v="25134"/>
  </r>
  <r>
    <x v="0"/>
    <n v="9117"/>
  </r>
  <r>
    <x v="2"/>
    <n v="14052"/>
  </r>
  <r>
    <x v="0"/>
    <n v="47752"/>
  </r>
  <r>
    <x v="4"/>
    <n v="40558"/>
  </r>
  <r>
    <x v="2"/>
    <n v="15551"/>
  </r>
  <r>
    <x v="0"/>
    <n v="41290"/>
  </r>
  <r>
    <x v="3"/>
    <n v="23214"/>
  </r>
  <r>
    <x v="1"/>
    <n v="20470"/>
  </r>
  <r>
    <x v="1"/>
    <n v="45246"/>
  </r>
  <r>
    <x v="4"/>
    <n v="13015"/>
  </r>
  <r>
    <x v="4"/>
    <n v="31855"/>
  </r>
  <r>
    <x v="0"/>
    <n v="48966"/>
  </r>
  <r>
    <x v="2"/>
    <n v="35419"/>
  </r>
  <r>
    <x v="4"/>
    <n v="18680"/>
  </r>
  <r>
    <x v="2"/>
    <n v="39994"/>
  </r>
  <r>
    <x v="1"/>
    <n v="18092"/>
  </r>
  <r>
    <x v="0"/>
    <n v="20133"/>
  </r>
  <r>
    <x v="3"/>
    <n v="2750"/>
  </r>
  <r>
    <x v="0"/>
    <n v="33071"/>
  </r>
  <r>
    <x v="3"/>
    <n v="9690"/>
  </r>
  <r>
    <x v="0"/>
    <n v="25700"/>
  </r>
  <r>
    <x v="3"/>
    <n v="30897"/>
  </r>
  <r>
    <x v="2"/>
    <n v="20756"/>
  </r>
  <r>
    <x v="3"/>
    <n v="35183"/>
  </r>
  <r>
    <x v="4"/>
    <n v="18233"/>
  </r>
  <r>
    <x v="4"/>
    <n v="35855"/>
  </r>
  <r>
    <x v="3"/>
    <n v="37923"/>
  </r>
  <r>
    <x v="2"/>
    <n v="29374"/>
  </r>
  <r>
    <x v="1"/>
    <n v="25439"/>
  </r>
  <r>
    <x v="2"/>
    <n v="39146"/>
  </r>
  <r>
    <x v="2"/>
    <n v="5447"/>
  </r>
  <r>
    <x v="1"/>
    <n v="30157"/>
  </r>
  <r>
    <x v="4"/>
    <n v="40731"/>
  </r>
  <r>
    <x v="3"/>
    <n v="30006"/>
  </r>
  <r>
    <x v="3"/>
    <n v="31668"/>
  </r>
  <r>
    <x v="2"/>
    <n v="7045"/>
  </r>
  <r>
    <x v="3"/>
    <n v="35214"/>
  </r>
  <r>
    <x v="2"/>
    <n v="10721"/>
  </r>
  <r>
    <x v="2"/>
    <n v="28555"/>
  </r>
  <r>
    <x v="4"/>
    <n v="43724"/>
  </r>
  <r>
    <x v="3"/>
    <n v="36678"/>
  </r>
  <r>
    <x v="1"/>
    <n v="39507"/>
  </r>
  <r>
    <x v="1"/>
    <n v="14561"/>
  </r>
  <r>
    <x v="0"/>
    <n v="35116"/>
  </r>
  <r>
    <x v="3"/>
    <n v="19943"/>
  </r>
  <r>
    <x v="2"/>
    <n v="33751"/>
  </r>
  <r>
    <x v="2"/>
    <n v="3781"/>
  </r>
  <r>
    <x v="1"/>
    <n v="15716"/>
  </r>
  <r>
    <x v="0"/>
    <n v="28820"/>
  </r>
  <r>
    <x v="2"/>
    <n v="25504"/>
  </r>
  <r>
    <x v="4"/>
    <n v="1060"/>
  </r>
  <r>
    <x v="4"/>
    <n v="5848"/>
  </r>
  <r>
    <x v="0"/>
    <n v="33685"/>
  </r>
  <r>
    <x v="4"/>
    <n v="12476"/>
  </r>
  <r>
    <x v="0"/>
    <n v="36093"/>
  </r>
  <r>
    <x v="3"/>
    <n v="7716"/>
  </r>
  <r>
    <x v="0"/>
    <n v="34178"/>
  </r>
  <r>
    <x v="1"/>
    <n v="45131"/>
  </r>
  <r>
    <x v="0"/>
    <n v="30055"/>
  </r>
  <r>
    <x v="3"/>
    <n v="19253"/>
  </r>
  <r>
    <x v="1"/>
    <n v="41541"/>
  </r>
  <r>
    <x v="3"/>
    <n v="48624"/>
  </r>
  <r>
    <x v="2"/>
    <n v="5337"/>
  </r>
  <r>
    <x v="3"/>
    <n v="1230"/>
  </r>
  <r>
    <x v="4"/>
    <n v="17421"/>
  </r>
  <r>
    <x v="3"/>
    <n v="5831"/>
  </r>
  <r>
    <x v="4"/>
    <n v="43597"/>
  </r>
  <r>
    <x v="1"/>
    <n v="42391"/>
  </r>
  <r>
    <x v="0"/>
    <n v="31510"/>
  </r>
  <r>
    <x v="0"/>
    <n v="31402"/>
  </r>
  <r>
    <x v="3"/>
    <n v="29713"/>
  </r>
  <r>
    <x v="2"/>
    <n v="42074"/>
  </r>
  <r>
    <x v="3"/>
    <n v="6740"/>
  </r>
  <r>
    <x v="2"/>
    <n v="13074"/>
  </r>
  <r>
    <x v="1"/>
    <n v="4753"/>
  </r>
  <r>
    <x v="0"/>
    <n v="23336"/>
  </r>
  <r>
    <x v="1"/>
    <n v="40892"/>
  </r>
  <r>
    <x v="1"/>
    <n v="39928"/>
  </r>
  <r>
    <x v="3"/>
    <n v="19604"/>
  </r>
  <r>
    <x v="3"/>
    <n v="17164"/>
  </r>
  <r>
    <x v="0"/>
    <n v="22100"/>
  </r>
  <r>
    <x v="1"/>
    <n v="32525"/>
  </r>
  <r>
    <x v="4"/>
    <n v="35730"/>
  </r>
  <r>
    <x v="1"/>
    <n v="2584"/>
  </r>
  <r>
    <x v="0"/>
    <n v="10055"/>
  </r>
  <r>
    <x v="3"/>
    <n v="25946"/>
  </r>
  <r>
    <x v="0"/>
    <n v="47994"/>
  </r>
  <r>
    <x v="0"/>
    <n v="8243"/>
  </r>
  <r>
    <x v="1"/>
    <n v="24243"/>
  </r>
  <r>
    <x v="4"/>
    <n v="36638"/>
  </r>
  <r>
    <x v="1"/>
    <n v="41628"/>
  </r>
  <r>
    <x v="4"/>
    <n v="2639"/>
  </r>
  <r>
    <x v="1"/>
    <n v="35725"/>
  </r>
  <r>
    <x v="1"/>
    <n v="22535"/>
  </r>
  <r>
    <x v="4"/>
    <n v="43150"/>
  </r>
  <r>
    <x v="1"/>
    <n v="2716"/>
  </r>
  <r>
    <x v="4"/>
    <n v="46260"/>
  </r>
  <r>
    <x v="1"/>
    <n v="30196"/>
  </r>
  <r>
    <x v="2"/>
    <n v="40645"/>
  </r>
  <r>
    <x v="0"/>
    <n v="21549"/>
  </r>
  <r>
    <x v="4"/>
    <n v="3287"/>
  </r>
  <r>
    <x v="4"/>
    <n v="49946"/>
  </r>
  <r>
    <x v="0"/>
    <n v="16267"/>
  </r>
  <r>
    <x v="1"/>
    <n v="32213"/>
  </r>
  <r>
    <x v="2"/>
    <n v="18894"/>
  </r>
  <r>
    <x v="3"/>
    <n v="34581"/>
  </r>
  <r>
    <x v="2"/>
    <n v="12096"/>
  </r>
  <r>
    <x v="1"/>
    <n v="36850"/>
  </r>
  <r>
    <x v="2"/>
    <n v="24017"/>
  </r>
  <r>
    <x v="4"/>
    <n v="7684"/>
  </r>
  <r>
    <x v="1"/>
    <n v="3840"/>
  </r>
  <r>
    <x v="3"/>
    <n v="40723"/>
  </r>
  <r>
    <x v="4"/>
    <n v="2204"/>
  </r>
  <r>
    <x v="0"/>
    <n v="39143"/>
  </r>
  <r>
    <x v="1"/>
    <n v="21673"/>
  </r>
  <r>
    <x v="0"/>
    <n v="14761"/>
  </r>
  <r>
    <x v="4"/>
    <n v="14466"/>
  </r>
  <r>
    <x v="0"/>
    <n v="47474"/>
  </r>
  <r>
    <x v="4"/>
    <n v="2403"/>
  </r>
  <r>
    <x v="0"/>
    <n v="27708"/>
  </r>
  <r>
    <x v="2"/>
    <n v="11436"/>
  </r>
  <r>
    <x v="4"/>
    <n v="39069"/>
  </r>
  <r>
    <x v="4"/>
    <n v="16541"/>
  </r>
  <r>
    <x v="0"/>
    <n v="3198"/>
  </r>
  <r>
    <x v="2"/>
    <n v="26142"/>
  </r>
  <r>
    <x v="1"/>
    <n v="36901"/>
  </r>
  <r>
    <x v="3"/>
    <n v="15967"/>
  </r>
  <r>
    <x v="0"/>
    <n v="37680"/>
  </r>
  <r>
    <x v="4"/>
    <n v="24575"/>
  </r>
  <r>
    <x v="2"/>
    <n v="2443"/>
  </r>
  <r>
    <x v="1"/>
    <n v="40962"/>
  </r>
  <r>
    <x v="1"/>
    <n v="25397"/>
  </r>
  <r>
    <x v="4"/>
    <n v="42778"/>
  </r>
  <r>
    <x v="4"/>
    <n v="35665"/>
  </r>
  <r>
    <x v="3"/>
    <n v="17821"/>
  </r>
  <r>
    <x v="3"/>
    <n v="29949"/>
  </r>
  <r>
    <x v="2"/>
    <n v="44753"/>
  </r>
  <r>
    <x v="0"/>
    <n v="6021"/>
  </r>
  <r>
    <x v="1"/>
    <n v="11098"/>
  </r>
  <r>
    <x v="4"/>
    <n v="34423"/>
  </r>
  <r>
    <x v="0"/>
    <n v="23021"/>
  </r>
  <r>
    <x v="1"/>
    <n v="1744"/>
  </r>
  <r>
    <x v="3"/>
    <n v="32160"/>
  </r>
  <r>
    <x v="3"/>
    <n v="11554"/>
  </r>
  <r>
    <x v="1"/>
    <n v="10021"/>
  </r>
  <r>
    <x v="2"/>
    <n v="18993"/>
  </r>
  <r>
    <x v="1"/>
    <n v="2996"/>
  </r>
  <r>
    <x v="3"/>
    <n v="12391"/>
  </r>
  <r>
    <x v="4"/>
    <n v="24739"/>
  </r>
  <r>
    <x v="1"/>
    <n v="1933"/>
  </r>
  <r>
    <x v="4"/>
    <n v="581"/>
  </r>
  <r>
    <x v="2"/>
    <n v="48045"/>
  </r>
  <r>
    <x v="4"/>
    <n v="44733"/>
  </r>
  <r>
    <x v="0"/>
    <n v="23722"/>
  </r>
  <r>
    <x v="3"/>
    <n v="13126"/>
  </r>
  <r>
    <x v="2"/>
    <n v="26148"/>
  </r>
  <r>
    <x v="3"/>
    <n v="26354"/>
  </r>
  <r>
    <x v="1"/>
    <n v="18954"/>
  </r>
  <r>
    <x v="4"/>
    <n v="48000"/>
  </r>
  <r>
    <x v="0"/>
    <n v="48049"/>
  </r>
  <r>
    <x v="3"/>
    <n v="31404"/>
  </r>
  <r>
    <x v="0"/>
    <n v="42164"/>
  </r>
  <r>
    <x v="2"/>
    <n v="49795"/>
  </r>
  <r>
    <x v="2"/>
    <n v="32451"/>
  </r>
  <r>
    <x v="4"/>
    <n v="2058"/>
  </r>
  <r>
    <x v="1"/>
    <n v="43148"/>
  </r>
  <r>
    <x v="1"/>
    <n v="8122"/>
  </r>
  <r>
    <x v="2"/>
    <n v="28878"/>
  </r>
  <r>
    <x v="3"/>
    <n v="10972"/>
  </r>
  <r>
    <x v="3"/>
    <n v="11002"/>
  </r>
  <r>
    <x v="1"/>
    <n v="19296"/>
  </r>
  <r>
    <x v="4"/>
    <n v="6493"/>
  </r>
  <r>
    <x v="3"/>
    <n v="45221"/>
  </r>
  <r>
    <x v="4"/>
    <n v="1145"/>
  </r>
  <r>
    <x v="0"/>
    <n v="22602"/>
  </r>
  <r>
    <x v="4"/>
    <n v="36912"/>
  </r>
  <r>
    <x v="4"/>
    <n v="1438"/>
  </r>
  <r>
    <x v="0"/>
    <n v="39467"/>
  </r>
  <r>
    <x v="4"/>
    <n v="8735"/>
  </r>
  <r>
    <x v="4"/>
    <n v="5451"/>
  </r>
  <r>
    <x v="0"/>
    <n v="3086"/>
  </r>
  <r>
    <x v="0"/>
    <n v="8093"/>
  </r>
  <r>
    <x v="1"/>
    <n v="8412"/>
  </r>
  <r>
    <x v="1"/>
    <n v="6249"/>
  </r>
  <r>
    <x v="2"/>
    <n v="48046"/>
  </r>
  <r>
    <x v="2"/>
    <n v="14521"/>
  </r>
  <r>
    <x v="1"/>
    <n v="14325"/>
  </r>
  <r>
    <x v="4"/>
    <n v="23553"/>
  </r>
  <r>
    <x v="0"/>
    <n v="7695"/>
  </r>
  <r>
    <x v="0"/>
    <n v="23974"/>
  </r>
  <r>
    <x v="0"/>
    <n v="7883"/>
  </r>
  <r>
    <x v="4"/>
    <n v="36601"/>
  </r>
  <r>
    <x v="0"/>
    <n v="44807"/>
  </r>
  <r>
    <x v="0"/>
    <n v="29008"/>
  </r>
  <r>
    <x v="2"/>
    <n v="6966"/>
  </r>
  <r>
    <x v="4"/>
    <n v="39291"/>
  </r>
  <r>
    <x v="3"/>
    <n v="47059"/>
  </r>
  <r>
    <x v="0"/>
    <n v="33816"/>
  </r>
  <r>
    <x v="3"/>
    <n v="32369"/>
  </r>
  <r>
    <x v="1"/>
    <n v="4771"/>
  </r>
  <r>
    <x v="4"/>
    <n v="20141"/>
  </r>
  <r>
    <x v="4"/>
    <n v="19538"/>
  </r>
  <r>
    <x v="2"/>
    <n v="36123"/>
  </r>
  <r>
    <x v="0"/>
    <n v="20914"/>
  </r>
  <r>
    <x v="4"/>
    <n v="36781"/>
  </r>
  <r>
    <x v="3"/>
    <n v="47205"/>
  </r>
  <r>
    <x v="2"/>
    <n v="45216"/>
  </r>
  <r>
    <x v="0"/>
    <n v="17561"/>
  </r>
  <r>
    <x v="1"/>
    <n v="2144"/>
  </r>
  <r>
    <x v="3"/>
    <n v="25241"/>
  </r>
  <r>
    <x v="3"/>
    <n v="3999"/>
  </r>
  <r>
    <x v="1"/>
    <n v="20282"/>
  </r>
  <r>
    <x v="1"/>
    <n v="30506"/>
  </r>
  <r>
    <x v="1"/>
    <n v="45910"/>
  </r>
  <r>
    <x v="2"/>
    <n v="25878"/>
  </r>
  <r>
    <x v="4"/>
    <n v="22317"/>
  </r>
  <r>
    <x v="3"/>
    <n v="28873"/>
  </r>
  <r>
    <x v="3"/>
    <n v="17677"/>
  </r>
  <r>
    <x v="2"/>
    <n v="6508"/>
  </r>
  <r>
    <x v="0"/>
    <n v="14045"/>
  </r>
  <r>
    <x v="0"/>
    <n v="43780"/>
  </r>
  <r>
    <x v="2"/>
    <n v="34075"/>
  </r>
  <r>
    <x v="2"/>
    <n v="33015"/>
  </r>
  <r>
    <x v="2"/>
    <n v="47919"/>
  </r>
  <r>
    <x v="4"/>
    <n v="16053"/>
  </r>
  <r>
    <x v="1"/>
    <n v="41845"/>
  </r>
  <r>
    <x v="3"/>
    <n v="45313"/>
  </r>
  <r>
    <x v="4"/>
    <n v="2115"/>
  </r>
  <r>
    <x v="0"/>
    <n v="42696"/>
  </r>
  <r>
    <x v="1"/>
    <n v="17234"/>
  </r>
  <r>
    <x v="1"/>
    <n v="3925"/>
  </r>
  <r>
    <x v="3"/>
    <n v="44318"/>
  </r>
  <r>
    <x v="2"/>
    <n v="48434"/>
  </r>
  <r>
    <x v="1"/>
    <n v="15902"/>
  </r>
  <r>
    <x v="4"/>
    <n v="28013"/>
  </r>
  <r>
    <x v="3"/>
    <n v="29101"/>
  </r>
  <r>
    <x v="1"/>
    <n v="21041"/>
  </r>
  <r>
    <x v="3"/>
    <n v="31444"/>
  </r>
  <r>
    <x v="4"/>
    <n v="16879"/>
  </r>
  <r>
    <x v="0"/>
    <n v="25758"/>
  </r>
  <r>
    <x v="4"/>
    <n v="19791"/>
  </r>
  <r>
    <x v="1"/>
    <n v="18259"/>
  </r>
  <r>
    <x v="0"/>
    <n v="6879"/>
  </r>
  <r>
    <x v="0"/>
    <n v="39760"/>
  </r>
  <r>
    <x v="0"/>
    <n v="42315"/>
  </r>
  <r>
    <x v="3"/>
    <n v="38036"/>
  </r>
  <r>
    <x v="2"/>
    <n v="45241"/>
  </r>
  <r>
    <x v="3"/>
    <n v="11669"/>
  </r>
  <r>
    <x v="3"/>
    <n v="12220"/>
  </r>
  <r>
    <x v="2"/>
    <n v="42708"/>
  </r>
  <r>
    <x v="4"/>
    <n v="3562"/>
  </r>
  <r>
    <x v="3"/>
    <n v="11449"/>
  </r>
  <r>
    <x v="0"/>
    <n v="8066"/>
  </r>
  <r>
    <x v="0"/>
    <n v="25339"/>
  </r>
  <r>
    <x v="4"/>
    <n v="27715"/>
  </r>
  <r>
    <x v="3"/>
    <n v="15732"/>
  </r>
  <r>
    <x v="1"/>
    <n v="976"/>
  </r>
  <r>
    <x v="0"/>
    <n v="46729"/>
  </r>
  <r>
    <x v="1"/>
    <n v="22114"/>
  </r>
  <r>
    <x v="3"/>
    <n v="33365"/>
  </r>
  <r>
    <x v="2"/>
    <n v="2995"/>
  </r>
  <r>
    <x v="3"/>
    <n v="30976"/>
  </r>
  <r>
    <x v="4"/>
    <n v="17365"/>
  </r>
  <r>
    <x v="3"/>
    <n v="49309"/>
  </r>
  <r>
    <x v="2"/>
    <n v="20813"/>
  </r>
  <r>
    <x v="2"/>
    <n v="43384"/>
  </r>
  <r>
    <x v="4"/>
    <n v="12302"/>
  </r>
  <r>
    <x v="0"/>
    <n v="7903"/>
  </r>
  <r>
    <x v="0"/>
    <n v="32608"/>
  </r>
  <r>
    <x v="4"/>
    <n v="18919"/>
  </r>
  <r>
    <x v="2"/>
    <n v="570"/>
  </r>
  <r>
    <x v="1"/>
    <n v="21838"/>
  </r>
  <r>
    <x v="2"/>
    <n v="7251"/>
  </r>
  <r>
    <x v="0"/>
    <n v="30056"/>
  </r>
  <r>
    <x v="3"/>
    <n v="48242"/>
  </r>
  <r>
    <x v="1"/>
    <n v="49045"/>
  </r>
  <r>
    <x v="3"/>
    <n v="11966"/>
  </r>
  <r>
    <x v="4"/>
    <n v="25760"/>
  </r>
  <r>
    <x v="0"/>
    <n v="28635"/>
  </r>
  <r>
    <x v="2"/>
    <n v="13398"/>
  </r>
  <r>
    <x v="2"/>
    <n v="39643"/>
  </r>
  <r>
    <x v="0"/>
    <n v="41632"/>
  </r>
  <r>
    <x v="0"/>
    <n v="44631"/>
  </r>
  <r>
    <x v="3"/>
    <n v="30985"/>
  </r>
  <r>
    <x v="4"/>
    <n v="45147"/>
  </r>
  <r>
    <x v="2"/>
    <n v="3427"/>
  </r>
  <r>
    <x v="0"/>
    <n v="6492"/>
  </r>
  <r>
    <x v="2"/>
    <n v="5658"/>
  </r>
  <r>
    <x v="0"/>
    <n v="3266"/>
  </r>
  <r>
    <x v="0"/>
    <n v="41182"/>
  </r>
  <r>
    <x v="1"/>
    <n v="49257"/>
  </r>
  <r>
    <x v="1"/>
    <n v="26182"/>
  </r>
  <r>
    <x v="0"/>
    <n v="43404"/>
  </r>
  <r>
    <x v="1"/>
    <n v="8497"/>
  </r>
  <r>
    <x v="4"/>
    <n v="2057"/>
  </r>
  <r>
    <x v="2"/>
    <n v="12811"/>
  </r>
  <r>
    <x v="0"/>
    <n v="1729"/>
  </r>
  <r>
    <x v="0"/>
    <n v="1586"/>
  </r>
  <r>
    <x v="2"/>
    <n v="25972"/>
  </r>
  <r>
    <x v="0"/>
    <n v="32786"/>
  </r>
  <r>
    <x v="2"/>
    <n v="39034"/>
  </r>
  <r>
    <x v="0"/>
    <n v="38075"/>
  </r>
  <r>
    <x v="0"/>
    <n v="7963"/>
  </r>
  <r>
    <x v="4"/>
    <n v="19175"/>
  </r>
  <r>
    <x v="2"/>
    <n v="14698"/>
  </r>
  <r>
    <x v="0"/>
    <n v="44412"/>
  </r>
  <r>
    <x v="1"/>
    <n v="44016"/>
  </r>
  <r>
    <x v="2"/>
    <n v="32555"/>
  </r>
  <r>
    <x v="4"/>
    <n v="36792"/>
  </r>
  <r>
    <x v="4"/>
    <n v="11750"/>
  </r>
  <r>
    <x v="2"/>
    <n v="15156"/>
  </r>
  <r>
    <x v="3"/>
    <n v="23581"/>
  </r>
  <r>
    <x v="1"/>
    <n v="28993"/>
  </r>
  <r>
    <x v="2"/>
    <n v="7208"/>
  </r>
  <r>
    <x v="3"/>
    <n v="46710"/>
  </r>
  <r>
    <x v="3"/>
    <n v="22228"/>
  </r>
  <r>
    <x v="1"/>
    <n v="16377"/>
  </r>
  <r>
    <x v="1"/>
    <n v="17733"/>
  </r>
  <r>
    <x v="2"/>
    <n v="27937"/>
  </r>
  <r>
    <x v="0"/>
    <n v="34126"/>
  </r>
  <r>
    <x v="2"/>
    <n v="4860"/>
  </r>
  <r>
    <x v="0"/>
    <n v="4328"/>
  </r>
  <r>
    <x v="2"/>
    <n v="19680"/>
  </r>
  <r>
    <x v="3"/>
    <n v="817"/>
  </r>
  <r>
    <x v="4"/>
    <n v="35979"/>
  </r>
  <r>
    <x v="1"/>
    <n v="2722"/>
  </r>
  <r>
    <x v="4"/>
    <n v="6383"/>
  </r>
  <r>
    <x v="1"/>
    <n v="35685"/>
  </r>
  <r>
    <x v="1"/>
    <n v="24743"/>
  </r>
  <r>
    <x v="1"/>
    <n v="29708"/>
  </r>
  <r>
    <x v="4"/>
    <n v="49174"/>
  </r>
  <r>
    <x v="0"/>
    <n v="34356"/>
  </r>
  <r>
    <x v="3"/>
    <n v="30073"/>
  </r>
  <r>
    <x v="1"/>
    <n v="4375"/>
  </r>
  <r>
    <x v="1"/>
    <n v="24502"/>
  </r>
  <r>
    <x v="3"/>
    <n v="38592"/>
  </r>
  <r>
    <x v="4"/>
    <n v="9759"/>
  </r>
  <r>
    <x v="4"/>
    <n v="30147"/>
  </r>
  <r>
    <x v="1"/>
    <n v="39726"/>
  </r>
  <r>
    <x v="1"/>
    <n v="34560"/>
  </r>
  <r>
    <x v="3"/>
    <n v="19566"/>
  </r>
  <r>
    <x v="1"/>
    <n v="20299"/>
  </r>
  <r>
    <x v="1"/>
    <n v="36183"/>
  </r>
  <r>
    <x v="2"/>
    <n v="20596"/>
  </r>
  <r>
    <x v="4"/>
    <n v="33380"/>
  </r>
  <r>
    <x v="1"/>
    <n v="41244"/>
  </r>
  <r>
    <x v="2"/>
    <n v="3302"/>
  </r>
  <r>
    <x v="2"/>
    <n v="41594"/>
  </r>
  <r>
    <x v="4"/>
    <n v="40847"/>
  </r>
  <r>
    <x v="2"/>
    <n v="1523"/>
  </r>
  <r>
    <x v="4"/>
    <n v="16375"/>
  </r>
  <r>
    <x v="2"/>
    <n v="3248"/>
  </r>
  <r>
    <x v="0"/>
    <n v="1876"/>
  </r>
  <r>
    <x v="1"/>
    <n v="35806"/>
  </r>
  <r>
    <x v="1"/>
    <n v="10407"/>
  </r>
  <r>
    <x v="4"/>
    <n v="2080"/>
  </r>
  <r>
    <x v="4"/>
    <n v="27354"/>
  </r>
  <r>
    <x v="4"/>
    <n v="16003"/>
  </r>
  <r>
    <x v="1"/>
    <n v="17948"/>
  </r>
  <r>
    <x v="1"/>
    <n v="32030"/>
  </r>
  <r>
    <x v="2"/>
    <n v="38715"/>
  </r>
  <r>
    <x v="2"/>
    <n v="26956"/>
  </r>
  <r>
    <x v="3"/>
    <n v="35718"/>
  </r>
  <r>
    <x v="1"/>
    <n v="365"/>
  </r>
  <r>
    <x v="0"/>
    <n v="18211"/>
  </r>
  <r>
    <x v="1"/>
    <n v="10878"/>
  </r>
  <r>
    <x v="4"/>
    <n v="47818"/>
  </r>
  <r>
    <x v="3"/>
    <n v="41926"/>
  </r>
  <r>
    <x v="3"/>
    <n v="14103"/>
  </r>
  <r>
    <x v="2"/>
    <n v="31529"/>
  </r>
  <r>
    <x v="0"/>
    <n v="35566"/>
  </r>
  <r>
    <x v="1"/>
    <n v="23433"/>
  </r>
  <r>
    <x v="1"/>
    <n v="30623"/>
  </r>
  <r>
    <x v="1"/>
    <n v="18724"/>
  </r>
  <r>
    <x v="4"/>
    <n v="32662"/>
  </r>
  <r>
    <x v="1"/>
    <n v="13150"/>
  </r>
  <r>
    <x v="4"/>
    <n v="36461"/>
  </r>
  <r>
    <x v="1"/>
    <n v="8651"/>
  </r>
  <r>
    <x v="4"/>
    <n v="44732"/>
  </r>
  <r>
    <x v="1"/>
    <n v="28291"/>
  </r>
  <r>
    <x v="1"/>
    <n v="44875"/>
  </r>
  <r>
    <x v="4"/>
    <n v="3377"/>
  </r>
  <r>
    <x v="1"/>
    <n v="25980"/>
  </r>
  <r>
    <x v="4"/>
    <n v="45490"/>
  </r>
  <r>
    <x v="3"/>
    <n v="20668"/>
  </r>
  <r>
    <x v="1"/>
    <n v="39132"/>
  </r>
  <r>
    <x v="4"/>
    <n v="22634"/>
  </r>
  <r>
    <x v="2"/>
    <n v="40903"/>
  </r>
  <r>
    <x v="1"/>
    <n v="4277"/>
  </r>
  <r>
    <x v="1"/>
    <n v="29261"/>
  </r>
  <r>
    <x v="1"/>
    <n v="36951"/>
  </r>
  <r>
    <x v="2"/>
    <n v="49580"/>
  </r>
  <r>
    <x v="0"/>
    <n v="28356"/>
  </r>
  <r>
    <x v="2"/>
    <n v="12914"/>
  </r>
  <r>
    <x v="2"/>
    <n v="8556"/>
  </r>
  <r>
    <x v="4"/>
    <n v="16235"/>
  </r>
  <r>
    <x v="2"/>
    <n v="28863"/>
  </r>
  <r>
    <x v="0"/>
    <n v="20529"/>
  </r>
  <r>
    <x v="1"/>
    <n v="15857"/>
  </r>
  <r>
    <x v="4"/>
    <n v="4782"/>
  </r>
  <r>
    <x v="2"/>
    <n v="37399"/>
  </r>
  <r>
    <x v="1"/>
    <n v="30073"/>
  </r>
  <r>
    <x v="4"/>
    <n v="30874"/>
  </r>
  <r>
    <x v="4"/>
    <n v="26534"/>
  </r>
  <r>
    <x v="3"/>
    <n v="2267"/>
  </r>
  <r>
    <x v="2"/>
    <n v="23887"/>
  </r>
  <r>
    <x v="4"/>
    <n v="14648"/>
  </r>
  <r>
    <x v="4"/>
    <n v="13144"/>
  </r>
  <r>
    <x v="4"/>
    <n v="25133"/>
  </r>
  <r>
    <x v="4"/>
    <n v="24524"/>
  </r>
  <r>
    <x v="1"/>
    <n v="9765"/>
  </r>
  <r>
    <x v="3"/>
    <n v="21137"/>
  </r>
  <r>
    <x v="4"/>
    <n v="21774"/>
  </r>
  <r>
    <x v="4"/>
    <n v="47964"/>
  </r>
  <r>
    <x v="2"/>
    <n v="24827"/>
  </r>
  <r>
    <x v="3"/>
    <n v="34737"/>
  </r>
  <r>
    <x v="2"/>
    <n v="42881"/>
  </r>
  <r>
    <x v="4"/>
    <n v="26245"/>
  </r>
  <r>
    <x v="3"/>
    <n v="16980"/>
  </r>
  <r>
    <x v="2"/>
    <n v="23340"/>
  </r>
  <r>
    <x v="0"/>
    <n v="29866"/>
  </r>
  <r>
    <x v="3"/>
    <n v="18192"/>
  </r>
  <r>
    <x v="3"/>
    <n v="42593"/>
  </r>
  <r>
    <x v="3"/>
    <n v="15225"/>
  </r>
  <r>
    <x v="2"/>
    <n v="13427"/>
  </r>
  <r>
    <x v="3"/>
    <n v="12793"/>
  </r>
  <r>
    <x v="3"/>
    <n v="23016"/>
  </r>
  <r>
    <x v="0"/>
    <n v="15214"/>
  </r>
  <r>
    <x v="0"/>
    <n v="22625"/>
  </r>
  <r>
    <x v="4"/>
    <n v="29049"/>
  </r>
  <r>
    <x v="2"/>
    <n v="8711"/>
  </r>
  <r>
    <x v="4"/>
    <n v="27769"/>
  </r>
  <r>
    <x v="2"/>
    <n v="1823"/>
  </r>
  <r>
    <x v="0"/>
    <n v="13682"/>
  </r>
  <r>
    <x v="0"/>
    <n v="7419"/>
  </r>
  <r>
    <x v="4"/>
    <n v="7136"/>
  </r>
  <r>
    <x v="4"/>
    <n v="4854"/>
  </r>
  <r>
    <x v="2"/>
    <n v="4886"/>
  </r>
  <r>
    <x v="4"/>
    <n v="21715"/>
  </r>
  <r>
    <x v="2"/>
    <n v="27721"/>
  </r>
  <r>
    <x v="4"/>
    <n v="20600"/>
  </r>
  <r>
    <x v="2"/>
    <n v="13602"/>
  </r>
  <r>
    <x v="0"/>
    <n v="4492"/>
  </r>
  <r>
    <x v="0"/>
    <n v="30623"/>
  </r>
  <r>
    <x v="3"/>
    <n v="25930"/>
  </r>
  <r>
    <x v="0"/>
    <n v="25509"/>
  </r>
  <r>
    <x v="4"/>
    <n v="10650"/>
  </r>
  <r>
    <x v="0"/>
    <n v="27253"/>
  </r>
  <r>
    <x v="0"/>
    <n v="29852"/>
  </r>
  <r>
    <x v="0"/>
    <n v="2050"/>
  </r>
  <r>
    <x v="4"/>
    <n v="26296"/>
  </r>
  <r>
    <x v="3"/>
    <n v="44228"/>
  </r>
  <r>
    <x v="2"/>
    <n v="43358"/>
  </r>
  <r>
    <x v="4"/>
    <n v="11479"/>
  </r>
  <r>
    <x v="2"/>
    <n v="48891"/>
  </r>
  <r>
    <x v="4"/>
    <n v="29178"/>
  </r>
  <r>
    <x v="0"/>
    <n v="45961"/>
  </r>
  <r>
    <x v="0"/>
    <n v="3735"/>
  </r>
  <r>
    <x v="3"/>
    <n v="15932"/>
  </r>
  <r>
    <x v="1"/>
    <n v="22393"/>
  </r>
  <r>
    <x v="4"/>
    <n v="3184"/>
  </r>
  <r>
    <x v="2"/>
    <n v="41377"/>
  </r>
  <r>
    <x v="1"/>
    <n v="15531"/>
  </r>
  <r>
    <x v="1"/>
    <n v="26654"/>
  </r>
  <r>
    <x v="4"/>
    <n v="4626"/>
  </r>
  <r>
    <x v="0"/>
    <n v="20061"/>
  </r>
  <r>
    <x v="3"/>
    <n v="6509"/>
  </r>
  <r>
    <x v="3"/>
    <n v="43971"/>
  </r>
  <r>
    <x v="0"/>
    <n v="33790"/>
  </r>
  <r>
    <x v="2"/>
    <n v="8430"/>
  </r>
  <r>
    <x v="1"/>
    <n v="9314"/>
  </r>
  <r>
    <x v="0"/>
    <n v="13694"/>
  </r>
  <r>
    <x v="3"/>
    <n v="21110"/>
  </r>
  <r>
    <x v="4"/>
    <n v="48329"/>
  </r>
  <r>
    <x v="4"/>
    <n v="45346"/>
  </r>
  <r>
    <x v="0"/>
    <n v="41573"/>
  </r>
  <r>
    <x v="1"/>
    <n v="41873"/>
  </r>
  <r>
    <x v="2"/>
    <n v="36269"/>
  </r>
  <r>
    <x v="0"/>
    <n v="20712"/>
  </r>
  <r>
    <x v="2"/>
    <n v="16616"/>
  </r>
  <r>
    <x v="0"/>
    <n v="5543"/>
  </r>
  <r>
    <x v="0"/>
    <n v="28001"/>
  </r>
  <r>
    <x v="0"/>
    <n v="5754"/>
  </r>
  <r>
    <x v="3"/>
    <n v="25233"/>
  </r>
  <r>
    <x v="2"/>
    <n v="40016"/>
  </r>
  <r>
    <x v="4"/>
    <n v="10440"/>
  </r>
  <r>
    <x v="0"/>
    <n v="26812"/>
  </r>
  <r>
    <x v="3"/>
    <n v="42311"/>
  </r>
  <r>
    <x v="2"/>
    <n v="10940"/>
  </r>
  <r>
    <x v="3"/>
    <n v="45942"/>
  </r>
  <r>
    <x v="0"/>
    <n v="2561"/>
  </r>
  <r>
    <x v="4"/>
    <n v="16965"/>
  </r>
  <r>
    <x v="1"/>
    <n v="42531"/>
  </r>
  <r>
    <x v="0"/>
    <n v="11167"/>
  </r>
  <r>
    <x v="2"/>
    <n v="20483"/>
  </r>
  <r>
    <x v="4"/>
    <n v="17930"/>
  </r>
  <r>
    <x v="0"/>
    <n v="403"/>
  </r>
  <r>
    <x v="3"/>
    <n v="48340"/>
  </r>
  <r>
    <x v="4"/>
    <n v="13277"/>
  </r>
  <r>
    <x v="2"/>
    <n v="14231"/>
  </r>
  <r>
    <x v="3"/>
    <n v="27090"/>
  </r>
  <r>
    <x v="1"/>
    <n v="25054"/>
  </r>
  <r>
    <x v="2"/>
    <n v="15686"/>
  </r>
  <r>
    <x v="3"/>
    <n v="49569"/>
  </r>
  <r>
    <x v="2"/>
    <n v="775"/>
  </r>
  <r>
    <x v="3"/>
    <n v="39908"/>
  </r>
  <r>
    <x v="4"/>
    <n v="23972"/>
  </r>
  <r>
    <x v="1"/>
    <n v="502"/>
  </r>
  <r>
    <x v="2"/>
    <n v="18615"/>
  </r>
  <r>
    <x v="4"/>
    <n v="505"/>
  </r>
  <r>
    <x v="0"/>
    <n v="15606"/>
  </r>
  <r>
    <x v="0"/>
    <n v="43444"/>
  </r>
  <r>
    <x v="2"/>
    <n v="37779"/>
  </r>
  <r>
    <x v="2"/>
    <n v="30892"/>
  </r>
  <r>
    <x v="4"/>
    <n v="14170"/>
  </r>
  <r>
    <x v="4"/>
    <n v="21697"/>
  </r>
  <r>
    <x v="1"/>
    <n v="43912"/>
  </r>
  <r>
    <x v="4"/>
    <n v="38046"/>
  </r>
  <r>
    <x v="4"/>
    <n v="14950"/>
  </r>
  <r>
    <x v="1"/>
    <n v="22597"/>
  </r>
  <r>
    <x v="0"/>
    <n v="38108"/>
  </r>
  <r>
    <x v="0"/>
    <n v="28067"/>
  </r>
  <r>
    <x v="1"/>
    <n v="26207"/>
  </r>
  <r>
    <x v="3"/>
    <n v="14646"/>
  </r>
  <r>
    <x v="1"/>
    <n v="39548"/>
  </r>
  <r>
    <x v="2"/>
    <n v="31644"/>
  </r>
  <r>
    <x v="3"/>
    <n v="10307"/>
  </r>
  <r>
    <x v="0"/>
    <n v="19901"/>
  </r>
  <r>
    <x v="0"/>
    <n v="44726"/>
  </r>
  <r>
    <x v="2"/>
    <n v="47928"/>
  </r>
  <r>
    <x v="1"/>
    <n v="8878"/>
  </r>
  <r>
    <x v="4"/>
    <n v="38124"/>
  </r>
  <r>
    <x v="4"/>
    <n v="14595"/>
  </r>
  <r>
    <x v="4"/>
    <n v="24977"/>
  </r>
  <r>
    <x v="0"/>
    <n v="12072"/>
  </r>
  <r>
    <x v="4"/>
    <n v="41389"/>
  </r>
  <r>
    <x v="0"/>
    <n v="32322"/>
  </r>
  <r>
    <x v="0"/>
    <n v="18336"/>
  </r>
  <r>
    <x v="1"/>
    <n v="8298"/>
  </r>
  <r>
    <x v="3"/>
    <n v="45764"/>
  </r>
  <r>
    <x v="3"/>
    <n v="37748"/>
  </r>
  <r>
    <x v="0"/>
    <n v="46223"/>
  </r>
  <r>
    <x v="1"/>
    <n v="34306"/>
  </r>
  <r>
    <x v="1"/>
    <n v="36654"/>
  </r>
  <r>
    <x v="2"/>
    <n v="13815"/>
  </r>
  <r>
    <x v="1"/>
    <n v="8473"/>
  </r>
  <r>
    <x v="1"/>
    <n v="16575"/>
  </r>
  <r>
    <x v="4"/>
    <n v="38118"/>
  </r>
  <r>
    <x v="1"/>
    <n v="43725"/>
  </r>
  <r>
    <x v="3"/>
    <n v="14404"/>
  </r>
  <r>
    <x v="4"/>
    <n v="48082"/>
  </r>
  <r>
    <x v="0"/>
    <n v="42883"/>
  </r>
  <r>
    <x v="0"/>
    <n v="45815"/>
  </r>
  <r>
    <x v="4"/>
    <n v="47121"/>
  </r>
  <r>
    <x v="4"/>
    <n v="21032"/>
  </r>
  <r>
    <x v="3"/>
    <n v="8467"/>
  </r>
  <r>
    <x v="1"/>
    <n v="24077"/>
  </r>
  <r>
    <x v="1"/>
    <n v="6719"/>
  </r>
  <r>
    <x v="4"/>
    <n v="34803"/>
  </r>
  <r>
    <x v="2"/>
    <n v="18780"/>
  </r>
  <r>
    <x v="0"/>
    <n v="12140"/>
  </r>
  <r>
    <x v="2"/>
    <n v="8660"/>
  </r>
  <r>
    <x v="4"/>
    <n v="25125"/>
  </r>
  <r>
    <x v="0"/>
    <n v="12299"/>
  </r>
  <r>
    <x v="3"/>
    <n v="28334"/>
  </r>
  <r>
    <x v="3"/>
    <n v="6207"/>
  </r>
  <r>
    <x v="2"/>
    <n v="4062"/>
  </r>
  <r>
    <x v="0"/>
    <n v="44670"/>
  </r>
  <r>
    <x v="0"/>
    <n v="1210"/>
  </r>
  <r>
    <x v="4"/>
    <n v="48729"/>
  </r>
  <r>
    <x v="4"/>
    <n v="5223"/>
  </r>
  <r>
    <x v="0"/>
    <n v="32773"/>
  </r>
  <r>
    <x v="4"/>
    <n v="35631"/>
  </r>
  <r>
    <x v="3"/>
    <n v="14263"/>
  </r>
  <r>
    <x v="2"/>
    <n v="2621"/>
  </r>
  <r>
    <x v="2"/>
    <n v="30469"/>
  </r>
  <r>
    <x v="3"/>
    <n v="47645"/>
  </r>
  <r>
    <x v="0"/>
    <n v="32546"/>
  </r>
  <r>
    <x v="0"/>
    <n v="8416"/>
  </r>
  <r>
    <x v="0"/>
    <n v="26210"/>
  </r>
  <r>
    <x v="2"/>
    <n v="17960"/>
  </r>
  <r>
    <x v="3"/>
    <n v="49261"/>
  </r>
  <r>
    <x v="4"/>
    <n v="18971"/>
  </r>
  <r>
    <x v="1"/>
    <n v="10806"/>
  </r>
  <r>
    <x v="0"/>
    <n v="36352"/>
  </r>
  <r>
    <x v="4"/>
    <n v="7491"/>
  </r>
  <r>
    <x v="2"/>
    <n v="1194"/>
  </r>
  <r>
    <x v="0"/>
    <n v="31769"/>
  </r>
  <r>
    <x v="4"/>
    <n v="40775"/>
  </r>
  <r>
    <x v="1"/>
    <n v="17570"/>
  </r>
  <r>
    <x v="2"/>
    <n v="40349"/>
  </r>
  <r>
    <x v="4"/>
    <n v="26598"/>
  </r>
  <r>
    <x v="1"/>
    <n v="40700"/>
  </r>
  <r>
    <x v="2"/>
    <n v="20383"/>
  </r>
  <r>
    <x v="1"/>
    <n v="33714"/>
  </r>
  <r>
    <x v="3"/>
    <n v="18686"/>
  </r>
  <r>
    <x v="4"/>
    <n v="2979"/>
  </r>
  <r>
    <x v="0"/>
    <n v="18660"/>
  </r>
  <r>
    <x v="3"/>
    <n v="22207"/>
  </r>
  <r>
    <x v="3"/>
    <n v="23930"/>
  </r>
  <r>
    <x v="3"/>
    <n v="14064"/>
  </r>
  <r>
    <x v="1"/>
    <n v="38740"/>
  </r>
  <r>
    <x v="2"/>
    <n v="40867"/>
  </r>
  <r>
    <x v="1"/>
    <n v="8677"/>
  </r>
  <r>
    <x v="3"/>
    <n v="29691"/>
  </r>
  <r>
    <x v="2"/>
    <n v="33321"/>
  </r>
  <r>
    <x v="1"/>
    <n v="37404"/>
  </r>
  <r>
    <x v="4"/>
    <n v="28988"/>
  </r>
  <r>
    <x v="4"/>
    <n v="12362"/>
  </r>
  <r>
    <x v="2"/>
    <n v="46683"/>
  </r>
  <r>
    <x v="2"/>
    <n v="8105"/>
  </r>
  <r>
    <x v="3"/>
    <n v="2861"/>
  </r>
  <r>
    <x v="4"/>
    <n v="14060"/>
  </r>
  <r>
    <x v="1"/>
    <n v="46533"/>
  </r>
  <r>
    <x v="1"/>
    <n v="41322"/>
  </r>
  <r>
    <x v="3"/>
    <n v="1324"/>
  </r>
  <r>
    <x v="0"/>
    <n v="14759"/>
  </r>
  <r>
    <x v="4"/>
    <n v="29532"/>
  </r>
  <r>
    <x v="1"/>
    <n v="32803"/>
  </r>
  <r>
    <x v="2"/>
    <n v="32446"/>
  </r>
  <r>
    <x v="4"/>
    <n v="26134"/>
  </r>
  <r>
    <x v="4"/>
    <n v="30120"/>
  </r>
  <r>
    <x v="2"/>
    <n v="6835"/>
  </r>
  <r>
    <x v="1"/>
    <n v="8962"/>
  </r>
  <r>
    <x v="1"/>
    <n v="7269"/>
  </r>
  <r>
    <x v="2"/>
    <n v="29419"/>
  </r>
  <r>
    <x v="4"/>
    <n v="3961"/>
  </r>
  <r>
    <x v="1"/>
    <n v="35993"/>
  </r>
  <r>
    <x v="1"/>
    <n v="15000"/>
  </r>
  <r>
    <x v="3"/>
    <n v="43249"/>
  </r>
  <r>
    <x v="4"/>
    <n v="7517"/>
  </r>
  <r>
    <x v="2"/>
    <n v="22170"/>
  </r>
  <r>
    <x v="4"/>
    <n v="28390"/>
  </r>
  <r>
    <x v="2"/>
    <n v="19109"/>
  </r>
  <r>
    <x v="3"/>
    <n v="46916"/>
  </r>
  <r>
    <x v="4"/>
    <n v="25898"/>
  </r>
  <r>
    <x v="3"/>
    <n v="9780"/>
  </r>
  <r>
    <x v="3"/>
    <n v="21226"/>
  </r>
  <r>
    <x v="4"/>
    <n v="43157"/>
  </r>
  <r>
    <x v="2"/>
    <n v="35281"/>
  </r>
  <r>
    <x v="1"/>
    <n v="38374"/>
  </r>
  <r>
    <x v="3"/>
    <n v="487"/>
  </r>
  <r>
    <x v="4"/>
    <n v="7519"/>
  </r>
  <r>
    <x v="0"/>
    <n v="9746"/>
  </r>
  <r>
    <x v="4"/>
    <n v="7983"/>
  </r>
  <r>
    <x v="1"/>
    <n v="46267"/>
  </r>
  <r>
    <x v="1"/>
    <n v="9926"/>
  </r>
  <r>
    <x v="1"/>
    <n v="37601"/>
  </r>
  <r>
    <x v="2"/>
    <n v="46081"/>
  </r>
  <r>
    <x v="1"/>
    <n v="19093"/>
  </r>
  <r>
    <x v="2"/>
    <n v="10808"/>
  </r>
  <r>
    <x v="2"/>
    <n v="33190"/>
  </r>
  <r>
    <x v="1"/>
    <n v="34477"/>
  </r>
  <r>
    <x v="4"/>
    <n v="26009"/>
  </r>
  <r>
    <x v="3"/>
    <n v="43075"/>
  </r>
  <r>
    <x v="0"/>
    <n v="13061"/>
  </r>
  <r>
    <x v="2"/>
    <n v="22285"/>
  </r>
  <r>
    <x v="1"/>
    <n v="14187"/>
  </r>
  <r>
    <x v="1"/>
    <n v="16050"/>
  </r>
  <r>
    <x v="1"/>
    <n v="3448"/>
  </r>
  <r>
    <x v="3"/>
    <n v="26392"/>
  </r>
  <r>
    <x v="1"/>
    <n v="22013"/>
  </r>
  <r>
    <x v="1"/>
    <n v="38781"/>
  </r>
  <r>
    <x v="4"/>
    <n v="45020"/>
  </r>
  <r>
    <x v="4"/>
    <n v="47391"/>
  </r>
  <r>
    <x v="0"/>
    <n v="8898"/>
  </r>
  <r>
    <x v="0"/>
    <n v="15970"/>
  </r>
  <r>
    <x v="1"/>
    <n v="1279"/>
  </r>
  <r>
    <x v="1"/>
    <n v="30106"/>
  </r>
  <r>
    <x v="3"/>
    <n v="38082"/>
  </r>
  <r>
    <x v="0"/>
    <n v="17204"/>
  </r>
  <r>
    <x v="2"/>
    <n v="32298"/>
  </r>
  <r>
    <x v="2"/>
    <n v="44902"/>
  </r>
  <r>
    <x v="3"/>
    <n v="5771"/>
  </r>
  <r>
    <x v="2"/>
    <n v="42496"/>
  </r>
  <r>
    <x v="1"/>
    <n v="19348"/>
  </r>
  <r>
    <x v="0"/>
    <n v="30595"/>
  </r>
  <r>
    <x v="1"/>
    <n v="5924"/>
  </r>
  <r>
    <x v="0"/>
    <n v="21843"/>
  </r>
  <r>
    <x v="0"/>
    <n v="7792"/>
  </r>
  <r>
    <x v="0"/>
    <n v="9836"/>
  </r>
  <r>
    <x v="3"/>
    <n v="28487"/>
  </r>
  <r>
    <x v="0"/>
    <n v="17984"/>
  </r>
  <r>
    <x v="3"/>
    <n v="26846"/>
  </r>
  <r>
    <x v="3"/>
    <n v="12363"/>
  </r>
  <r>
    <x v="4"/>
    <n v="13315"/>
  </r>
  <r>
    <x v="0"/>
    <n v="23545"/>
  </r>
  <r>
    <x v="2"/>
    <n v="40703"/>
  </r>
  <r>
    <x v="0"/>
    <n v="9965"/>
  </r>
  <r>
    <x v="2"/>
    <n v="47635"/>
  </r>
  <r>
    <x v="1"/>
    <n v="14627"/>
  </r>
  <r>
    <x v="4"/>
    <n v="23112"/>
  </r>
  <r>
    <x v="1"/>
    <n v="20088"/>
  </r>
  <r>
    <x v="0"/>
    <n v="27195"/>
  </r>
  <r>
    <x v="1"/>
    <n v="11822"/>
  </r>
  <r>
    <x v="2"/>
    <n v="28865"/>
  </r>
  <r>
    <x v="1"/>
    <n v="7103"/>
  </r>
  <r>
    <x v="2"/>
    <n v="35999"/>
  </r>
  <r>
    <x v="3"/>
    <n v="27867"/>
  </r>
  <r>
    <x v="1"/>
    <n v="13116"/>
  </r>
  <r>
    <x v="0"/>
    <n v="798"/>
  </r>
  <r>
    <x v="3"/>
    <n v="20445"/>
  </r>
  <r>
    <x v="1"/>
    <n v="2020"/>
  </r>
  <r>
    <x v="4"/>
    <n v="37798"/>
  </r>
  <r>
    <x v="2"/>
    <n v="42533"/>
  </r>
  <r>
    <x v="4"/>
    <n v="26718"/>
  </r>
  <r>
    <x v="1"/>
    <n v="46832"/>
  </r>
  <r>
    <x v="3"/>
    <n v="36535"/>
  </r>
  <r>
    <x v="1"/>
    <n v="28966"/>
  </r>
  <r>
    <x v="2"/>
    <n v="25361"/>
  </r>
  <r>
    <x v="4"/>
    <n v="43063"/>
  </r>
  <r>
    <x v="0"/>
    <n v="17370"/>
  </r>
  <r>
    <x v="2"/>
    <n v="7077"/>
  </r>
  <r>
    <x v="3"/>
    <n v="17470"/>
  </r>
  <r>
    <x v="4"/>
    <n v="25911"/>
  </r>
  <r>
    <x v="0"/>
    <n v="41304"/>
  </r>
  <r>
    <x v="0"/>
    <n v="10858"/>
  </r>
  <r>
    <x v="1"/>
    <n v="22766"/>
  </r>
  <r>
    <x v="2"/>
    <n v="48907"/>
  </r>
  <r>
    <x v="2"/>
    <n v="33837"/>
  </r>
  <r>
    <x v="1"/>
    <n v="21765"/>
  </r>
  <r>
    <x v="3"/>
    <n v="31860"/>
  </r>
  <r>
    <x v="0"/>
    <n v="49137"/>
  </r>
  <r>
    <x v="3"/>
    <n v="11635"/>
  </r>
  <r>
    <x v="4"/>
    <n v="13789"/>
  </r>
  <r>
    <x v="3"/>
    <n v="41123"/>
  </r>
  <r>
    <x v="3"/>
    <n v="41764"/>
  </r>
  <r>
    <x v="2"/>
    <n v="27157"/>
  </r>
  <r>
    <x v="1"/>
    <n v="12090"/>
  </r>
  <r>
    <x v="1"/>
    <n v="14402"/>
  </r>
  <r>
    <x v="1"/>
    <n v="21179"/>
  </r>
  <r>
    <x v="4"/>
    <n v="37107"/>
  </r>
  <r>
    <x v="1"/>
    <n v="37062"/>
  </r>
  <r>
    <x v="3"/>
    <n v="13285"/>
  </r>
  <r>
    <x v="3"/>
    <n v="27906"/>
  </r>
  <r>
    <x v="2"/>
    <n v="25390"/>
  </r>
  <r>
    <x v="2"/>
    <n v="604"/>
  </r>
  <r>
    <x v="2"/>
    <n v="34871"/>
  </r>
  <r>
    <x v="1"/>
    <n v="27502"/>
  </r>
  <r>
    <x v="1"/>
    <n v="36767"/>
  </r>
  <r>
    <x v="0"/>
    <n v="32631"/>
  </r>
  <r>
    <x v="1"/>
    <n v="981"/>
  </r>
  <r>
    <x v="4"/>
    <n v="6068"/>
  </r>
  <r>
    <x v="3"/>
    <n v="3123"/>
  </r>
  <r>
    <x v="3"/>
    <n v="45383"/>
  </r>
  <r>
    <x v="1"/>
    <n v="8576"/>
  </r>
  <r>
    <x v="2"/>
    <n v="34876"/>
  </r>
  <r>
    <x v="3"/>
    <n v="48197"/>
  </r>
  <r>
    <x v="1"/>
    <n v="23434"/>
  </r>
  <r>
    <x v="1"/>
    <n v="14224"/>
  </r>
  <r>
    <x v="0"/>
    <n v="7150"/>
  </r>
  <r>
    <x v="3"/>
    <n v="46733"/>
  </r>
  <r>
    <x v="4"/>
    <n v="24131"/>
  </r>
  <r>
    <x v="4"/>
    <n v="4798"/>
  </r>
  <r>
    <x v="4"/>
    <n v="30509"/>
  </r>
  <r>
    <x v="4"/>
    <n v="17782"/>
  </r>
  <r>
    <x v="3"/>
    <n v="8054"/>
  </r>
  <r>
    <x v="0"/>
    <n v="33211"/>
  </r>
  <r>
    <x v="3"/>
    <n v="24533"/>
  </r>
  <r>
    <x v="3"/>
    <n v="12715"/>
  </r>
  <r>
    <x v="2"/>
    <n v="28714"/>
  </r>
  <r>
    <x v="1"/>
    <n v="3782"/>
  </r>
  <r>
    <x v="2"/>
    <n v="6921"/>
  </r>
  <r>
    <x v="1"/>
    <n v="14710"/>
  </r>
  <r>
    <x v="3"/>
    <n v="42039"/>
  </r>
  <r>
    <x v="2"/>
    <n v="46206"/>
  </r>
  <r>
    <x v="1"/>
    <n v="11221"/>
  </r>
  <r>
    <x v="0"/>
    <n v="28344"/>
  </r>
  <r>
    <x v="4"/>
    <n v="44812"/>
  </r>
  <r>
    <x v="0"/>
    <n v="16520"/>
  </r>
  <r>
    <x v="4"/>
    <n v="34724"/>
  </r>
  <r>
    <x v="3"/>
    <n v="29962"/>
  </r>
  <r>
    <x v="3"/>
    <n v="24174"/>
  </r>
  <r>
    <x v="2"/>
    <n v="43811"/>
  </r>
  <r>
    <x v="4"/>
    <n v="27190"/>
  </r>
  <r>
    <x v="4"/>
    <n v="38152"/>
  </r>
  <r>
    <x v="0"/>
    <n v="42160"/>
  </r>
  <r>
    <x v="3"/>
    <n v="44803"/>
  </r>
  <r>
    <x v="3"/>
    <n v="12789"/>
  </r>
  <r>
    <x v="0"/>
    <n v="30120"/>
  </r>
  <r>
    <x v="4"/>
    <n v="30860"/>
  </r>
  <r>
    <x v="3"/>
    <n v="32204"/>
  </r>
  <r>
    <x v="1"/>
    <n v="14542"/>
  </r>
  <r>
    <x v="1"/>
    <n v="28501"/>
  </r>
  <r>
    <x v="3"/>
    <n v="18864"/>
  </r>
  <r>
    <x v="0"/>
    <n v="38653"/>
  </r>
  <r>
    <x v="3"/>
    <n v="16600"/>
  </r>
  <r>
    <x v="3"/>
    <n v="39427"/>
  </r>
  <r>
    <x v="4"/>
    <n v="16685"/>
  </r>
  <r>
    <x v="3"/>
    <n v="5909"/>
  </r>
  <r>
    <x v="0"/>
    <n v="28932"/>
  </r>
  <r>
    <x v="2"/>
    <n v="45202"/>
  </r>
  <r>
    <x v="0"/>
    <n v="27186"/>
  </r>
  <r>
    <x v="1"/>
    <n v="49835"/>
  </r>
  <r>
    <x v="4"/>
    <n v="40990"/>
  </r>
  <r>
    <x v="1"/>
    <n v="30630"/>
  </r>
  <r>
    <x v="1"/>
    <n v="22155"/>
  </r>
  <r>
    <x v="1"/>
    <n v="48827"/>
  </r>
  <r>
    <x v="4"/>
    <n v="14950"/>
  </r>
  <r>
    <x v="2"/>
    <n v="45374"/>
  </r>
  <r>
    <x v="2"/>
    <n v="8232"/>
  </r>
  <r>
    <x v="1"/>
    <n v="33448"/>
  </r>
  <r>
    <x v="0"/>
    <n v="32001"/>
  </r>
  <r>
    <x v="2"/>
    <n v="8373"/>
  </r>
  <r>
    <x v="4"/>
    <n v="11491"/>
  </r>
  <r>
    <x v="1"/>
    <n v="38885"/>
  </r>
  <r>
    <x v="1"/>
    <n v="30706"/>
  </r>
  <r>
    <x v="0"/>
    <n v="8172"/>
  </r>
  <r>
    <x v="1"/>
    <n v="23547"/>
  </r>
  <r>
    <x v="4"/>
    <n v="23745"/>
  </r>
  <r>
    <x v="4"/>
    <n v="43286"/>
  </r>
  <r>
    <x v="3"/>
    <n v="43451"/>
  </r>
  <r>
    <x v="0"/>
    <n v="40004"/>
  </r>
  <r>
    <x v="4"/>
    <n v="46028"/>
  </r>
  <r>
    <x v="1"/>
    <n v="3244"/>
  </r>
  <r>
    <x v="0"/>
    <n v="44820"/>
  </r>
  <r>
    <x v="4"/>
    <n v="48020"/>
  </r>
  <r>
    <x v="1"/>
    <n v="2752"/>
  </r>
  <r>
    <x v="3"/>
    <n v="7355"/>
  </r>
  <r>
    <x v="4"/>
    <n v="16847"/>
  </r>
  <r>
    <x v="4"/>
    <n v="28746"/>
  </r>
  <r>
    <x v="1"/>
    <n v="9511"/>
  </r>
  <r>
    <x v="3"/>
    <n v="12444"/>
  </r>
  <r>
    <x v="2"/>
    <n v="23375"/>
  </r>
  <r>
    <x v="0"/>
    <n v="41290"/>
  </r>
  <r>
    <x v="1"/>
    <n v="8028"/>
  </r>
  <r>
    <x v="1"/>
    <n v="14981"/>
  </r>
  <r>
    <x v="4"/>
    <n v="19178"/>
  </r>
  <r>
    <x v="0"/>
    <n v="40843"/>
  </r>
  <r>
    <x v="3"/>
    <n v="43110"/>
  </r>
  <r>
    <x v="4"/>
    <n v="22224"/>
  </r>
  <r>
    <x v="1"/>
    <n v="15741"/>
  </r>
  <r>
    <x v="0"/>
    <n v="39500"/>
  </r>
  <r>
    <x v="1"/>
    <n v="7119"/>
  </r>
  <r>
    <x v="0"/>
    <n v="31599"/>
  </r>
  <r>
    <x v="4"/>
    <n v="35308"/>
  </r>
  <r>
    <x v="0"/>
    <n v="25022"/>
  </r>
  <r>
    <x v="1"/>
    <n v="29001"/>
  </r>
  <r>
    <x v="0"/>
    <n v="4096"/>
  </r>
  <r>
    <x v="0"/>
    <n v="49286"/>
  </r>
  <r>
    <x v="1"/>
    <n v="8604"/>
  </r>
  <r>
    <x v="3"/>
    <n v="39779"/>
  </r>
  <r>
    <x v="1"/>
    <n v="43330"/>
  </r>
  <r>
    <x v="0"/>
    <n v="46519"/>
  </r>
  <r>
    <x v="2"/>
    <n v="19481"/>
  </r>
  <r>
    <x v="1"/>
    <n v="23017"/>
  </r>
  <r>
    <x v="4"/>
    <n v="34443"/>
  </r>
  <r>
    <x v="3"/>
    <n v="47807"/>
  </r>
  <r>
    <x v="1"/>
    <n v="1695"/>
  </r>
  <r>
    <x v="3"/>
    <n v="5837"/>
  </r>
  <r>
    <x v="0"/>
    <n v="25509"/>
  </r>
  <r>
    <x v="4"/>
    <n v="43548"/>
  </r>
  <r>
    <x v="2"/>
    <n v="23093"/>
  </r>
  <r>
    <x v="3"/>
    <n v="47865"/>
  </r>
  <r>
    <x v="3"/>
    <n v="35346"/>
  </r>
  <r>
    <x v="0"/>
    <n v="30927"/>
  </r>
  <r>
    <x v="1"/>
    <n v="16679"/>
  </r>
  <r>
    <x v="5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1">
  <r>
    <x v="0"/>
    <s v="Home"/>
    <n v="42461"/>
  </r>
  <r>
    <x v="1"/>
    <s v="Electronics"/>
    <n v="32430"/>
  </r>
  <r>
    <x v="2"/>
    <s v="Electronics"/>
    <n v="8570"/>
  </r>
  <r>
    <x v="1"/>
    <s v="Books"/>
    <n v="35070"/>
  </r>
  <r>
    <x v="3"/>
    <s v="Electronics"/>
    <n v="43207"/>
  </r>
  <r>
    <x v="1"/>
    <s v="Grocery"/>
    <n v="30020"/>
  </r>
  <r>
    <x v="1"/>
    <s v="Grocery"/>
    <n v="43888"/>
  </r>
  <r>
    <x v="3"/>
    <s v="Electronics"/>
    <n v="5894"/>
  </r>
  <r>
    <x v="2"/>
    <s v="Books"/>
    <n v="4230"/>
  </r>
  <r>
    <x v="1"/>
    <s v="Electronics"/>
    <n v="19150"/>
  </r>
  <r>
    <x v="4"/>
    <s v="Fashion"/>
    <n v="43339"/>
  </r>
  <r>
    <x v="5"/>
    <s v="Electronics"/>
    <n v="18556"/>
  </r>
  <r>
    <x v="6"/>
    <s v="Books"/>
    <n v="43411"/>
  </r>
  <r>
    <x v="0"/>
    <s v="Grocery"/>
    <n v="23304"/>
  </r>
  <r>
    <x v="1"/>
    <s v="Electronics"/>
    <n v="9597"/>
  </r>
  <r>
    <x v="1"/>
    <s v="Home"/>
    <n v="30030"/>
  </r>
  <r>
    <x v="5"/>
    <s v="Books"/>
    <n v="39374"/>
  </r>
  <r>
    <x v="6"/>
    <s v="Electronics"/>
    <n v="18132"/>
  </r>
  <r>
    <x v="1"/>
    <s v="Grocery"/>
    <n v="14427"/>
  </r>
  <r>
    <x v="0"/>
    <s v="Books"/>
    <n v="32191"/>
  </r>
  <r>
    <x v="6"/>
    <s v="Electronics"/>
    <n v="13697"/>
  </r>
  <r>
    <x v="0"/>
    <s v="Grocery"/>
    <n v="8163"/>
  </r>
  <r>
    <x v="2"/>
    <s v="Home"/>
    <n v="35203"/>
  </r>
  <r>
    <x v="3"/>
    <s v="Home"/>
    <n v="48930"/>
  </r>
  <r>
    <x v="3"/>
    <s v="Grocery"/>
    <n v="38032"/>
  </r>
  <r>
    <x v="0"/>
    <s v="Electronics"/>
    <n v="26844"/>
  </r>
  <r>
    <x v="5"/>
    <s v="Electronics"/>
    <n v="28920"/>
  </r>
  <r>
    <x v="3"/>
    <s v="Home"/>
    <n v="20634"/>
  </r>
  <r>
    <x v="3"/>
    <s v="Books"/>
    <n v="41799"/>
  </r>
  <r>
    <x v="5"/>
    <s v="Grocery"/>
    <n v="47969"/>
  </r>
  <r>
    <x v="0"/>
    <s v="Fashion"/>
    <n v="11670"/>
  </r>
  <r>
    <x v="7"/>
    <s v="Books"/>
    <n v="38276"/>
  </r>
  <r>
    <x v="2"/>
    <s v="Home"/>
    <n v="4775"/>
  </r>
  <r>
    <x v="6"/>
    <s v="Grocery"/>
    <n v="33548"/>
  </r>
  <r>
    <x v="6"/>
    <s v="Electronics"/>
    <n v="24465"/>
  </r>
  <r>
    <x v="1"/>
    <s v="Home"/>
    <n v="38332"/>
  </r>
  <r>
    <x v="7"/>
    <s v="Books"/>
    <n v="10186"/>
  </r>
  <r>
    <x v="3"/>
    <s v="Books"/>
    <n v="42644"/>
  </r>
  <r>
    <x v="7"/>
    <s v="Books"/>
    <n v="34558"/>
  </r>
  <r>
    <x v="1"/>
    <s v="Home"/>
    <n v="22475"/>
  </r>
  <r>
    <x v="3"/>
    <s v="Books"/>
    <n v="44758"/>
  </r>
  <r>
    <x v="5"/>
    <s v="Electronics"/>
    <n v="38490"/>
  </r>
  <r>
    <x v="2"/>
    <s v="Books"/>
    <n v="46754"/>
  </r>
  <r>
    <x v="5"/>
    <s v="Fashion"/>
    <n v="44216"/>
  </r>
  <r>
    <x v="6"/>
    <s v="Grocery"/>
    <n v="20541"/>
  </r>
  <r>
    <x v="4"/>
    <s v="Fashion"/>
    <n v="9315"/>
  </r>
  <r>
    <x v="6"/>
    <s v="Grocery"/>
    <n v="40803"/>
  </r>
  <r>
    <x v="2"/>
    <s v="Books"/>
    <n v="11148"/>
  </r>
  <r>
    <x v="4"/>
    <s v="Home"/>
    <n v="40315"/>
  </r>
  <r>
    <x v="4"/>
    <s v="Grocery"/>
    <n v="31037"/>
  </r>
  <r>
    <x v="0"/>
    <s v="Home"/>
    <n v="33258"/>
  </r>
  <r>
    <x v="0"/>
    <s v="Electronics"/>
    <n v="42320"/>
  </r>
  <r>
    <x v="3"/>
    <s v="Grocery"/>
    <n v="5796"/>
  </r>
  <r>
    <x v="2"/>
    <s v="Home"/>
    <n v="6310"/>
  </r>
  <r>
    <x v="1"/>
    <s v="Electronics"/>
    <n v="26282"/>
  </r>
  <r>
    <x v="5"/>
    <s v="Fashion"/>
    <n v="2147"/>
  </r>
  <r>
    <x v="2"/>
    <s v="Electronics"/>
    <n v="19100"/>
  </r>
  <r>
    <x v="6"/>
    <s v="Electronics"/>
    <n v="1545"/>
  </r>
  <r>
    <x v="1"/>
    <s v="Electronics"/>
    <n v="19181"/>
  </r>
  <r>
    <x v="4"/>
    <s v="Home"/>
    <n v="42174"/>
  </r>
  <r>
    <x v="6"/>
    <s v="Books"/>
    <n v="37986"/>
  </r>
  <r>
    <x v="6"/>
    <s v="Books"/>
    <n v="23422"/>
  </r>
  <r>
    <x v="3"/>
    <s v="Books"/>
    <n v="23932"/>
  </r>
  <r>
    <x v="6"/>
    <s v="Home"/>
    <n v="31110"/>
  </r>
  <r>
    <x v="6"/>
    <s v="Grocery"/>
    <n v="4727"/>
  </r>
  <r>
    <x v="5"/>
    <s v="Fashion"/>
    <n v="3205"/>
  </r>
  <r>
    <x v="7"/>
    <s v="Home"/>
    <n v="41701"/>
  </r>
  <r>
    <x v="6"/>
    <s v="Grocery"/>
    <n v="13511"/>
  </r>
  <r>
    <x v="0"/>
    <s v="Books"/>
    <n v="26398"/>
  </r>
  <r>
    <x v="0"/>
    <s v="Grocery"/>
    <n v="3432"/>
  </r>
  <r>
    <x v="1"/>
    <s v="Home"/>
    <n v="49013"/>
  </r>
  <r>
    <x v="7"/>
    <s v="Home"/>
    <n v="24374"/>
  </r>
  <r>
    <x v="1"/>
    <s v="Books"/>
    <n v="12126"/>
  </r>
  <r>
    <x v="5"/>
    <s v="Grocery"/>
    <n v="20386"/>
  </r>
  <r>
    <x v="5"/>
    <s v="Home"/>
    <n v="3075"/>
  </r>
  <r>
    <x v="3"/>
    <s v="Home"/>
    <n v="24109"/>
  </r>
  <r>
    <x v="6"/>
    <s v="Fashion"/>
    <n v="4706"/>
  </r>
  <r>
    <x v="6"/>
    <s v="Books"/>
    <n v="10355"/>
  </r>
  <r>
    <x v="3"/>
    <s v="Books"/>
    <n v="9323"/>
  </r>
  <r>
    <x v="4"/>
    <s v="Electronics"/>
    <n v="1998"/>
  </r>
  <r>
    <x v="3"/>
    <s v="Grocery"/>
    <n v="17358"/>
  </r>
  <r>
    <x v="4"/>
    <s v="Electronics"/>
    <n v="9195"/>
  </r>
  <r>
    <x v="3"/>
    <s v="Grocery"/>
    <n v="44067"/>
  </r>
  <r>
    <x v="0"/>
    <s v="Grocery"/>
    <n v="10622"/>
  </r>
  <r>
    <x v="3"/>
    <s v="Fashion"/>
    <n v="9401"/>
  </r>
  <r>
    <x v="5"/>
    <s v="Home"/>
    <n v="36452"/>
  </r>
  <r>
    <x v="1"/>
    <s v="Home"/>
    <n v="34751"/>
  </r>
  <r>
    <x v="5"/>
    <s v="Electronics"/>
    <n v="29789"/>
  </r>
  <r>
    <x v="2"/>
    <s v="Fashion"/>
    <n v="28652"/>
  </r>
  <r>
    <x v="0"/>
    <s v="Fashion"/>
    <n v="10914"/>
  </r>
  <r>
    <x v="0"/>
    <s v="Electronics"/>
    <n v="16723"/>
  </r>
  <r>
    <x v="0"/>
    <s v="Books"/>
    <n v="35262"/>
  </r>
  <r>
    <x v="2"/>
    <s v="Fashion"/>
    <n v="43470"/>
  </r>
  <r>
    <x v="3"/>
    <s v="Electronics"/>
    <n v="42338"/>
  </r>
  <r>
    <x v="7"/>
    <s v="Books"/>
    <n v="19283"/>
  </r>
  <r>
    <x v="0"/>
    <s v="Home"/>
    <n v="5082"/>
  </r>
  <r>
    <x v="7"/>
    <s v="Home"/>
    <n v="13670"/>
  </r>
  <r>
    <x v="5"/>
    <s v="Home"/>
    <n v="8869"/>
  </r>
  <r>
    <x v="5"/>
    <s v="Fashion"/>
    <n v="30870"/>
  </r>
  <r>
    <x v="2"/>
    <s v="Electronics"/>
    <n v="3616"/>
  </r>
  <r>
    <x v="2"/>
    <s v="Grocery"/>
    <n v="38159"/>
  </r>
  <r>
    <x v="7"/>
    <s v="Home"/>
    <n v="20520"/>
  </r>
  <r>
    <x v="7"/>
    <s v="Fashion"/>
    <n v="14399"/>
  </r>
  <r>
    <x v="7"/>
    <s v="Books"/>
    <n v="43177"/>
  </r>
  <r>
    <x v="3"/>
    <s v="Home"/>
    <n v="9077"/>
  </r>
  <r>
    <x v="6"/>
    <s v="Home"/>
    <n v="3652"/>
  </r>
  <r>
    <x v="3"/>
    <s v="Home"/>
    <n v="33346"/>
  </r>
  <r>
    <x v="2"/>
    <s v="Electronics"/>
    <n v="26114"/>
  </r>
  <r>
    <x v="2"/>
    <s v="Fashion"/>
    <n v="39783"/>
  </r>
  <r>
    <x v="6"/>
    <s v="Fashion"/>
    <n v="47065"/>
  </r>
  <r>
    <x v="2"/>
    <s v="Books"/>
    <n v="34084"/>
  </r>
  <r>
    <x v="1"/>
    <s v="Books"/>
    <n v="48752"/>
  </r>
  <r>
    <x v="7"/>
    <s v="Books"/>
    <n v="19947"/>
  </r>
  <r>
    <x v="3"/>
    <s v="Home"/>
    <n v="38553"/>
  </r>
  <r>
    <x v="4"/>
    <s v="Electronics"/>
    <n v="38541"/>
  </r>
  <r>
    <x v="2"/>
    <s v="Fashion"/>
    <n v="2369"/>
  </r>
  <r>
    <x v="5"/>
    <s v="Home"/>
    <n v="10224"/>
  </r>
  <r>
    <x v="7"/>
    <s v="Electronics"/>
    <n v="46553"/>
  </r>
  <r>
    <x v="5"/>
    <s v="Home"/>
    <n v="34737"/>
  </r>
  <r>
    <x v="5"/>
    <s v="Books"/>
    <n v="23518"/>
  </r>
  <r>
    <x v="0"/>
    <s v="Books"/>
    <n v="19862"/>
  </r>
  <r>
    <x v="7"/>
    <s v="Grocery"/>
    <n v="31744"/>
  </r>
  <r>
    <x v="3"/>
    <s v="Books"/>
    <n v="44643"/>
  </r>
  <r>
    <x v="0"/>
    <s v="Electronics"/>
    <n v="19150"/>
  </r>
  <r>
    <x v="7"/>
    <s v="Fashion"/>
    <n v="13542"/>
  </r>
  <r>
    <x v="3"/>
    <s v="Books"/>
    <n v="48855"/>
  </r>
  <r>
    <x v="4"/>
    <s v="Fashion"/>
    <n v="3740"/>
  </r>
  <r>
    <x v="3"/>
    <s v="Fashion"/>
    <n v="639"/>
  </r>
  <r>
    <x v="4"/>
    <s v="Grocery"/>
    <n v="21348"/>
  </r>
  <r>
    <x v="4"/>
    <s v="Books"/>
    <n v="48710"/>
  </r>
  <r>
    <x v="6"/>
    <s v="Home"/>
    <n v="32765"/>
  </r>
  <r>
    <x v="0"/>
    <s v="Books"/>
    <n v="39803"/>
  </r>
  <r>
    <x v="7"/>
    <s v="Fashion"/>
    <n v="33344"/>
  </r>
  <r>
    <x v="5"/>
    <s v="Fashion"/>
    <n v="48214"/>
  </r>
  <r>
    <x v="5"/>
    <s v="Grocery"/>
    <n v="37510"/>
  </r>
  <r>
    <x v="5"/>
    <s v="Electronics"/>
    <n v="26569"/>
  </r>
  <r>
    <x v="5"/>
    <s v="Fashion"/>
    <n v="747"/>
  </r>
  <r>
    <x v="0"/>
    <s v="Grocery"/>
    <n v="20088"/>
  </r>
  <r>
    <x v="6"/>
    <s v="Electronics"/>
    <n v="30800"/>
  </r>
  <r>
    <x v="0"/>
    <s v="Electronics"/>
    <n v="42158"/>
  </r>
  <r>
    <x v="2"/>
    <s v="Home"/>
    <n v="10339"/>
  </r>
  <r>
    <x v="7"/>
    <s v="Books"/>
    <n v="43822"/>
  </r>
  <r>
    <x v="7"/>
    <s v="Books"/>
    <n v="46422"/>
  </r>
  <r>
    <x v="4"/>
    <s v="Books"/>
    <n v="35470"/>
  </r>
  <r>
    <x v="7"/>
    <s v="Electronics"/>
    <n v="44883"/>
  </r>
  <r>
    <x v="7"/>
    <s v="Electronics"/>
    <n v="30016"/>
  </r>
  <r>
    <x v="6"/>
    <s v="Books"/>
    <n v="30602"/>
  </r>
  <r>
    <x v="6"/>
    <s v="Fashion"/>
    <n v="38200"/>
  </r>
  <r>
    <x v="3"/>
    <s v="Books"/>
    <n v="4248"/>
  </r>
  <r>
    <x v="1"/>
    <s v="Fashion"/>
    <n v="9175"/>
  </r>
  <r>
    <x v="1"/>
    <s v="Home"/>
    <n v="5559"/>
  </r>
  <r>
    <x v="1"/>
    <s v="Books"/>
    <n v="8645"/>
  </r>
  <r>
    <x v="7"/>
    <s v="Books"/>
    <n v="28095"/>
  </r>
  <r>
    <x v="5"/>
    <s v="Fashion"/>
    <n v="18364"/>
  </r>
  <r>
    <x v="6"/>
    <s v="Fashion"/>
    <n v="13805"/>
  </r>
  <r>
    <x v="6"/>
    <s v="Fashion"/>
    <n v="48832"/>
  </r>
  <r>
    <x v="4"/>
    <s v="Electronics"/>
    <n v="9483"/>
  </r>
  <r>
    <x v="5"/>
    <s v="Fashion"/>
    <n v="20076"/>
  </r>
  <r>
    <x v="0"/>
    <s v="Grocery"/>
    <n v="4294"/>
  </r>
  <r>
    <x v="6"/>
    <s v="Grocery"/>
    <n v="42460"/>
  </r>
  <r>
    <x v="1"/>
    <s v="Fashion"/>
    <n v="19953"/>
  </r>
  <r>
    <x v="4"/>
    <s v="Fashion"/>
    <n v="20009"/>
  </r>
  <r>
    <x v="1"/>
    <s v="Home"/>
    <n v="36822"/>
  </r>
  <r>
    <x v="4"/>
    <s v="Grocery"/>
    <n v="42682"/>
  </r>
  <r>
    <x v="4"/>
    <s v="Electronics"/>
    <n v="17893"/>
  </r>
  <r>
    <x v="4"/>
    <s v="Home"/>
    <n v="13989"/>
  </r>
  <r>
    <x v="4"/>
    <s v="Electronics"/>
    <n v="49247"/>
  </r>
  <r>
    <x v="4"/>
    <s v="Books"/>
    <n v="21377"/>
  </r>
  <r>
    <x v="5"/>
    <s v="Grocery"/>
    <n v="17441"/>
  </r>
  <r>
    <x v="3"/>
    <s v="Home"/>
    <n v="21286"/>
  </r>
  <r>
    <x v="6"/>
    <s v="Books"/>
    <n v="14801"/>
  </r>
  <r>
    <x v="1"/>
    <s v="Grocery"/>
    <n v="10288"/>
  </r>
  <r>
    <x v="4"/>
    <s v="Home"/>
    <n v="36386"/>
  </r>
  <r>
    <x v="7"/>
    <s v="Fashion"/>
    <n v="48322"/>
  </r>
  <r>
    <x v="7"/>
    <s v="Fashion"/>
    <n v="35829"/>
  </r>
  <r>
    <x v="6"/>
    <s v="Electronics"/>
    <n v="27326"/>
  </r>
  <r>
    <x v="6"/>
    <s v="Fashion"/>
    <n v="33443"/>
  </r>
  <r>
    <x v="7"/>
    <s v="Electronics"/>
    <n v="733"/>
  </r>
  <r>
    <x v="0"/>
    <s v="Books"/>
    <n v="19088"/>
  </r>
  <r>
    <x v="3"/>
    <s v="Electronics"/>
    <n v="34666"/>
  </r>
  <r>
    <x v="0"/>
    <s v="Grocery"/>
    <n v="17819"/>
  </r>
  <r>
    <x v="7"/>
    <s v="Books"/>
    <n v="16238"/>
  </r>
  <r>
    <x v="3"/>
    <s v="Home"/>
    <n v="25155"/>
  </r>
  <r>
    <x v="6"/>
    <s v="Fashion"/>
    <n v="5718"/>
  </r>
  <r>
    <x v="3"/>
    <s v="Books"/>
    <n v="3088"/>
  </r>
  <r>
    <x v="6"/>
    <s v="Electronics"/>
    <n v="45154"/>
  </r>
  <r>
    <x v="5"/>
    <s v="Electronics"/>
    <n v="13876"/>
  </r>
  <r>
    <x v="2"/>
    <s v="Books"/>
    <n v="16059"/>
  </r>
  <r>
    <x v="2"/>
    <s v="Electronics"/>
    <n v="33119"/>
  </r>
  <r>
    <x v="4"/>
    <s v="Electronics"/>
    <n v="22621"/>
  </r>
  <r>
    <x v="7"/>
    <s v="Home"/>
    <n v="15251"/>
  </r>
  <r>
    <x v="2"/>
    <s v="Books"/>
    <n v="43597"/>
  </r>
  <r>
    <x v="3"/>
    <s v="Electronics"/>
    <n v="17861"/>
  </r>
  <r>
    <x v="5"/>
    <s v="Grocery"/>
    <n v="7282"/>
  </r>
  <r>
    <x v="5"/>
    <s v="Grocery"/>
    <n v="6999"/>
  </r>
  <r>
    <x v="7"/>
    <s v="Books"/>
    <n v="36655"/>
  </r>
  <r>
    <x v="5"/>
    <s v="Books"/>
    <n v="6399"/>
  </r>
  <r>
    <x v="1"/>
    <s v="Home"/>
    <n v="5850"/>
  </r>
  <r>
    <x v="1"/>
    <s v="Fashion"/>
    <n v="9399"/>
  </r>
  <r>
    <x v="2"/>
    <s v="Electronics"/>
    <n v="11258"/>
  </r>
  <r>
    <x v="7"/>
    <s v="Electronics"/>
    <n v="23966"/>
  </r>
  <r>
    <x v="7"/>
    <s v="Electronics"/>
    <n v="9179"/>
  </r>
  <r>
    <x v="1"/>
    <s v="Grocery"/>
    <n v="29150"/>
  </r>
  <r>
    <x v="5"/>
    <s v="Books"/>
    <n v="45866"/>
  </r>
  <r>
    <x v="1"/>
    <s v="Grocery"/>
    <n v="19400"/>
  </r>
  <r>
    <x v="1"/>
    <s v="Grocery"/>
    <n v="26051"/>
  </r>
  <r>
    <x v="2"/>
    <s v="Books"/>
    <n v="2063"/>
  </r>
  <r>
    <x v="3"/>
    <s v="Home"/>
    <n v="44404"/>
  </r>
  <r>
    <x v="0"/>
    <s v="Fashion"/>
    <n v="47173"/>
  </r>
  <r>
    <x v="7"/>
    <s v="Books"/>
    <n v="26567"/>
  </r>
  <r>
    <x v="3"/>
    <s v="Electronics"/>
    <n v="16568"/>
  </r>
  <r>
    <x v="1"/>
    <s v="Grocery"/>
    <n v="28510"/>
  </r>
  <r>
    <x v="4"/>
    <s v="Books"/>
    <n v="49245"/>
  </r>
  <r>
    <x v="7"/>
    <s v="Books"/>
    <n v="45548"/>
  </r>
  <r>
    <x v="3"/>
    <s v="Grocery"/>
    <n v="27561"/>
  </r>
  <r>
    <x v="0"/>
    <s v="Grocery"/>
    <n v="30140"/>
  </r>
  <r>
    <x v="7"/>
    <s v="Electronics"/>
    <n v="29015"/>
  </r>
  <r>
    <x v="6"/>
    <s v="Electronics"/>
    <n v="1780"/>
  </r>
  <r>
    <x v="2"/>
    <s v="Books"/>
    <n v="10794"/>
  </r>
  <r>
    <x v="4"/>
    <s v="Home"/>
    <n v="41571"/>
  </r>
  <r>
    <x v="6"/>
    <s v="Books"/>
    <n v="13231"/>
  </r>
  <r>
    <x v="4"/>
    <s v="Fashion"/>
    <n v="18541"/>
  </r>
  <r>
    <x v="2"/>
    <s v="Grocery"/>
    <n v="21663"/>
  </r>
  <r>
    <x v="7"/>
    <s v="Books"/>
    <n v="42184"/>
  </r>
  <r>
    <x v="5"/>
    <s v="Grocery"/>
    <n v="30306"/>
  </r>
  <r>
    <x v="5"/>
    <s v="Electronics"/>
    <n v="15935"/>
  </r>
  <r>
    <x v="2"/>
    <s v="Books"/>
    <n v="25758"/>
  </r>
  <r>
    <x v="2"/>
    <s v="Home"/>
    <n v="41948"/>
  </r>
  <r>
    <x v="0"/>
    <s v="Fashion"/>
    <n v="12561"/>
  </r>
  <r>
    <x v="6"/>
    <s v="Home"/>
    <n v="9247"/>
  </r>
  <r>
    <x v="7"/>
    <s v="Home"/>
    <n v="45172"/>
  </r>
  <r>
    <x v="2"/>
    <s v="Electronics"/>
    <n v="37353"/>
  </r>
  <r>
    <x v="0"/>
    <s v="Fashion"/>
    <n v="35532"/>
  </r>
  <r>
    <x v="7"/>
    <s v="Books"/>
    <n v="33776"/>
  </r>
  <r>
    <x v="5"/>
    <s v="Books"/>
    <n v="49896"/>
  </r>
  <r>
    <x v="1"/>
    <s v="Electronics"/>
    <n v="48533"/>
  </r>
  <r>
    <x v="0"/>
    <s v="Grocery"/>
    <n v="6000"/>
  </r>
  <r>
    <x v="5"/>
    <s v="Books"/>
    <n v="41769"/>
  </r>
  <r>
    <x v="4"/>
    <s v="Electronics"/>
    <n v="37660"/>
  </r>
  <r>
    <x v="2"/>
    <s v="Grocery"/>
    <n v="46440"/>
  </r>
  <r>
    <x v="3"/>
    <s v="Fashion"/>
    <n v="49458"/>
  </r>
  <r>
    <x v="2"/>
    <s v="Fashion"/>
    <n v="9884"/>
  </r>
  <r>
    <x v="2"/>
    <s v="Books"/>
    <n v="41745"/>
  </r>
  <r>
    <x v="3"/>
    <s v="Electronics"/>
    <n v="26701"/>
  </r>
  <r>
    <x v="5"/>
    <s v="Books"/>
    <n v="462"/>
  </r>
  <r>
    <x v="1"/>
    <s v="Fashion"/>
    <n v="28457"/>
  </r>
  <r>
    <x v="0"/>
    <s v="Grocery"/>
    <n v="36168"/>
  </r>
  <r>
    <x v="6"/>
    <s v="Electronics"/>
    <n v="6825"/>
  </r>
  <r>
    <x v="7"/>
    <s v="Home"/>
    <n v="344"/>
  </r>
  <r>
    <x v="2"/>
    <s v="Grocery"/>
    <n v="6417"/>
  </r>
  <r>
    <x v="2"/>
    <s v="Electronics"/>
    <n v="26274"/>
  </r>
  <r>
    <x v="3"/>
    <s v="Electronics"/>
    <n v="14286"/>
  </r>
  <r>
    <x v="7"/>
    <s v="Electronics"/>
    <n v="828"/>
  </r>
  <r>
    <x v="7"/>
    <s v="Electronics"/>
    <n v="15304"/>
  </r>
  <r>
    <x v="5"/>
    <s v="Grocery"/>
    <n v="19911"/>
  </r>
  <r>
    <x v="3"/>
    <s v="Books"/>
    <n v="37215"/>
  </r>
  <r>
    <x v="4"/>
    <s v="Fashion"/>
    <n v="27281"/>
  </r>
  <r>
    <x v="2"/>
    <s v="Electronics"/>
    <n v="38938"/>
  </r>
  <r>
    <x v="2"/>
    <s v="Fashion"/>
    <n v="18451"/>
  </r>
  <r>
    <x v="6"/>
    <s v="Grocery"/>
    <n v="13764"/>
  </r>
  <r>
    <x v="4"/>
    <s v="Home"/>
    <n v="25589"/>
  </r>
  <r>
    <x v="6"/>
    <s v="Grocery"/>
    <n v="21040"/>
  </r>
  <r>
    <x v="2"/>
    <s v="Home"/>
    <n v="5083"/>
  </r>
  <r>
    <x v="0"/>
    <s v="Fashion"/>
    <n v="2910"/>
  </r>
  <r>
    <x v="1"/>
    <s v="Home"/>
    <n v="46293"/>
  </r>
  <r>
    <x v="2"/>
    <s v="Grocery"/>
    <n v="5778"/>
  </r>
  <r>
    <x v="2"/>
    <s v="Books"/>
    <n v="21713"/>
  </r>
  <r>
    <x v="1"/>
    <s v="Fashion"/>
    <n v="4094"/>
  </r>
  <r>
    <x v="7"/>
    <s v="Books"/>
    <n v="40200"/>
  </r>
  <r>
    <x v="6"/>
    <s v="Fashion"/>
    <n v="46273"/>
  </r>
  <r>
    <x v="0"/>
    <s v="Fashion"/>
    <n v="24670"/>
  </r>
  <r>
    <x v="5"/>
    <s v="Home"/>
    <n v="18124"/>
  </r>
  <r>
    <x v="7"/>
    <s v="Books"/>
    <n v="23901"/>
  </r>
  <r>
    <x v="2"/>
    <s v="Grocery"/>
    <n v="7043"/>
  </r>
  <r>
    <x v="6"/>
    <s v="Electronics"/>
    <n v="16326"/>
  </r>
  <r>
    <x v="2"/>
    <s v="Fashion"/>
    <n v="2617"/>
  </r>
  <r>
    <x v="1"/>
    <s v="Grocery"/>
    <n v="18077"/>
  </r>
  <r>
    <x v="6"/>
    <s v="Fashion"/>
    <n v="14926"/>
  </r>
  <r>
    <x v="0"/>
    <s v="Grocery"/>
    <n v="21749"/>
  </r>
  <r>
    <x v="5"/>
    <s v="Fashion"/>
    <n v="19409"/>
  </r>
  <r>
    <x v="7"/>
    <s v="Fashion"/>
    <n v="48302"/>
  </r>
  <r>
    <x v="6"/>
    <s v="Fashion"/>
    <n v="35790"/>
  </r>
  <r>
    <x v="1"/>
    <s v="Grocery"/>
    <n v="7112"/>
  </r>
  <r>
    <x v="7"/>
    <s v="Electronics"/>
    <n v="9630"/>
  </r>
  <r>
    <x v="1"/>
    <s v="Grocery"/>
    <n v="30345"/>
  </r>
  <r>
    <x v="2"/>
    <s v="Home"/>
    <n v="5204"/>
  </r>
  <r>
    <x v="0"/>
    <s v="Grocery"/>
    <n v="20944"/>
  </r>
  <r>
    <x v="0"/>
    <s v="Fashion"/>
    <n v="5194"/>
  </r>
  <r>
    <x v="3"/>
    <s v="Fashion"/>
    <n v="29762"/>
  </r>
  <r>
    <x v="5"/>
    <s v="Fashion"/>
    <n v="29916"/>
  </r>
  <r>
    <x v="3"/>
    <s v="Fashion"/>
    <n v="45261"/>
  </r>
  <r>
    <x v="2"/>
    <s v="Electronics"/>
    <n v="46906"/>
  </r>
  <r>
    <x v="6"/>
    <s v="Grocery"/>
    <n v="17350"/>
  </r>
  <r>
    <x v="4"/>
    <s v="Electronics"/>
    <n v="30580"/>
  </r>
  <r>
    <x v="6"/>
    <s v="Fashion"/>
    <n v="8866"/>
  </r>
  <r>
    <x v="0"/>
    <s v="Electronics"/>
    <n v="1728"/>
  </r>
  <r>
    <x v="3"/>
    <s v="Grocery"/>
    <n v="8329"/>
  </r>
  <r>
    <x v="1"/>
    <s v="Home"/>
    <n v="32814"/>
  </r>
  <r>
    <x v="5"/>
    <s v="Fashion"/>
    <n v="12565"/>
  </r>
  <r>
    <x v="6"/>
    <s v="Books"/>
    <n v="40878"/>
  </r>
  <r>
    <x v="7"/>
    <s v="Electronics"/>
    <n v="6048"/>
  </r>
  <r>
    <x v="4"/>
    <s v="Books"/>
    <n v="16628"/>
  </r>
  <r>
    <x v="7"/>
    <s v="Grocery"/>
    <n v="37370"/>
  </r>
  <r>
    <x v="6"/>
    <s v="Grocery"/>
    <n v="39432"/>
  </r>
  <r>
    <x v="7"/>
    <s v="Books"/>
    <n v="23724"/>
  </r>
  <r>
    <x v="4"/>
    <s v="Grocery"/>
    <n v="35275"/>
  </r>
  <r>
    <x v="2"/>
    <s v="Fashion"/>
    <n v="15802"/>
  </r>
  <r>
    <x v="2"/>
    <s v="Books"/>
    <n v="12636"/>
  </r>
  <r>
    <x v="7"/>
    <s v="Electronics"/>
    <n v="6215"/>
  </r>
  <r>
    <x v="7"/>
    <s v="Electronics"/>
    <n v="22040"/>
  </r>
  <r>
    <x v="5"/>
    <s v="Electronics"/>
    <n v="1736"/>
  </r>
  <r>
    <x v="5"/>
    <s v="Electronics"/>
    <n v="24783"/>
  </r>
  <r>
    <x v="0"/>
    <s v="Grocery"/>
    <n v="9242"/>
  </r>
  <r>
    <x v="2"/>
    <s v="Books"/>
    <n v="45753"/>
  </r>
  <r>
    <x v="0"/>
    <s v="Grocery"/>
    <n v="8645"/>
  </r>
  <r>
    <x v="6"/>
    <s v="Fashion"/>
    <n v="39778"/>
  </r>
  <r>
    <x v="2"/>
    <s v="Grocery"/>
    <n v="49146"/>
  </r>
  <r>
    <x v="2"/>
    <s v="Electronics"/>
    <n v="46762"/>
  </r>
  <r>
    <x v="4"/>
    <s v="Fashion"/>
    <n v="45727"/>
  </r>
  <r>
    <x v="6"/>
    <s v="Electronics"/>
    <n v="25592"/>
  </r>
  <r>
    <x v="7"/>
    <s v="Home"/>
    <n v="23318"/>
  </r>
  <r>
    <x v="4"/>
    <s v="Fashion"/>
    <n v="29875"/>
  </r>
  <r>
    <x v="5"/>
    <s v="Grocery"/>
    <n v="7163"/>
  </r>
  <r>
    <x v="2"/>
    <s v="Electronics"/>
    <n v="36151"/>
  </r>
  <r>
    <x v="1"/>
    <s v="Fashion"/>
    <n v="40101"/>
  </r>
  <r>
    <x v="5"/>
    <s v="Fashion"/>
    <n v="12750"/>
  </r>
  <r>
    <x v="0"/>
    <s v="Grocery"/>
    <n v="15867"/>
  </r>
  <r>
    <x v="7"/>
    <s v="Fashion"/>
    <n v="3872"/>
  </r>
  <r>
    <x v="0"/>
    <s v="Books"/>
    <n v="31778"/>
  </r>
  <r>
    <x v="2"/>
    <s v="Grocery"/>
    <n v="5669"/>
  </r>
  <r>
    <x v="7"/>
    <s v="Home"/>
    <n v="43621"/>
  </r>
  <r>
    <x v="2"/>
    <s v="Grocery"/>
    <n v="25298"/>
  </r>
  <r>
    <x v="0"/>
    <s v="Home"/>
    <n v="30778"/>
  </r>
  <r>
    <x v="6"/>
    <s v="Fashion"/>
    <n v="49598"/>
  </r>
  <r>
    <x v="1"/>
    <s v="Books"/>
    <n v="15210"/>
  </r>
  <r>
    <x v="7"/>
    <s v="Books"/>
    <n v="15743"/>
  </r>
  <r>
    <x v="6"/>
    <s v="Books"/>
    <n v="37735"/>
  </r>
  <r>
    <x v="2"/>
    <s v="Fashion"/>
    <n v="12930"/>
  </r>
  <r>
    <x v="1"/>
    <s v="Fashion"/>
    <n v="41405"/>
  </r>
  <r>
    <x v="3"/>
    <s v="Home"/>
    <n v="36761"/>
  </r>
  <r>
    <x v="7"/>
    <s v="Electronics"/>
    <n v="46202"/>
  </r>
  <r>
    <x v="2"/>
    <s v="Books"/>
    <n v="38830"/>
  </r>
  <r>
    <x v="5"/>
    <s v="Home"/>
    <n v="17610"/>
  </r>
  <r>
    <x v="2"/>
    <s v="Grocery"/>
    <n v="26709"/>
  </r>
  <r>
    <x v="5"/>
    <s v="Fashion"/>
    <n v="3530"/>
  </r>
  <r>
    <x v="5"/>
    <s v="Grocery"/>
    <n v="20678"/>
  </r>
  <r>
    <x v="2"/>
    <s v="Grocery"/>
    <n v="49040"/>
  </r>
  <r>
    <x v="3"/>
    <s v="Fashion"/>
    <n v="29248"/>
  </r>
  <r>
    <x v="5"/>
    <s v="Electronics"/>
    <n v="34068"/>
  </r>
  <r>
    <x v="1"/>
    <s v="Fashion"/>
    <n v="34659"/>
  </r>
  <r>
    <x v="6"/>
    <s v="Fashion"/>
    <n v="2467"/>
  </r>
  <r>
    <x v="0"/>
    <s v="Grocery"/>
    <n v="30723"/>
  </r>
  <r>
    <x v="5"/>
    <s v="Home"/>
    <n v="39231"/>
  </r>
  <r>
    <x v="5"/>
    <s v="Grocery"/>
    <n v="11016"/>
  </r>
  <r>
    <x v="1"/>
    <s v="Electronics"/>
    <n v="10976"/>
  </r>
  <r>
    <x v="0"/>
    <s v="Home"/>
    <n v="33938"/>
  </r>
  <r>
    <x v="2"/>
    <s v="Books"/>
    <n v="854"/>
  </r>
  <r>
    <x v="1"/>
    <s v="Home"/>
    <n v="23153"/>
  </r>
  <r>
    <x v="0"/>
    <s v="Books"/>
    <n v="41168"/>
  </r>
  <r>
    <x v="5"/>
    <s v="Books"/>
    <n v="42724"/>
  </r>
  <r>
    <x v="3"/>
    <s v="Grocery"/>
    <n v="18419"/>
  </r>
  <r>
    <x v="4"/>
    <s v="Fashion"/>
    <n v="34201"/>
  </r>
  <r>
    <x v="2"/>
    <s v="Electronics"/>
    <n v="43252"/>
  </r>
  <r>
    <x v="1"/>
    <s v="Home"/>
    <n v="48582"/>
  </r>
  <r>
    <x v="4"/>
    <s v="Books"/>
    <n v="42132"/>
  </r>
  <r>
    <x v="2"/>
    <s v="Books"/>
    <n v="12170"/>
  </r>
  <r>
    <x v="0"/>
    <s v="Books"/>
    <n v="12297"/>
  </r>
  <r>
    <x v="4"/>
    <s v="Grocery"/>
    <n v="27856"/>
  </r>
  <r>
    <x v="0"/>
    <s v="Home"/>
    <n v="8018"/>
  </r>
  <r>
    <x v="4"/>
    <s v="Books"/>
    <n v="8152"/>
  </r>
  <r>
    <x v="6"/>
    <s v="Fashion"/>
    <n v="9302"/>
  </r>
  <r>
    <x v="7"/>
    <s v="Fashion"/>
    <n v="21034"/>
  </r>
  <r>
    <x v="2"/>
    <s v="Grocery"/>
    <n v="41882"/>
  </r>
  <r>
    <x v="4"/>
    <s v="Fashion"/>
    <n v="38067"/>
  </r>
  <r>
    <x v="1"/>
    <s v="Home"/>
    <n v="26736"/>
  </r>
  <r>
    <x v="6"/>
    <s v="Books"/>
    <n v="13368"/>
  </r>
  <r>
    <x v="4"/>
    <s v="Electronics"/>
    <n v="44651"/>
  </r>
  <r>
    <x v="0"/>
    <s v="Fashion"/>
    <n v="7031"/>
  </r>
  <r>
    <x v="3"/>
    <s v="Electronics"/>
    <n v="19842"/>
  </r>
  <r>
    <x v="5"/>
    <s v="Home"/>
    <n v="45308"/>
  </r>
  <r>
    <x v="4"/>
    <s v="Fashion"/>
    <n v="26736"/>
  </r>
  <r>
    <x v="4"/>
    <s v="Electronics"/>
    <n v="38946"/>
  </r>
  <r>
    <x v="1"/>
    <s v="Grocery"/>
    <n v="35344"/>
  </r>
  <r>
    <x v="6"/>
    <s v="Electronics"/>
    <n v="27613"/>
  </r>
  <r>
    <x v="0"/>
    <s v="Home"/>
    <n v="46297"/>
  </r>
  <r>
    <x v="1"/>
    <s v="Electronics"/>
    <n v="43716"/>
  </r>
  <r>
    <x v="3"/>
    <s v="Grocery"/>
    <n v="7771"/>
  </r>
  <r>
    <x v="0"/>
    <s v="Books"/>
    <n v="13516"/>
  </r>
  <r>
    <x v="6"/>
    <s v="Books"/>
    <n v="32829"/>
  </r>
  <r>
    <x v="6"/>
    <s v="Electronics"/>
    <n v="44316"/>
  </r>
  <r>
    <x v="3"/>
    <s v="Books"/>
    <n v="5218"/>
  </r>
  <r>
    <x v="0"/>
    <s v="Grocery"/>
    <n v="30726"/>
  </r>
  <r>
    <x v="0"/>
    <s v="Grocery"/>
    <n v="44652"/>
  </r>
  <r>
    <x v="6"/>
    <s v="Electronics"/>
    <n v="9369"/>
  </r>
  <r>
    <x v="0"/>
    <s v="Electronics"/>
    <n v="24720"/>
  </r>
  <r>
    <x v="1"/>
    <s v="Home"/>
    <n v="18114"/>
  </r>
  <r>
    <x v="3"/>
    <s v="Fashion"/>
    <n v="45924"/>
  </r>
  <r>
    <x v="7"/>
    <s v="Books"/>
    <n v="44759"/>
  </r>
  <r>
    <x v="6"/>
    <s v="Fashion"/>
    <n v="31959"/>
  </r>
  <r>
    <x v="6"/>
    <s v="Electronics"/>
    <n v="17445"/>
  </r>
  <r>
    <x v="4"/>
    <s v="Grocery"/>
    <n v="34319"/>
  </r>
  <r>
    <x v="5"/>
    <s v="Home"/>
    <n v="10042"/>
  </r>
  <r>
    <x v="7"/>
    <s v="Home"/>
    <n v="11139"/>
  </r>
  <r>
    <x v="5"/>
    <s v="Grocery"/>
    <n v="3599"/>
  </r>
  <r>
    <x v="4"/>
    <s v="Electronics"/>
    <n v="30387"/>
  </r>
  <r>
    <x v="7"/>
    <s v="Home"/>
    <n v="21013"/>
  </r>
  <r>
    <x v="1"/>
    <s v="Home"/>
    <n v="2648"/>
  </r>
  <r>
    <x v="4"/>
    <s v="Home"/>
    <n v="22638"/>
  </r>
  <r>
    <x v="5"/>
    <s v="Books"/>
    <n v="40916"/>
  </r>
  <r>
    <x v="3"/>
    <s v="Fashion"/>
    <n v="443"/>
  </r>
  <r>
    <x v="5"/>
    <s v="Electronics"/>
    <n v="3300"/>
  </r>
  <r>
    <x v="3"/>
    <s v="Grocery"/>
    <n v="40332"/>
  </r>
  <r>
    <x v="4"/>
    <s v="Home"/>
    <n v="12789"/>
  </r>
  <r>
    <x v="3"/>
    <s v="Home"/>
    <n v="30275"/>
  </r>
  <r>
    <x v="6"/>
    <s v="Books"/>
    <n v="28664"/>
  </r>
  <r>
    <x v="2"/>
    <s v="Fashion"/>
    <n v="7086"/>
  </r>
  <r>
    <x v="1"/>
    <s v="Books"/>
    <n v="45684"/>
  </r>
  <r>
    <x v="0"/>
    <s v="Home"/>
    <n v="9040"/>
  </r>
  <r>
    <x v="5"/>
    <s v="Books"/>
    <n v="41756"/>
  </r>
  <r>
    <x v="5"/>
    <s v="Fashion"/>
    <n v="46856"/>
  </r>
  <r>
    <x v="3"/>
    <s v="Grocery"/>
    <n v="37149"/>
  </r>
  <r>
    <x v="0"/>
    <s v="Home"/>
    <n v="1136"/>
  </r>
  <r>
    <x v="6"/>
    <s v="Electronics"/>
    <n v="13400"/>
  </r>
  <r>
    <x v="2"/>
    <s v="Electronics"/>
    <n v="45558"/>
  </r>
  <r>
    <x v="5"/>
    <s v="Home"/>
    <n v="7016"/>
  </r>
  <r>
    <x v="0"/>
    <s v="Electronics"/>
    <n v="25307"/>
  </r>
  <r>
    <x v="6"/>
    <s v="Electronics"/>
    <n v="49037"/>
  </r>
  <r>
    <x v="5"/>
    <s v="Books"/>
    <n v="36122"/>
  </r>
  <r>
    <x v="2"/>
    <s v="Electronics"/>
    <n v="12553"/>
  </r>
  <r>
    <x v="6"/>
    <s v="Home"/>
    <n v="18591"/>
  </r>
  <r>
    <x v="0"/>
    <s v="Electronics"/>
    <n v="21963"/>
  </r>
  <r>
    <x v="5"/>
    <s v="Books"/>
    <n v="3632"/>
  </r>
  <r>
    <x v="3"/>
    <s v="Grocery"/>
    <n v="34732"/>
  </r>
  <r>
    <x v="2"/>
    <s v="Home"/>
    <n v="35891"/>
  </r>
  <r>
    <x v="4"/>
    <s v="Grocery"/>
    <n v="21996"/>
  </r>
  <r>
    <x v="7"/>
    <s v="Books"/>
    <n v="49591"/>
  </r>
  <r>
    <x v="4"/>
    <s v="Books"/>
    <n v="41006"/>
  </r>
  <r>
    <x v="3"/>
    <s v="Home"/>
    <n v="17115"/>
  </r>
  <r>
    <x v="7"/>
    <s v="Home"/>
    <n v="3173"/>
  </r>
  <r>
    <x v="3"/>
    <s v="Electronics"/>
    <n v="11270"/>
  </r>
  <r>
    <x v="1"/>
    <s v="Electronics"/>
    <n v="13772"/>
  </r>
  <r>
    <x v="7"/>
    <s v="Grocery"/>
    <n v="2782"/>
  </r>
  <r>
    <x v="0"/>
    <s v="Books"/>
    <n v="4916"/>
  </r>
  <r>
    <x v="7"/>
    <s v="Home"/>
    <n v="28678"/>
  </r>
  <r>
    <x v="6"/>
    <s v="Books"/>
    <n v="4444"/>
  </r>
  <r>
    <x v="3"/>
    <s v="Grocery"/>
    <n v="45249"/>
  </r>
  <r>
    <x v="1"/>
    <s v="Home"/>
    <n v="43601"/>
  </r>
  <r>
    <x v="4"/>
    <s v="Fashion"/>
    <n v="49239"/>
  </r>
  <r>
    <x v="0"/>
    <s v="Grocery"/>
    <n v="1030"/>
  </r>
  <r>
    <x v="1"/>
    <s v="Books"/>
    <n v="36182"/>
  </r>
  <r>
    <x v="4"/>
    <s v="Home"/>
    <n v="42631"/>
  </r>
  <r>
    <x v="0"/>
    <s v="Fashion"/>
    <n v="7811"/>
  </r>
  <r>
    <x v="7"/>
    <s v="Books"/>
    <n v="5093"/>
  </r>
  <r>
    <x v="4"/>
    <s v="Books"/>
    <n v="32228"/>
  </r>
  <r>
    <x v="3"/>
    <s v="Grocery"/>
    <n v="40900"/>
  </r>
  <r>
    <x v="7"/>
    <s v="Grocery"/>
    <n v="40692"/>
  </r>
  <r>
    <x v="5"/>
    <s v="Grocery"/>
    <n v="28369"/>
  </r>
  <r>
    <x v="4"/>
    <s v="Home"/>
    <n v="18432"/>
  </r>
  <r>
    <x v="7"/>
    <s v="Home"/>
    <n v="23810"/>
  </r>
  <r>
    <x v="2"/>
    <s v="Books"/>
    <n v="5672"/>
  </r>
  <r>
    <x v="0"/>
    <s v="Electronics"/>
    <n v="47972"/>
  </r>
  <r>
    <x v="1"/>
    <s v="Books"/>
    <n v="14243"/>
  </r>
  <r>
    <x v="7"/>
    <s v="Fashion"/>
    <n v="24274"/>
  </r>
  <r>
    <x v="7"/>
    <s v="Books"/>
    <n v="33750"/>
  </r>
  <r>
    <x v="6"/>
    <s v="Fashion"/>
    <n v="40541"/>
  </r>
  <r>
    <x v="2"/>
    <s v="Fashion"/>
    <n v="37416"/>
  </r>
  <r>
    <x v="4"/>
    <s v="Home"/>
    <n v="15487"/>
  </r>
  <r>
    <x v="6"/>
    <s v="Fashion"/>
    <n v="34240"/>
  </r>
  <r>
    <x v="6"/>
    <s v="Electronics"/>
    <n v="42801"/>
  </r>
  <r>
    <x v="0"/>
    <s v="Books"/>
    <n v="35974"/>
  </r>
  <r>
    <x v="3"/>
    <s v="Books"/>
    <n v="16787"/>
  </r>
  <r>
    <x v="5"/>
    <s v="Grocery"/>
    <n v="32206"/>
  </r>
  <r>
    <x v="7"/>
    <s v="Fashion"/>
    <n v="15372"/>
  </r>
  <r>
    <x v="2"/>
    <s v="Fashion"/>
    <n v="10612"/>
  </r>
  <r>
    <x v="5"/>
    <s v="Electronics"/>
    <n v="31856"/>
  </r>
  <r>
    <x v="1"/>
    <s v="Electronics"/>
    <n v="16269"/>
  </r>
  <r>
    <x v="6"/>
    <s v="Books"/>
    <n v="9924"/>
  </r>
  <r>
    <x v="1"/>
    <s v="Books"/>
    <n v="37236"/>
  </r>
  <r>
    <x v="7"/>
    <s v="Books"/>
    <n v="31194"/>
  </r>
  <r>
    <x v="2"/>
    <s v="Books"/>
    <n v="12219"/>
  </r>
  <r>
    <x v="3"/>
    <s v="Fashion"/>
    <n v="25086"/>
  </r>
  <r>
    <x v="4"/>
    <s v="Books"/>
    <n v="33353"/>
  </r>
  <r>
    <x v="7"/>
    <s v="Books"/>
    <n v="39609"/>
  </r>
  <r>
    <x v="3"/>
    <s v="Home"/>
    <n v="43513"/>
  </r>
  <r>
    <x v="1"/>
    <s v="Grocery"/>
    <n v="3146"/>
  </r>
  <r>
    <x v="5"/>
    <s v="Books"/>
    <n v="48887"/>
  </r>
  <r>
    <x v="7"/>
    <s v="Fashion"/>
    <n v="5793"/>
  </r>
  <r>
    <x v="4"/>
    <s v="Electronics"/>
    <n v="46774"/>
  </r>
  <r>
    <x v="6"/>
    <s v="Home"/>
    <n v="43196"/>
  </r>
  <r>
    <x v="3"/>
    <s v="Fashion"/>
    <n v="28223"/>
  </r>
  <r>
    <x v="5"/>
    <s v="Books"/>
    <n v="18359"/>
  </r>
  <r>
    <x v="7"/>
    <s v="Fashion"/>
    <n v="24562"/>
  </r>
  <r>
    <x v="5"/>
    <s v="Home"/>
    <n v="48520"/>
  </r>
  <r>
    <x v="2"/>
    <s v="Electronics"/>
    <n v="14354"/>
  </r>
  <r>
    <x v="2"/>
    <s v="Home"/>
    <n v="41972"/>
  </r>
  <r>
    <x v="1"/>
    <s v="Electronics"/>
    <n v="4499"/>
  </r>
  <r>
    <x v="6"/>
    <s v="Home"/>
    <n v="26556"/>
  </r>
  <r>
    <x v="7"/>
    <s v="Electronics"/>
    <n v="13519"/>
  </r>
  <r>
    <x v="4"/>
    <s v="Books"/>
    <n v="11407"/>
  </r>
  <r>
    <x v="2"/>
    <s v="Electronics"/>
    <n v="18383"/>
  </r>
  <r>
    <x v="4"/>
    <s v="Books"/>
    <n v="1307"/>
  </r>
  <r>
    <x v="5"/>
    <s v="Grocery"/>
    <n v="18421"/>
  </r>
  <r>
    <x v="6"/>
    <s v="Grocery"/>
    <n v="11771"/>
  </r>
  <r>
    <x v="3"/>
    <s v="Books"/>
    <n v="19584"/>
  </r>
  <r>
    <x v="0"/>
    <s v="Home"/>
    <n v="25012"/>
  </r>
  <r>
    <x v="7"/>
    <s v="Books"/>
    <n v="2092"/>
  </r>
  <r>
    <x v="1"/>
    <s v="Fashion"/>
    <n v="44662"/>
  </r>
  <r>
    <x v="6"/>
    <s v="Grocery"/>
    <n v="16569"/>
  </r>
  <r>
    <x v="3"/>
    <s v="Books"/>
    <n v="11997"/>
  </r>
  <r>
    <x v="0"/>
    <s v="Fashion"/>
    <n v="49200"/>
  </r>
  <r>
    <x v="4"/>
    <s v="Grocery"/>
    <n v="13851"/>
  </r>
  <r>
    <x v="2"/>
    <s v="Electronics"/>
    <n v="8156"/>
  </r>
  <r>
    <x v="6"/>
    <s v="Home"/>
    <n v="24626"/>
  </r>
  <r>
    <x v="2"/>
    <s v="Books"/>
    <n v="18667"/>
  </r>
  <r>
    <x v="1"/>
    <s v="Home"/>
    <n v="35739"/>
  </r>
  <r>
    <x v="2"/>
    <s v="Home"/>
    <n v="8188"/>
  </r>
  <r>
    <x v="4"/>
    <s v="Home"/>
    <n v="38376"/>
  </r>
  <r>
    <x v="2"/>
    <s v="Books"/>
    <n v="17526"/>
  </r>
  <r>
    <x v="5"/>
    <s v="Fashion"/>
    <n v="32987"/>
  </r>
  <r>
    <x v="5"/>
    <s v="Home"/>
    <n v="18625"/>
  </r>
  <r>
    <x v="4"/>
    <s v="Electronics"/>
    <n v="47539"/>
  </r>
  <r>
    <x v="1"/>
    <s v="Fashion"/>
    <n v="9858"/>
  </r>
  <r>
    <x v="1"/>
    <s v="Home"/>
    <n v="9112"/>
  </r>
  <r>
    <x v="6"/>
    <s v="Home"/>
    <n v="6786"/>
  </r>
  <r>
    <x v="7"/>
    <s v="Electronics"/>
    <n v="29781"/>
  </r>
  <r>
    <x v="0"/>
    <s v="Grocery"/>
    <n v="1599"/>
  </r>
  <r>
    <x v="2"/>
    <s v="Grocery"/>
    <n v="23572"/>
  </r>
  <r>
    <x v="3"/>
    <s v="Home"/>
    <n v="40517"/>
  </r>
  <r>
    <x v="5"/>
    <s v="Home"/>
    <n v="41671"/>
  </r>
  <r>
    <x v="5"/>
    <s v="Fashion"/>
    <n v="20844"/>
  </r>
  <r>
    <x v="0"/>
    <s v="Home"/>
    <n v="24100"/>
  </r>
  <r>
    <x v="6"/>
    <s v="Fashion"/>
    <n v="47995"/>
  </r>
  <r>
    <x v="2"/>
    <s v="Home"/>
    <n v="7050"/>
  </r>
  <r>
    <x v="6"/>
    <s v="Electronics"/>
    <n v="26318"/>
  </r>
  <r>
    <x v="3"/>
    <s v="Home"/>
    <n v="20574"/>
  </r>
  <r>
    <x v="2"/>
    <s v="Fashion"/>
    <n v="34820"/>
  </r>
  <r>
    <x v="5"/>
    <s v="Home"/>
    <n v="30917"/>
  </r>
  <r>
    <x v="2"/>
    <s v="Books"/>
    <n v="39463"/>
  </r>
  <r>
    <x v="0"/>
    <s v="Grocery"/>
    <n v="31865"/>
  </r>
  <r>
    <x v="5"/>
    <s v="Home"/>
    <n v="17326"/>
  </r>
  <r>
    <x v="2"/>
    <s v="Grocery"/>
    <n v="19093"/>
  </r>
  <r>
    <x v="7"/>
    <s v="Grocery"/>
    <n v="898"/>
  </r>
  <r>
    <x v="5"/>
    <s v="Fashion"/>
    <n v="27283"/>
  </r>
  <r>
    <x v="1"/>
    <s v="Home"/>
    <n v="14756"/>
  </r>
  <r>
    <x v="0"/>
    <s v="Grocery"/>
    <n v="42797"/>
  </r>
  <r>
    <x v="2"/>
    <s v="Fashion"/>
    <n v="19278"/>
  </r>
  <r>
    <x v="7"/>
    <s v="Fashion"/>
    <n v="21313"/>
  </r>
  <r>
    <x v="6"/>
    <s v="Fashion"/>
    <n v="7002"/>
  </r>
  <r>
    <x v="6"/>
    <s v="Fashion"/>
    <n v="6211"/>
  </r>
  <r>
    <x v="5"/>
    <s v="Home"/>
    <n v="20719"/>
  </r>
  <r>
    <x v="5"/>
    <s v="Electronics"/>
    <n v="49489"/>
  </r>
  <r>
    <x v="3"/>
    <s v="Books"/>
    <n v="31111"/>
  </r>
  <r>
    <x v="6"/>
    <s v="Electronics"/>
    <n v="47137"/>
  </r>
  <r>
    <x v="6"/>
    <s v="Fashion"/>
    <n v="30501"/>
  </r>
  <r>
    <x v="1"/>
    <s v="Grocery"/>
    <n v="21472"/>
  </r>
  <r>
    <x v="3"/>
    <s v="Grocery"/>
    <n v="31837"/>
  </r>
  <r>
    <x v="4"/>
    <s v="Electronics"/>
    <n v="15764"/>
  </r>
  <r>
    <x v="0"/>
    <s v="Books"/>
    <n v="8141"/>
  </r>
  <r>
    <x v="7"/>
    <s v="Books"/>
    <n v="10457"/>
  </r>
  <r>
    <x v="7"/>
    <s v="Electronics"/>
    <n v="45254"/>
  </r>
  <r>
    <x v="2"/>
    <s v="Books"/>
    <n v="7338"/>
  </r>
  <r>
    <x v="5"/>
    <s v="Home"/>
    <n v="48350"/>
  </r>
  <r>
    <x v="2"/>
    <s v="Grocery"/>
    <n v="2887"/>
  </r>
  <r>
    <x v="7"/>
    <s v="Fashion"/>
    <n v="37439"/>
  </r>
  <r>
    <x v="7"/>
    <s v="Grocery"/>
    <n v="39535"/>
  </r>
  <r>
    <x v="7"/>
    <s v="Grocery"/>
    <n v="17558"/>
  </r>
  <r>
    <x v="1"/>
    <s v="Fashion"/>
    <n v="1526"/>
  </r>
  <r>
    <x v="1"/>
    <s v="Fashion"/>
    <n v="34645"/>
  </r>
  <r>
    <x v="5"/>
    <s v="Home"/>
    <n v="42302"/>
  </r>
  <r>
    <x v="3"/>
    <s v="Electronics"/>
    <n v="8804"/>
  </r>
  <r>
    <x v="7"/>
    <s v="Fashion"/>
    <n v="6771"/>
  </r>
  <r>
    <x v="0"/>
    <s v="Electronics"/>
    <n v="24309"/>
  </r>
  <r>
    <x v="7"/>
    <s v="Electronics"/>
    <n v="30974"/>
  </r>
  <r>
    <x v="5"/>
    <s v="Electronics"/>
    <n v="40731"/>
  </r>
  <r>
    <x v="0"/>
    <s v="Electronics"/>
    <n v="14449"/>
  </r>
  <r>
    <x v="1"/>
    <s v="Fashion"/>
    <n v="12956"/>
  </r>
  <r>
    <x v="1"/>
    <s v="Electronics"/>
    <n v="42152"/>
  </r>
  <r>
    <x v="2"/>
    <s v="Fashion"/>
    <n v="36342"/>
  </r>
  <r>
    <x v="7"/>
    <s v="Grocery"/>
    <n v="20953"/>
  </r>
  <r>
    <x v="5"/>
    <s v="Books"/>
    <n v="16075"/>
  </r>
  <r>
    <x v="5"/>
    <s v="Home"/>
    <n v="29627"/>
  </r>
  <r>
    <x v="6"/>
    <s v="Books"/>
    <n v="9152"/>
  </r>
  <r>
    <x v="4"/>
    <s v="Grocery"/>
    <n v="1722"/>
  </r>
  <r>
    <x v="2"/>
    <s v="Electronics"/>
    <n v="2773"/>
  </r>
  <r>
    <x v="0"/>
    <s v="Grocery"/>
    <n v="38452"/>
  </r>
  <r>
    <x v="3"/>
    <s v="Books"/>
    <n v="26501"/>
  </r>
  <r>
    <x v="2"/>
    <s v="Home"/>
    <n v="45493"/>
  </r>
  <r>
    <x v="1"/>
    <s v="Electronics"/>
    <n v="3964"/>
  </r>
  <r>
    <x v="3"/>
    <s v="Fashion"/>
    <n v="49299"/>
  </r>
  <r>
    <x v="6"/>
    <s v="Grocery"/>
    <n v="35684"/>
  </r>
  <r>
    <x v="2"/>
    <s v="Electronics"/>
    <n v="44447"/>
  </r>
  <r>
    <x v="4"/>
    <s v="Home"/>
    <n v="19291"/>
  </r>
  <r>
    <x v="3"/>
    <s v="Home"/>
    <n v="37749"/>
  </r>
  <r>
    <x v="3"/>
    <s v="Home"/>
    <n v="33187"/>
  </r>
  <r>
    <x v="4"/>
    <s v="Home"/>
    <n v="26207"/>
  </r>
  <r>
    <x v="4"/>
    <s v="Electronics"/>
    <n v="17749"/>
  </r>
  <r>
    <x v="1"/>
    <s v="Home"/>
    <n v="24238"/>
  </r>
  <r>
    <x v="6"/>
    <s v="Grocery"/>
    <n v="11392"/>
  </r>
  <r>
    <x v="6"/>
    <s v="Fashion"/>
    <n v="13386"/>
  </r>
  <r>
    <x v="6"/>
    <s v="Fashion"/>
    <n v="40998"/>
  </r>
  <r>
    <x v="3"/>
    <s v="Grocery"/>
    <n v="29795"/>
  </r>
  <r>
    <x v="4"/>
    <s v="Fashion"/>
    <n v="36110"/>
  </r>
  <r>
    <x v="6"/>
    <s v="Home"/>
    <n v="38507"/>
  </r>
  <r>
    <x v="0"/>
    <s v="Fashion"/>
    <n v="45947"/>
  </r>
  <r>
    <x v="3"/>
    <s v="Home"/>
    <n v="43578"/>
  </r>
  <r>
    <x v="0"/>
    <s v="Home"/>
    <n v="15449"/>
  </r>
  <r>
    <x v="7"/>
    <s v="Books"/>
    <n v="35136"/>
  </r>
  <r>
    <x v="7"/>
    <s v="Books"/>
    <n v="46992"/>
  </r>
  <r>
    <x v="0"/>
    <s v="Grocery"/>
    <n v="32408"/>
  </r>
  <r>
    <x v="5"/>
    <s v="Grocery"/>
    <n v="41275"/>
  </r>
  <r>
    <x v="6"/>
    <s v="Grocery"/>
    <n v="25673"/>
  </r>
  <r>
    <x v="2"/>
    <s v="Grocery"/>
    <n v="26045"/>
  </r>
  <r>
    <x v="4"/>
    <s v="Home"/>
    <n v="16052"/>
  </r>
  <r>
    <x v="7"/>
    <s v="Books"/>
    <n v="8935"/>
  </r>
  <r>
    <x v="2"/>
    <s v="Grocery"/>
    <n v="45423"/>
  </r>
  <r>
    <x v="2"/>
    <s v="Grocery"/>
    <n v="4744"/>
  </r>
  <r>
    <x v="6"/>
    <s v="Grocery"/>
    <n v="27434"/>
  </r>
  <r>
    <x v="2"/>
    <s v="Fashion"/>
    <n v="7297"/>
  </r>
  <r>
    <x v="4"/>
    <s v="Books"/>
    <n v="15516"/>
  </r>
  <r>
    <x v="7"/>
    <s v="Fashion"/>
    <n v="33220"/>
  </r>
  <r>
    <x v="7"/>
    <s v="Home"/>
    <n v="9312"/>
  </r>
  <r>
    <x v="1"/>
    <s v="Electronics"/>
    <n v="17985"/>
  </r>
  <r>
    <x v="3"/>
    <s v="Fashion"/>
    <n v="29088"/>
  </r>
  <r>
    <x v="1"/>
    <s v="Home"/>
    <n v="3041"/>
  </r>
  <r>
    <x v="6"/>
    <s v="Books"/>
    <n v="7464"/>
  </r>
  <r>
    <x v="1"/>
    <s v="Electronics"/>
    <n v="36849"/>
  </r>
  <r>
    <x v="0"/>
    <s v="Home"/>
    <n v="26385"/>
  </r>
  <r>
    <x v="1"/>
    <s v="Grocery"/>
    <n v="40482"/>
  </r>
  <r>
    <x v="7"/>
    <s v="Electronics"/>
    <n v="47659"/>
  </r>
  <r>
    <x v="1"/>
    <s v="Home"/>
    <n v="21498"/>
  </r>
  <r>
    <x v="4"/>
    <s v="Home"/>
    <n v="6210"/>
  </r>
  <r>
    <x v="3"/>
    <s v="Electronics"/>
    <n v="46583"/>
  </r>
  <r>
    <x v="1"/>
    <s v="Books"/>
    <n v="40412"/>
  </r>
  <r>
    <x v="6"/>
    <s v="Fashion"/>
    <n v="22267"/>
  </r>
  <r>
    <x v="6"/>
    <s v="Home"/>
    <n v="20489"/>
  </r>
  <r>
    <x v="3"/>
    <s v="Fashion"/>
    <n v="13594"/>
  </r>
  <r>
    <x v="7"/>
    <s v="Home"/>
    <n v="35918"/>
  </r>
  <r>
    <x v="7"/>
    <s v="Home"/>
    <n v="27179"/>
  </r>
  <r>
    <x v="0"/>
    <s v="Books"/>
    <n v="41498"/>
  </r>
  <r>
    <x v="6"/>
    <s v="Grocery"/>
    <n v="2706"/>
  </r>
  <r>
    <x v="3"/>
    <s v="Electronics"/>
    <n v="7436"/>
  </r>
  <r>
    <x v="2"/>
    <s v="Home"/>
    <n v="49408"/>
  </r>
  <r>
    <x v="5"/>
    <s v="Grocery"/>
    <n v="25134"/>
  </r>
  <r>
    <x v="0"/>
    <s v="Home"/>
    <n v="9117"/>
  </r>
  <r>
    <x v="1"/>
    <s v="Books"/>
    <n v="14052"/>
  </r>
  <r>
    <x v="3"/>
    <s v="Home"/>
    <n v="47752"/>
  </r>
  <r>
    <x v="5"/>
    <s v="Fashion"/>
    <n v="40558"/>
  </r>
  <r>
    <x v="2"/>
    <s v="Books"/>
    <n v="15551"/>
  </r>
  <r>
    <x v="6"/>
    <s v="Home"/>
    <n v="41290"/>
  </r>
  <r>
    <x v="6"/>
    <s v="Grocery"/>
    <n v="23214"/>
  </r>
  <r>
    <x v="0"/>
    <s v="Electronics"/>
    <n v="20470"/>
  </r>
  <r>
    <x v="6"/>
    <s v="Electronics"/>
    <n v="45246"/>
  </r>
  <r>
    <x v="6"/>
    <s v="Fashion"/>
    <n v="13015"/>
  </r>
  <r>
    <x v="6"/>
    <s v="Fashion"/>
    <n v="31855"/>
  </r>
  <r>
    <x v="7"/>
    <s v="Home"/>
    <n v="48966"/>
  </r>
  <r>
    <x v="5"/>
    <s v="Books"/>
    <n v="35419"/>
  </r>
  <r>
    <x v="3"/>
    <s v="Fashion"/>
    <n v="18680"/>
  </r>
  <r>
    <x v="2"/>
    <s v="Books"/>
    <n v="39994"/>
  </r>
  <r>
    <x v="5"/>
    <s v="Electronics"/>
    <n v="18092"/>
  </r>
  <r>
    <x v="5"/>
    <s v="Home"/>
    <n v="20133"/>
  </r>
  <r>
    <x v="3"/>
    <s v="Grocery"/>
    <n v="2750"/>
  </r>
  <r>
    <x v="6"/>
    <s v="Home"/>
    <n v="33071"/>
  </r>
  <r>
    <x v="0"/>
    <s v="Grocery"/>
    <n v="9690"/>
  </r>
  <r>
    <x v="6"/>
    <s v="Home"/>
    <n v="25700"/>
  </r>
  <r>
    <x v="3"/>
    <s v="Grocery"/>
    <n v="30897"/>
  </r>
  <r>
    <x v="6"/>
    <s v="Books"/>
    <n v="20756"/>
  </r>
  <r>
    <x v="0"/>
    <s v="Grocery"/>
    <n v="35183"/>
  </r>
  <r>
    <x v="2"/>
    <s v="Fashion"/>
    <n v="18233"/>
  </r>
  <r>
    <x v="3"/>
    <s v="Fashion"/>
    <n v="35855"/>
  </r>
  <r>
    <x v="2"/>
    <s v="Grocery"/>
    <n v="37923"/>
  </r>
  <r>
    <x v="5"/>
    <s v="Books"/>
    <n v="29374"/>
  </r>
  <r>
    <x v="6"/>
    <s v="Electronics"/>
    <n v="25439"/>
  </r>
  <r>
    <x v="2"/>
    <s v="Books"/>
    <n v="39146"/>
  </r>
  <r>
    <x v="4"/>
    <s v="Books"/>
    <n v="5447"/>
  </r>
  <r>
    <x v="7"/>
    <s v="Electronics"/>
    <n v="30157"/>
  </r>
  <r>
    <x v="4"/>
    <s v="Fashion"/>
    <n v="40731"/>
  </r>
  <r>
    <x v="5"/>
    <s v="Grocery"/>
    <n v="30006"/>
  </r>
  <r>
    <x v="3"/>
    <s v="Grocery"/>
    <n v="31668"/>
  </r>
  <r>
    <x v="2"/>
    <s v="Books"/>
    <n v="7045"/>
  </r>
  <r>
    <x v="3"/>
    <s v="Grocery"/>
    <n v="35214"/>
  </r>
  <r>
    <x v="4"/>
    <s v="Books"/>
    <n v="10721"/>
  </r>
  <r>
    <x v="4"/>
    <s v="Books"/>
    <n v="28555"/>
  </r>
  <r>
    <x v="4"/>
    <s v="Fashion"/>
    <n v="43724"/>
  </r>
  <r>
    <x v="7"/>
    <s v="Grocery"/>
    <n v="36678"/>
  </r>
  <r>
    <x v="1"/>
    <s v="Electronics"/>
    <n v="39507"/>
  </r>
  <r>
    <x v="6"/>
    <s v="Electronics"/>
    <n v="14561"/>
  </r>
  <r>
    <x v="2"/>
    <s v="Home"/>
    <n v="35116"/>
  </r>
  <r>
    <x v="4"/>
    <s v="Grocery"/>
    <n v="19943"/>
  </r>
  <r>
    <x v="6"/>
    <s v="Books"/>
    <n v="33751"/>
  </r>
  <r>
    <x v="5"/>
    <s v="Books"/>
    <n v="3781"/>
  </r>
  <r>
    <x v="0"/>
    <s v="Electronics"/>
    <n v="15716"/>
  </r>
  <r>
    <x v="1"/>
    <s v="Home"/>
    <n v="28820"/>
  </r>
  <r>
    <x v="4"/>
    <s v="Books"/>
    <n v="25504"/>
  </r>
  <r>
    <x v="2"/>
    <s v="Fashion"/>
    <n v="1060"/>
  </r>
  <r>
    <x v="1"/>
    <s v="Fashion"/>
    <n v="5848"/>
  </r>
  <r>
    <x v="2"/>
    <s v="Home"/>
    <n v="33685"/>
  </r>
  <r>
    <x v="5"/>
    <s v="Fashion"/>
    <n v="12476"/>
  </r>
  <r>
    <x v="0"/>
    <s v="Home"/>
    <n v="36093"/>
  </r>
  <r>
    <x v="7"/>
    <s v="Grocery"/>
    <n v="7716"/>
  </r>
  <r>
    <x v="0"/>
    <s v="Home"/>
    <n v="34178"/>
  </r>
  <r>
    <x v="7"/>
    <s v="Electronics"/>
    <n v="45131"/>
  </r>
  <r>
    <x v="6"/>
    <s v="Home"/>
    <n v="30055"/>
  </r>
  <r>
    <x v="5"/>
    <s v="Grocery"/>
    <n v="19253"/>
  </r>
  <r>
    <x v="0"/>
    <s v="Electronics"/>
    <n v="41541"/>
  </r>
  <r>
    <x v="6"/>
    <s v="Grocery"/>
    <n v="48624"/>
  </r>
  <r>
    <x v="2"/>
    <s v="Books"/>
    <n v="5337"/>
  </r>
  <r>
    <x v="0"/>
    <s v="Grocery"/>
    <n v="1230"/>
  </r>
  <r>
    <x v="5"/>
    <s v="Fashion"/>
    <n v="17421"/>
  </r>
  <r>
    <x v="6"/>
    <s v="Grocery"/>
    <n v="5831"/>
  </r>
  <r>
    <x v="1"/>
    <s v="Fashion"/>
    <n v="43597"/>
  </r>
  <r>
    <x v="5"/>
    <s v="Electronics"/>
    <n v="42391"/>
  </r>
  <r>
    <x v="7"/>
    <s v="Home"/>
    <n v="31510"/>
  </r>
  <r>
    <x v="1"/>
    <s v="Home"/>
    <n v="31402"/>
  </r>
  <r>
    <x v="6"/>
    <s v="Grocery"/>
    <n v="29713"/>
  </r>
  <r>
    <x v="3"/>
    <s v="Books"/>
    <n v="42074"/>
  </r>
  <r>
    <x v="0"/>
    <s v="Grocery"/>
    <n v="6740"/>
  </r>
  <r>
    <x v="4"/>
    <s v="Books"/>
    <n v="13074"/>
  </r>
  <r>
    <x v="6"/>
    <s v="Electronics"/>
    <n v="4753"/>
  </r>
  <r>
    <x v="3"/>
    <s v="Home"/>
    <n v="23336"/>
  </r>
  <r>
    <x v="6"/>
    <s v="Electronics"/>
    <n v="40892"/>
  </r>
  <r>
    <x v="3"/>
    <s v="Electronics"/>
    <n v="39928"/>
  </r>
  <r>
    <x v="2"/>
    <s v="Grocery"/>
    <n v="19604"/>
  </r>
  <r>
    <x v="1"/>
    <s v="Grocery"/>
    <n v="17164"/>
  </r>
  <r>
    <x v="1"/>
    <s v="Home"/>
    <n v="22100"/>
  </r>
  <r>
    <x v="7"/>
    <s v="Electronics"/>
    <n v="32525"/>
  </r>
  <r>
    <x v="3"/>
    <s v="Fashion"/>
    <n v="35730"/>
  </r>
  <r>
    <x v="0"/>
    <s v="Electronics"/>
    <n v="2584"/>
  </r>
  <r>
    <x v="6"/>
    <s v="Home"/>
    <n v="10055"/>
  </r>
  <r>
    <x v="2"/>
    <s v="Grocery"/>
    <n v="25946"/>
  </r>
  <r>
    <x v="1"/>
    <s v="Home"/>
    <n v="47994"/>
  </r>
  <r>
    <x v="1"/>
    <s v="Home"/>
    <n v="8243"/>
  </r>
  <r>
    <x v="6"/>
    <s v="Electronics"/>
    <n v="24243"/>
  </r>
  <r>
    <x v="4"/>
    <s v="Fashion"/>
    <n v="36638"/>
  </r>
  <r>
    <x v="1"/>
    <s v="Electronics"/>
    <n v="41628"/>
  </r>
  <r>
    <x v="4"/>
    <s v="Fashion"/>
    <n v="2639"/>
  </r>
  <r>
    <x v="1"/>
    <s v="Electronics"/>
    <n v="35725"/>
  </r>
  <r>
    <x v="6"/>
    <s v="Electronics"/>
    <n v="22535"/>
  </r>
  <r>
    <x v="3"/>
    <s v="Fashion"/>
    <n v="43150"/>
  </r>
  <r>
    <x v="4"/>
    <s v="Electronics"/>
    <n v="2716"/>
  </r>
  <r>
    <x v="6"/>
    <s v="Fashion"/>
    <n v="46260"/>
  </r>
  <r>
    <x v="0"/>
    <s v="Electronics"/>
    <n v="30196"/>
  </r>
  <r>
    <x v="7"/>
    <s v="Books"/>
    <n v="40645"/>
  </r>
  <r>
    <x v="5"/>
    <s v="Home"/>
    <n v="21549"/>
  </r>
  <r>
    <x v="5"/>
    <s v="Fashion"/>
    <n v="3287"/>
  </r>
  <r>
    <x v="0"/>
    <s v="Fashion"/>
    <n v="49946"/>
  </r>
  <r>
    <x v="2"/>
    <s v="Home"/>
    <n v="16267"/>
  </r>
  <r>
    <x v="2"/>
    <s v="Electronics"/>
    <n v="32213"/>
  </r>
  <r>
    <x v="3"/>
    <s v="Books"/>
    <n v="18894"/>
  </r>
  <r>
    <x v="2"/>
    <s v="Grocery"/>
    <n v="34581"/>
  </r>
  <r>
    <x v="6"/>
    <s v="Books"/>
    <n v="12096"/>
  </r>
  <r>
    <x v="1"/>
    <s v="Electronics"/>
    <n v="36850"/>
  </r>
  <r>
    <x v="3"/>
    <s v="Books"/>
    <n v="24017"/>
  </r>
  <r>
    <x v="6"/>
    <s v="Fashion"/>
    <n v="7684"/>
  </r>
  <r>
    <x v="2"/>
    <s v="Electronics"/>
    <n v="3840"/>
  </r>
  <r>
    <x v="0"/>
    <s v="Grocery"/>
    <n v="40723"/>
  </r>
  <r>
    <x v="2"/>
    <s v="Fashion"/>
    <n v="2204"/>
  </r>
  <r>
    <x v="4"/>
    <s v="Home"/>
    <n v="39143"/>
  </r>
  <r>
    <x v="4"/>
    <s v="Electronics"/>
    <n v="21673"/>
  </r>
  <r>
    <x v="4"/>
    <s v="Home"/>
    <n v="14761"/>
  </r>
  <r>
    <x v="1"/>
    <s v="Fashion"/>
    <n v="14466"/>
  </r>
  <r>
    <x v="2"/>
    <s v="Home"/>
    <n v="47474"/>
  </r>
  <r>
    <x v="5"/>
    <s v="Fashion"/>
    <n v="2403"/>
  </r>
  <r>
    <x v="7"/>
    <s v="Home"/>
    <n v="27708"/>
  </r>
  <r>
    <x v="2"/>
    <s v="Books"/>
    <n v="11436"/>
  </r>
  <r>
    <x v="7"/>
    <s v="Fashion"/>
    <n v="39069"/>
  </r>
  <r>
    <x v="1"/>
    <s v="Fashion"/>
    <n v="16541"/>
  </r>
  <r>
    <x v="6"/>
    <s v="Home"/>
    <n v="3198"/>
  </r>
  <r>
    <x v="1"/>
    <s v="Books"/>
    <n v="26142"/>
  </r>
  <r>
    <x v="4"/>
    <s v="Electronics"/>
    <n v="36901"/>
  </r>
  <r>
    <x v="5"/>
    <s v="Grocery"/>
    <n v="15967"/>
  </r>
  <r>
    <x v="2"/>
    <s v="Home"/>
    <n v="37680"/>
  </r>
  <r>
    <x v="1"/>
    <s v="Fashion"/>
    <n v="24575"/>
  </r>
  <r>
    <x v="5"/>
    <s v="Books"/>
    <n v="2443"/>
  </r>
  <r>
    <x v="4"/>
    <s v="Electronics"/>
    <n v="40962"/>
  </r>
  <r>
    <x v="6"/>
    <s v="Electronics"/>
    <n v="25397"/>
  </r>
  <r>
    <x v="5"/>
    <s v="Fashion"/>
    <n v="42778"/>
  </r>
  <r>
    <x v="5"/>
    <s v="Fashion"/>
    <n v="35665"/>
  </r>
  <r>
    <x v="5"/>
    <s v="Grocery"/>
    <n v="17821"/>
  </r>
  <r>
    <x v="5"/>
    <s v="Grocery"/>
    <n v="29949"/>
  </r>
  <r>
    <x v="7"/>
    <s v="Books"/>
    <n v="44753"/>
  </r>
  <r>
    <x v="4"/>
    <s v="Home"/>
    <n v="6021"/>
  </r>
  <r>
    <x v="3"/>
    <s v="Electronics"/>
    <n v="11098"/>
  </r>
  <r>
    <x v="2"/>
    <s v="Fashion"/>
    <n v="34423"/>
  </r>
  <r>
    <x v="2"/>
    <s v="Home"/>
    <n v="23021"/>
  </r>
  <r>
    <x v="4"/>
    <s v="Electronics"/>
    <n v="1744"/>
  </r>
  <r>
    <x v="5"/>
    <s v="Grocery"/>
    <n v="32160"/>
  </r>
  <r>
    <x v="2"/>
    <s v="Grocery"/>
    <n v="11554"/>
  </r>
  <r>
    <x v="0"/>
    <s v="Electronics"/>
    <n v="10021"/>
  </r>
  <r>
    <x v="2"/>
    <s v="Books"/>
    <n v="18993"/>
  </r>
  <r>
    <x v="4"/>
    <s v="Electronics"/>
    <n v="2996"/>
  </r>
  <r>
    <x v="0"/>
    <s v="Grocery"/>
    <n v="12391"/>
  </r>
  <r>
    <x v="5"/>
    <s v="Fashion"/>
    <n v="24739"/>
  </r>
  <r>
    <x v="0"/>
    <s v="Electronics"/>
    <n v="1933"/>
  </r>
  <r>
    <x v="5"/>
    <s v="Fashion"/>
    <n v="581"/>
  </r>
  <r>
    <x v="2"/>
    <s v="Books"/>
    <n v="48045"/>
  </r>
  <r>
    <x v="6"/>
    <s v="Fashion"/>
    <n v="44733"/>
  </r>
  <r>
    <x v="4"/>
    <s v="Home"/>
    <n v="23722"/>
  </r>
  <r>
    <x v="4"/>
    <s v="Grocery"/>
    <n v="13126"/>
  </r>
  <r>
    <x v="3"/>
    <s v="Books"/>
    <n v="26148"/>
  </r>
  <r>
    <x v="6"/>
    <s v="Grocery"/>
    <n v="26354"/>
  </r>
  <r>
    <x v="5"/>
    <s v="Electronics"/>
    <n v="18954"/>
  </r>
  <r>
    <x v="3"/>
    <s v="Fashion"/>
    <n v="48000"/>
  </r>
  <r>
    <x v="2"/>
    <s v="Home"/>
    <n v="48049"/>
  </r>
  <r>
    <x v="4"/>
    <s v="Grocery"/>
    <n v="31404"/>
  </r>
  <r>
    <x v="6"/>
    <s v="Home"/>
    <n v="42164"/>
  </r>
  <r>
    <x v="7"/>
    <s v="Books"/>
    <n v="49795"/>
  </r>
  <r>
    <x v="0"/>
    <s v="Books"/>
    <n v="32451"/>
  </r>
  <r>
    <x v="7"/>
    <s v="Fashion"/>
    <n v="2058"/>
  </r>
  <r>
    <x v="7"/>
    <s v="Electronics"/>
    <n v="43148"/>
  </r>
  <r>
    <x v="4"/>
    <s v="Electronics"/>
    <n v="8122"/>
  </r>
  <r>
    <x v="7"/>
    <s v="Books"/>
    <n v="28878"/>
  </r>
  <r>
    <x v="6"/>
    <s v="Grocery"/>
    <n v="10972"/>
  </r>
  <r>
    <x v="2"/>
    <s v="Grocery"/>
    <n v="11002"/>
  </r>
  <r>
    <x v="5"/>
    <s v="Electronics"/>
    <n v="19296"/>
  </r>
  <r>
    <x v="4"/>
    <s v="Fashion"/>
    <n v="6493"/>
  </r>
  <r>
    <x v="0"/>
    <s v="Grocery"/>
    <n v="45221"/>
  </r>
  <r>
    <x v="5"/>
    <s v="Fashion"/>
    <n v="1145"/>
  </r>
  <r>
    <x v="7"/>
    <s v="Home"/>
    <n v="22602"/>
  </r>
  <r>
    <x v="4"/>
    <s v="Fashion"/>
    <n v="36912"/>
  </r>
  <r>
    <x v="3"/>
    <s v="Fashion"/>
    <n v="1438"/>
  </r>
  <r>
    <x v="2"/>
    <s v="Home"/>
    <n v="39467"/>
  </r>
  <r>
    <x v="3"/>
    <s v="Fashion"/>
    <n v="8735"/>
  </r>
  <r>
    <x v="4"/>
    <s v="Fashion"/>
    <n v="5451"/>
  </r>
  <r>
    <x v="7"/>
    <s v="Home"/>
    <n v="3086"/>
  </r>
  <r>
    <x v="6"/>
    <s v="Home"/>
    <n v="8093"/>
  </r>
  <r>
    <x v="6"/>
    <s v="Electronics"/>
    <n v="8412"/>
  </r>
  <r>
    <x v="5"/>
    <s v="Electronics"/>
    <n v="6249"/>
  </r>
  <r>
    <x v="2"/>
    <s v="Books"/>
    <n v="48046"/>
  </r>
  <r>
    <x v="6"/>
    <s v="Books"/>
    <n v="14521"/>
  </r>
  <r>
    <x v="6"/>
    <s v="Electronics"/>
    <n v="14325"/>
  </r>
  <r>
    <x v="3"/>
    <s v="Fashion"/>
    <n v="23553"/>
  </r>
  <r>
    <x v="4"/>
    <s v="Home"/>
    <n v="7695"/>
  </r>
  <r>
    <x v="2"/>
    <s v="Home"/>
    <n v="23974"/>
  </r>
  <r>
    <x v="5"/>
    <s v="Home"/>
    <n v="7883"/>
  </r>
  <r>
    <x v="7"/>
    <s v="Fashion"/>
    <n v="36601"/>
  </r>
  <r>
    <x v="3"/>
    <s v="Home"/>
    <n v="44807"/>
  </r>
  <r>
    <x v="3"/>
    <s v="Home"/>
    <n v="29008"/>
  </r>
  <r>
    <x v="1"/>
    <s v="Books"/>
    <n v="6966"/>
  </r>
  <r>
    <x v="5"/>
    <s v="Fashion"/>
    <n v="39291"/>
  </r>
  <r>
    <x v="7"/>
    <s v="Grocery"/>
    <n v="47059"/>
  </r>
  <r>
    <x v="1"/>
    <s v="Home"/>
    <n v="33816"/>
  </r>
  <r>
    <x v="3"/>
    <s v="Grocery"/>
    <n v="32369"/>
  </r>
  <r>
    <x v="3"/>
    <s v="Electronics"/>
    <n v="4771"/>
  </r>
  <r>
    <x v="5"/>
    <s v="Fashion"/>
    <n v="20141"/>
  </r>
  <r>
    <x v="7"/>
    <s v="Fashion"/>
    <n v="19538"/>
  </r>
  <r>
    <x v="5"/>
    <s v="Books"/>
    <n v="36123"/>
  </r>
  <r>
    <x v="1"/>
    <s v="Home"/>
    <n v="20914"/>
  </r>
  <r>
    <x v="6"/>
    <s v="Fashion"/>
    <n v="36781"/>
  </r>
  <r>
    <x v="2"/>
    <s v="Grocery"/>
    <n v="47205"/>
  </r>
  <r>
    <x v="7"/>
    <s v="Books"/>
    <n v="45216"/>
  </r>
  <r>
    <x v="6"/>
    <s v="Home"/>
    <n v="17561"/>
  </r>
  <r>
    <x v="5"/>
    <s v="Electronics"/>
    <n v="2144"/>
  </r>
  <r>
    <x v="6"/>
    <s v="Grocery"/>
    <n v="25241"/>
  </r>
  <r>
    <x v="1"/>
    <s v="Grocery"/>
    <n v="3999"/>
  </r>
  <r>
    <x v="3"/>
    <s v="Electronics"/>
    <n v="20282"/>
  </r>
  <r>
    <x v="5"/>
    <s v="Electronics"/>
    <n v="30506"/>
  </r>
  <r>
    <x v="0"/>
    <s v="Electronics"/>
    <n v="45910"/>
  </r>
  <r>
    <x v="1"/>
    <s v="Books"/>
    <n v="25878"/>
  </r>
  <r>
    <x v="3"/>
    <s v="Fashion"/>
    <n v="22317"/>
  </r>
  <r>
    <x v="0"/>
    <s v="Grocery"/>
    <n v="28873"/>
  </r>
  <r>
    <x v="4"/>
    <s v="Grocery"/>
    <n v="17677"/>
  </r>
  <r>
    <x v="3"/>
    <s v="Books"/>
    <n v="6508"/>
  </r>
  <r>
    <x v="7"/>
    <s v="Home"/>
    <n v="14045"/>
  </r>
  <r>
    <x v="0"/>
    <s v="Home"/>
    <n v="43780"/>
  </r>
  <r>
    <x v="0"/>
    <s v="Books"/>
    <n v="34075"/>
  </r>
  <r>
    <x v="2"/>
    <s v="Books"/>
    <n v="33015"/>
  </r>
  <r>
    <x v="1"/>
    <s v="Books"/>
    <n v="47919"/>
  </r>
  <r>
    <x v="7"/>
    <s v="Fashion"/>
    <n v="16053"/>
  </r>
  <r>
    <x v="5"/>
    <s v="Electronics"/>
    <n v="41845"/>
  </r>
  <r>
    <x v="2"/>
    <s v="Grocery"/>
    <n v="45313"/>
  </r>
  <r>
    <x v="2"/>
    <s v="Fashion"/>
    <n v="2115"/>
  </r>
  <r>
    <x v="1"/>
    <s v="Home"/>
    <n v="42696"/>
  </r>
  <r>
    <x v="2"/>
    <s v="Electronics"/>
    <n v="17234"/>
  </r>
  <r>
    <x v="7"/>
    <s v="Electronics"/>
    <n v="3925"/>
  </r>
  <r>
    <x v="1"/>
    <s v="Grocery"/>
    <n v="44318"/>
  </r>
  <r>
    <x v="3"/>
    <s v="Books"/>
    <n v="48434"/>
  </r>
  <r>
    <x v="7"/>
    <s v="Electronics"/>
    <n v="15902"/>
  </r>
  <r>
    <x v="1"/>
    <s v="Fashion"/>
    <n v="28013"/>
  </r>
  <r>
    <x v="4"/>
    <s v="Grocery"/>
    <n v="29101"/>
  </r>
  <r>
    <x v="5"/>
    <s v="Electronics"/>
    <n v="21041"/>
  </r>
  <r>
    <x v="2"/>
    <s v="Grocery"/>
    <n v="31444"/>
  </r>
  <r>
    <x v="6"/>
    <s v="Fashion"/>
    <n v="16879"/>
  </r>
  <r>
    <x v="4"/>
    <s v="Home"/>
    <n v="25758"/>
  </r>
  <r>
    <x v="3"/>
    <s v="Fashion"/>
    <n v="19791"/>
  </r>
  <r>
    <x v="1"/>
    <s v="Electronics"/>
    <n v="18259"/>
  </r>
  <r>
    <x v="5"/>
    <s v="Home"/>
    <n v="6879"/>
  </r>
  <r>
    <x v="5"/>
    <s v="Home"/>
    <n v="39760"/>
  </r>
  <r>
    <x v="2"/>
    <s v="Home"/>
    <n v="42315"/>
  </r>
  <r>
    <x v="0"/>
    <s v="Grocery"/>
    <n v="38036"/>
  </r>
  <r>
    <x v="2"/>
    <s v="Books"/>
    <n v="45241"/>
  </r>
  <r>
    <x v="2"/>
    <s v="Grocery"/>
    <n v="11669"/>
  </r>
  <r>
    <x v="1"/>
    <s v="Grocery"/>
    <n v="12220"/>
  </r>
  <r>
    <x v="6"/>
    <s v="Books"/>
    <n v="42708"/>
  </r>
  <r>
    <x v="0"/>
    <s v="Fashion"/>
    <n v="3562"/>
  </r>
  <r>
    <x v="3"/>
    <s v="Grocery"/>
    <n v="11449"/>
  </r>
  <r>
    <x v="7"/>
    <s v="Home"/>
    <n v="8066"/>
  </r>
  <r>
    <x v="0"/>
    <s v="Home"/>
    <n v="25339"/>
  </r>
  <r>
    <x v="0"/>
    <s v="Fashion"/>
    <n v="27715"/>
  </r>
  <r>
    <x v="0"/>
    <s v="Grocery"/>
    <n v="15732"/>
  </r>
  <r>
    <x v="7"/>
    <s v="Electronics"/>
    <n v="976"/>
  </r>
  <r>
    <x v="4"/>
    <s v="Home"/>
    <n v="46729"/>
  </r>
  <r>
    <x v="6"/>
    <s v="Electronics"/>
    <n v="22114"/>
  </r>
  <r>
    <x v="6"/>
    <s v="Grocery"/>
    <n v="33365"/>
  </r>
  <r>
    <x v="2"/>
    <s v="Books"/>
    <n v="2995"/>
  </r>
  <r>
    <x v="7"/>
    <s v="Grocery"/>
    <n v="30976"/>
  </r>
  <r>
    <x v="1"/>
    <s v="Fashion"/>
    <n v="17365"/>
  </r>
  <r>
    <x v="7"/>
    <s v="Grocery"/>
    <n v="49309"/>
  </r>
  <r>
    <x v="0"/>
    <s v="Books"/>
    <n v="20813"/>
  </r>
  <r>
    <x v="2"/>
    <s v="Books"/>
    <n v="43384"/>
  </r>
  <r>
    <x v="6"/>
    <s v="Fashion"/>
    <n v="12302"/>
  </r>
  <r>
    <x v="7"/>
    <s v="Home"/>
    <n v="7903"/>
  </r>
  <r>
    <x v="7"/>
    <s v="Home"/>
    <n v="32608"/>
  </r>
  <r>
    <x v="3"/>
    <s v="Fashion"/>
    <n v="18919"/>
  </r>
  <r>
    <x v="4"/>
    <s v="Books"/>
    <n v="570"/>
  </r>
  <r>
    <x v="7"/>
    <s v="Electronics"/>
    <n v="21838"/>
  </r>
  <r>
    <x v="5"/>
    <s v="Books"/>
    <n v="7251"/>
  </r>
  <r>
    <x v="7"/>
    <s v="Home"/>
    <n v="30056"/>
  </r>
  <r>
    <x v="7"/>
    <s v="Grocery"/>
    <n v="48242"/>
  </r>
  <r>
    <x v="5"/>
    <s v="Electronics"/>
    <n v="49045"/>
  </r>
  <r>
    <x v="1"/>
    <s v="Grocery"/>
    <n v="11966"/>
  </r>
  <r>
    <x v="4"/>
    <s v="Fashion"/>
    <n v="25760"/>
  </r>
  <r>
    <x v="0"/>
    <s v="Home"/>
    <n v="28635"/>
  </r>
  <r>
    <x v="5"/>
    <s v="Books"/>
    <n v="13398"/>
  </r>
  <r>
    <x v="0"/>
    <s v="Books"/>
    <n v="39643"/>
  </r>
  <r>
    <x v="2"/>
    <s v="Home"/>
    <n v="41632"/>
  </r>
  <r>
    <x v="5"/>
    <s v="Home"/>
    <n v="44631"/>
  </r>
  <r>
    <x v="3"/>
    <s v="Grocery"/>
    <n v="30985"/>
  </r>
  <r>
    <x v="2"/>
    <s v="Fashion"/>
    <n v="45147"/>
  </r>
  <r>
    <x v="0"/>
    <s v="Books"/>
    <n v="3427"/>
  </r>
  <r>
    <x v="1"/>
    <s v="Home"/>
    <n v="6492"/>
  </r>
  <r>
    <x v="0"/>
    <s v="Books"/>
    <n v="5658"/>
  </r>
  <r>
    <x v="2"/>
    <s v="Home"/>
    <n v="3266"/>
  </r>
  <r>
    <x v="7"/>
    <s v="Home"/>
    <n v="41182"/>
  </r>
  <r>
    <x v="2"/>
    <s v="Electronics"/>
    <n v="49257"/>
  </r>
  <r>
    <x v="6"/>
    <s v="Electronics"/>
    <n v="26182"/>
  </r>
  <r>
    <x v="7"/>
    <s v="Home"/>
    <n v="43404"/>
  </r>
  <r>
    <x v="0"/>
    <s v="Electronics"/>
    <n v="8497"/>
  </r>
  <r>
    <x v="6"/>
    <s v="Fashion"/>
    <n v="2057"/>
  </r>
  <r>
    <x v="1"/>
    <s v="Books"/>
    <n v="12811"/>
  </r>
  <r>
    <x v="7"/>
    <s v="Home"/>
    <n v="1729"/>
  </r>
  <r>
    <x v="7"/>
    <s v="Home"/>
    <n v="1586"/>
  </r>
  <r>
    <x v="0"/>
    <s v="Books"/>
    <n v="25972"/>
  </r>
  <r>
    <x v="1"/>
    <s v="Home"/>
    <n v="32786"/>
  </r>
  <r>
    <x v="7"/>
    <s v="Books"/>
    <n v="39034"/>
  </r>
  <r>
    <x v="6"/>
    <s v="Home"/>
    <n v="38075"/>
  </r>
  <r>
    <x v="1"/>
    <s v="Home"/>
    <n v="7963"/>
  </r>
  <r>
    <x v="6"/>
    <s v="Fashion"/>
    <n v="19175"/>
  </r>
  <r>
    <x v="4"/>
    <s v="Books"/>
    <n v="14698"/>
  </r>
  <r>
    <x v="1"/>
    <s v="Home"/>
    <n v="44412"/>
  </r>
  <r>
    <x v="0"/>
    <s v="Electronics"/>
    <n v="44016"/>
  </r>
  <r>
    <x v="2"/>
    <s v="Books"/>
    <n v="32555"/>
  </r>
  <r>
    <x v="4"/>
    <s v="Fashion"/>
    <n v="36792"/>
  </r>
  <r>
    <x v="5"/>
    <s v="Fashion"/>
    <n v="11750"/>
  </r>
  <r>
    <x v="3"/>
    <s v="Books"/>
    <n v="15156"/>
  </r>
  <r>
    <x v="0"/>
    <s v="Grocery"/>
    <n v="23581"/>
  </r>
  <r>
    <x v="3"/>
    <s v="Electronics"/>
    <n v="28993"/>
  </r>
  <r>
    <x v="6"/>
    <s v="Books"/>
    <n v="7208"/>
  </r>
  <r>
    <x v="2"/>
    <s v="Grocery"/>
    <n v="46710"/>
  </r>
  <r>
    <x v="2"/>
    <s v="Grocery"/>
    <n v="22228"/>
  </r>
  <r>
    <x v="1"/>
    <s v="Electronics"/>
    <n v="16377"/>
  </r>
  <r>
    <x v="2"/>
    <s v="Electronics"/>
    <n v="17733"/>
  </r>
  <r>
    <x v="2"/>
    <s v="Books"/>
    <n v="27937"/>
  </r>
  <r>
    <x v="1"/>
    <s v="Home"/>
    <n v="34126"/>
  </r>
  <r>
    <x v="6"/>
    <s v="Books"/>
    <n v="4860"/>
  </r>
  <r>
    <x v="2"/>
    <s v="Home"/>
    <n v="4328"/>
  </r>
  <r>
    <x v="6"/>
    <s v="Books"/>
    <n v="19680"/>
  </r>
  <r>
    <x v="5"/>
    <s v="Grocery"/>
    <n v="817"/>
  </r>
  <r>
    <x v="7"/>
    <s v="Fashion"/>
    <n v="35979"/>
  </r>
  <r>
    <x v="0"/>
    <s v="Electronics"/>
    <n v="2722"/>
  </r>
  <r>
    <x v="0"/>
    <s v="Fashion"/>
    <n v="6383"/>
  </r>
  <r>
    <x v="6"/>
    <s v="Electronics"/>
    <n v="35685"/>
  </r>
  <r>
    <x v="3"/>
    <s v="Electronics"/>
    <n v="24743"/>
  </r>
  <r>
    <x v="6"/>
    <s v="Electronics"/>
    <n v="29708"/>
  </r>
  <r>
    <x v="5"/>
    <s v="Fashion"/>
    <n v="49174"/>
  </r>
  <r>
    <x v="2"/>
    <s v="Home"/>
    <n v="34356"/>
  </r>
  <r>
    <x v="4"/>
    <s v="Grocery"/>
    <n v="30073"/>
  </r>
  <r>
    <x v="3"/>
    <s v="Electronics"/>
    <n v="4375"/>
  </r>
  <r>
    <x v="7"/>
    <s v="Electronics"/>
    <n v="24502"/>
  </r>
  <r>
    <x v="1"/>
    <s v="Grocery"/>
    <n v="38592"/>
  </r>
  <r>
    <x v="1"/>
    <s v="Fashion"/>
    <n v="9759"/>
  </r>
  <r>
    <x v="3"/>
    <s v="Fashion"/>
    <n v="30147"/>
  </r>
  <r>
    <x v="5"/>
    <s v="Electronics"/>
    <n v="39726"/>
  </r>
  <r>
    <x v="0"/>
    <s v="Electronics"/>
    <n v="34560"/>
  </r>
  <r>
    <x v="5"/>
    <s v="Grocery"/>
    <n v="19566"/>
  </r>
  <r>
    <x v="1"/>
    <s v="Electronics"/>
    <n v="20299"/>
  </r>
  <r>
    <x v="6"/>
    <s v="Electronics"/>
    <n v="36183"/>
  </r>
  <r>
    <x v="7"/>
    <s v="Books"/>
    <n v="20596"/>
  </r>
  <r>
    <x v="2"/>
    <s v="Fashion"/>
    <n v="33380"/>
  </r>
  <r>
    <x v="5"/>
    <s v="Electronics"/>
    <n v="41244"/>
  </r>
  <r>
    <x v="5"/>
    <s v="Books"/>
    <n v="3302"/>
  </r>
  <r>
    <x v="6"/>
    <s v="Books"/>
    <n v="41594"/>
  </r>
  <r>
    <x v="3"/>
    <s v="Fashion"/>
    <n v="40847"/>
  </r>
  <r>
    <x v="7"/>
    <s v="Books"/>
    <n v="1523"/>
  </r>
  <r>
    <x v="0"/>
    <s v="Fashion"/>
    <n v="16375"/>
  </r>
  <r>
    <x v="1"/>
    <s v="Books"/>
    <n v="3248"/>
  </r>
  <r>
    <x v="2"/>
    <s v="Home"/>
    <n v="1876"/>
  </r>
  <r>
    <x v="3"/>
    <s v="Electronics"/>
    <n v="35806"/>
  </r>
  <r>
    <x v="0"/>
    <s v="Electronics"/>
    <n v="10407"/>
  </r>
  <r>
    <x v="5"/>
    <s v="Fashion"/>
    <n v="2080"/>
  </r>
  <r>
    <x v="5"/>
    <s v="Fashion"/>
    <n v="27354"/>
  </r>
  <r>
    <x v="6"/>
    <s v="Fashion"/>
    <n v="16003"/>
  </r>
  <r>
    <x v="1"/>
    <s v="Electronics"/>
    <n v="17948"/>
  </r>
  <r>
    <x v="1"/>
    <s v="Electronics"/>
    <n v="32030"/>
  </r>
  <r>
    <x v="0"/>
    <s v="Books"/>
    <n v="38715"/>
  </r>
  <r>
    <x v="0"/>
    <s v="Books"/>
    <n v="26956"/>
  </r>
  <r>
    <x v="2"/>
    <s v="Grocery"/>
    <n v="35718"/>
  </r>
  <r>
    <x v="7"/>
    <s v="Electronics"/>
    <n v="365"/>
  </r>
  <r>
    <x v="6"/>
    <s v="Home"/>
    <n v="18211"/>
  </r>
  <r>
    <x v="0"/>
    <s v="Electronics"/>
    <n v="10878"/>
  </r>
  <r>
    <x v="3"/>
    <s v="Fashion"/>
    <n v="47818"/>
  </r>
  <r>
    <x v="5"/>
    <s v="Grocery"/>
    <n v="41926"/>
  </r>
  <r>
    <x v="5"/>
    <s v="Grocery"/>
    <n v="14103"/>
  </r>
  <r>
    <x v="6"/>
    <s v="Books"/>
    <n v="31529"/>
  </r>
  <r>
    <x v="7"/>
    <s v="Home"/>
    <n v="35566"/>
  </r>
  <r>
    <x v="7"/>
    <s v="Electronics"/>
    <n v="23433"/>
  </r>
  <r>
    <x v="6"/>
    <s v="Electronics"/>
    <n v="30623"/>
  </r>
  <r>
    <x v="4"/>
    <s v="Electronics"/>
    <n v="18724"/>
  </r>
  <r>
    <x v="4"/>
    <s v="Fashion"/>
    <n v="32662"/>
  </r>
  <r>
    <x v="4"/>
    <s v="Electronics"/>
    <n v="13150"/>
  </r>
  <r>
    <x v="7"/>
    <s v="Fashion"/>
    <n v="36461"/>
  </r>
  <r>
    <x v="2"/>
    <s v="Electronics"/>
    <n v="8651"/>
  </r>
  <r>
    <x v="0"/>
    <s v="Fashion"/>
    <n v="44732"/>
  </r>
  <r>
    <x v="7"/>
    <s v="Electronics"/>
    <n v="28291"/>
  </r>
  <r>
    <x v="0"/>
    <s v="Electronics"/>
    <n v="44875"/>
  </r>
  <r>
    <x v="6"/>
    <s v="Fashion"/>
    <n v="3377"/>
  </r>
  <r>
    <x v="5"/>
    <s v="Electronics"/>
    <n v="25980"/>
  </r>
  <r>
    <x v="6"/>
    <s v="Fashion"/>
    <n v="45490"/>
  </r>
  <r>
    <x v="2"/>
    <s v="Grocery"/>
    <n v="20668"/>
  </r>
  <r>
    <x v="1"/>
    <s v="Electronics"/>
    <n v="39132"/>
  </r>
  <r>
    <x v="7"/>
    <s v="Fashion"/>
    <n v="22634"/>
  </r>
  <r>
    <x v="3"/>
    <s v="Books"/>
    <n v="40903"/>
  </r>
  <r>
    <x v="3"/>
    <s v="Electronics"/>
    <n v="4277"/>
  </r>
  <r>
    <x v="2"/>
    <s v="Electronics"/>
    <n v="29261"/>
  </r>
  <r>
    <x v="3"/>
    <s v="Electronics"/>
    <n v="36951"/>
  </r>
  <r>
    <x v="3"/>
    <s v="Books"/>
    <n v="49580"/>
  </r>
  <r>
    <x v="1"/>
    <s v="Home"/>
    <n v="28356"/>
  </r>
  <r>
    <x v="5"/>
    <s v="Books"/>
    <n v="12914"/>
  </r>
  <r>
    <x v="4"/>
    <s v="Books"/>
    <n v="8556"/>
  </r>
  <r>
    <x v="7"/>
    <s v="Fashion"/>
    <n v="16235"/>
  </r>
  <r>
    <x v="0"/>
    <s v="Books"/>
    <n v="28863"/>
  </r>
  <r>
    <x v="2"/>
    <s v="Home"/>
    <n v="20529"/>
  </r>
  <r>
    <x v="2"/>
    <s v="Electronics"/>
    <n v="15857"/>
  </r>
  <r>
    <x v="4"/>
    <s v="Fashion"/>
    <n v="4782"/>
  </r>
  <r>
    <x v="5"/>
    <s v="Books"/>
    <n v="37399"/>
  </r>
  <r>
    <x v="2"/>
    <s v="Electronics"/>
    <n v="30073"/>
  </r>
  <r>
    <x v="4"/>
    <s v="Fashion"/>
    <n v="30874"/>
  </r>
  <r>
    <x v="1"/>
    <s v="Fashion"/>
    <n v="26534"/>
  </r>
  <r>
    <x v="3"/>
    <s v="Grocery"/>
    <n v="2267"/>
  </r>
  <r>
    <x v="4"/>
    <s v="Books"/>
    <n v="23887"/>
  </r>
  <r>
    <x v="0"/>
    <s v="Fashion"/>
    <n v="14648"/>
  </r>
  <r>
    <x v="4"/>
    <s v="Fashion"/>
    <n v="13144"/>
  </r>
  <r>
    <x v="6"/>
    <s v="Fashion"/>
    <n v="25133"/>
  </r>
  <r>
    <x v="7"/>
    <s v="Fashion"/>
    <n v="24524"/>
  </r>
  <r>
    <x v="3"/>
    <s v="Electronics"/>
    <n v="9765"/>
  </r>
  <r>
    <x v="1"/>
    <s v="Grocery"/>
    <n v="21137"/>
  </r>
  <r>
    <x v="0"/>
    <s v="Fashion"/>
    <n v="21774"/>
  </r>
  <r>
    <x v="7"/>
    <s v="Fashion"/>
    <n v="47964"/>
  </r>
  <r>
    <x v="1"/>
    <s v="Books"/>
    <n v="24827"/>
  </r>
  <r>
    <x v="5"/>
    <s v="Grocery"/>
    <n v="34737"/>
  </r>
  <r>
    <x v="1"/>
    <s v="Books"/>
    <n v="42881"/>
  </r>
  <r>
    <x v="7"/>
    <s v="Fashion"/>
    <n v="26245"/>
  </r>
  <r>
    <x v="2"/>
    <s v="Grocery"/>
    <n v="16980"/>
  </r>
  <r>
    <x v="7"/>
    <s v="Books"/>
    <n v="23340"/>
  </r>
  <r>
    <x v="5"/>
    <s v="Home"/>
    <n v="29866"/>
  </r>
  <r>
    <x v="7"/>
    <s v="Grocery"/>
    <n v="18192"/>
  </r>
  <r>
    <x v="4"/>
    <s v="Grocery"/>
    <n v="42593"/>
  </r>
  <r>
    <x v="3"/>
    <s v="Grocery"/>
    <n v="15225"/>
  </r>
  <r>
    <x v="6"/>
    <s v="Books"/>
    <n v="13427"/>
  </r>
  <r>
    <x v="0"/>
    <s v="Grocery"/>
    <n v="12793"/>
  </r>
  <r>
    <x v="0"/>
    <s v="Grocery"/>
    <n v="23016"/>
  </r>
  <r>
    <x v="2"/>
    <s v="Home"/>
    <n v="15214"/>
  </r>
  <r>
    <x v="7"/>
    <s v="Home"/>
    <n v="22625"/>
  </r>
  <r>
    <x v="1"/>
    <s v="Fashion"/>
    <n v="29049"/>
  </r>
  <r>
    <x v="2"/>
    <s v="Books"/>
    <n v="8711"/>
  </r>
  <r>
    <x v="5"/>
    <s v="Fashion"/>
    <n v="27769"/>
  </r>
  <r>
    <x v="5"/>
    <s v="Books"/>
    <n v="1823"/>
  </r>
  <r>
    <x v="1"/>
    <s v="Home"/>
    <n v="13682"/>
  </r>
  <r>
    <x v="4"/>
    <s v="Home"/>
    <n v="7419"/>
  </r>
  <r>
    <x v="3"/>
    <s v="Fashion"/>
    <n v="7136"/>
  </r>
  <r>
    <x v="2"/>
    <s v="Fashion"/>
    <n v="4854"/>
  </r>
  <r>
    <x v="0"/>
    <s v="Books"/>
    <n v="4886"/>
  </r>
  <r>
    <x v="6"/>
    <s v="Fashion"/>
    <n v="21715"/>
  </r>
  <r>
    <x v="2"/>
    <s v="Books"/>
    <n v="27721"/>
  </r>
  <r>
    <x v="2"/>
    <s v="Fashion"/>
    <n v="20600"/>
  </r>
  <r>
    <x v="0"/>
    <s v="Books"/>
    <n v="13602"/>
  </r>
  <r>
    <x v="2"/>
    <s v="Home"/>
    <n v="4492"/>
  </r>
  <r>
    <x v="7"/>
    <s v="Home"/>
    <n v="30623"/>
  </r>
  <r>
    <x v="5"/>
    <s v="Grocery"/>
    <n v="25930"/>
  </r>
  <r>
    <x v="1"/>
    <s v="Home"/>
    <n v="25509"/>
  </r>
  <r>
    <x v="6"/>
    <s v="Fashion"/>
    <n v="10650"/>
  </r>
  <r>
    <x v="4"/>
    <s v="Home"/>
    <n v="27253"/>
  </r>
  <r>
    <x v="5"/>
    <s v="Home"/>
    <n v="29852"/>
  </r>
  <r>
    <x v="6"/>
    <s v="Home"/>
    <n v="2050"/>
  </r>
  <r>
    <x v="1"/>
    <s v="Fashion"/>
    <n v="26296"/>
  </r>
  <r>
    <x v="2"/>
    <s v="Grocery"/>
    <n v="44228"/>
  </r>
  <r>
    <x v="3"/>
    <s v="Books"/>
    <n v="43358"/>
  </r>
  <r>
    <x v="0"/>
    <s v="Fashion"/>
    <n v="11479"/>
  </r>
  <r>
    <x v="3"/>
    <s v="Books"/>
    <n v="48891"/>
  </r>
  <r>
    <x v="0"/>
    <s v="Fashion"/>
    <n v="29178"/>
  </r>
  <r>
    <x v="4"/>
    <s v="Home"/>
    <n v="45961"/>
  </r>
  <r>
    <x v="0"/>
    <s v="Home"/>
    <n v="3735"/>
  </r>
  <r>
    <x v="4"/>
    <s v="Grocery"/>
    <n v="15932"/>
  </r>
  <r>
    <x v="6"/>
    <s v="Electronics"/>
    <n v="22393"/>
  </r>
  <r>
    <x v="2"/>
    <s v="Fashion"/>
    <n v="3184"/>
  </r>
  <r>
    <x v="5"/>
    <s v="Books"/>
    <n v="41377"/>
  </r>
  <r>
    <x v="1"/>
    <s v="Electronics"/>
    <n v="15531"/>
  </r>
  <r>
    <x v="2"/>
    <s v="Electronics"/>
    <n v="26654"/>
  </r>
  <r>
    <x v="7"/>
    <s v="Fashion"/>
    <n v="4626"/>
  </r>
  <r>
    <x v="4"/>
    <s v="Home"/>
    <n v="20061"/>
  </r>
  <r>
    <x v="2"/>
    <s v="Grocery"/>
    <n v="6509"/>
  </r>
  <r>
    <x v="2"/>
    <s v="Grocery"/>
    <n v="43971"/>
  </r>
  <r>
    <x v="7"/>
    <s v="Home"/>
    <n v="33790"/>
  </r>
  <r>
    <x v="6"/>
    <s v="Books"/>
    <n v="8430"/>
  </r>
  <r>
    <x v="3"/>
    <s v="Electronics"/>
    <n v="9314"/>
  </r>
  <r>
    <x v="2"/>
    <s v="Home"/>
    <n v="13694"/>
  </r>
  <r>
    <x v="2"/>
    <s v="Grocery"/>
    <n v="21110"/>
  </r>
  <r>
    <x v="6"/>
    <s v="Fashion"/>
    <n v="48329"/>
  </r>
  <r>
    <x v="6"/>
    <s v="Fashion"/>
    <n v="45346"/>
  </r>
  <r>
    <x v="2"/>
    <s v="Home"/>
    <n v="41573"/>
  </r>
  <r>
    <x v="4"/>
    <s v="Electronics"/>
    <n v="41873"/>
  </r>
  <r>
    <x v="2"/>
    <s v="Books"/>
    <n v="36269"/>
  </r>
  <r>
    <x v="1"/>
    <s v="Home"/>
    <n v="20712"/>
  </r>
  <r>
    <x v="2"/>
    <s v="Books"/>
    <n v="16616"/>
  </r>
  <r>
    <x v="0"/>
    <s v="Home"/>
    <n v="5543"/>
  </r>
  <r>
    <x v="7"/>
    <s v="Home"/>
    <n v="28001"/>
  </r>
  <r>
    <x v="1"/>
    <s v="Home"/>
    <n v="5754"/>
  </r>
  <r>
    <x v="2"/>
    <s v="Grocery"/>
    <n v="25233"/>
  </r>
  <r>
    <x v="1"/>
    <s v="Books"/>
    <n v="40016"/>
  </r>
  <r>
    <x v="7"/>
    <s v="Fashion"/>
    <n v="10440"/>
  </r>
  <r>
    <x v="5"/>
    <s v="Home"/>
    <n v="26812"/>
  </r>
  <r>
    <x v="7"/>
    <s v="Grocery"/>
    <n v="42311"/>
  </r>
  <r>
    <x v="1"/>
    <s v="Books"/>
    <n v="10940"/>
  </r>
  <r>
    <x v="7"/>
    <s v="Grocery"/>
    <n v="45942"/>
  </r>
  <r>
    <x v="4"/>
    <s v="Home"/>
    <n v="2561"/>
  </r>
  <r>
    <x v="7"/>
    <s v="Fashion"/>
    <n v="16965"/>
  </r>
  <r>
    <x v="3"/>
    <s v="Electronics"/>
    <n v="42531"/>
  </r>
  <r>
    <x v="4"/>
    <s v="Home"/>
    <n v="11167"/>
  </r>
  <r>
    <x v="1"/>
    <s v="Books"/>
    <n v="20483"/>
  </r>
  <r>
    <x v="5"/>
    <s v="Fashion"/>
    <n v="17930"/>
  </r>
  <r>
    <x v="2"/>
    <s v="Home"/>
    <n v="403"/>
  </r>
  <r>
    <x v="1"/>
    <s v="Grocery"/>
    <n v="48340"/>
  </r>
  <r>
    <x v="2"/>
    <s v="Fashion"/>
    <n v="13277"/>
  </r>
  <r>
    <x v="7"/>
    <s v="Books"/>
    <n v="14231"/>
  </r>
  <r>
    <x v="4"/>
    <s v="Grocery"/>
    <n v="27090"/>
  </r>
  <r>
    <x v="0"/>
    <s v="Electronics"/>
    <n v="25054"/>
  </r>
  <r>
    <x v="6"/>
    <s v="Books"/>
    <n v="15686"/>
  </r>
  <r>
    <x v="6"/>
    <s v="Grocery"/>
    <n v="49569"/>
  </r>
  <r>
    <x v="4"/>
    <s v="Books"/>
    <n v="775"/>
  </r>
  <r>
    <x v="7"/>
    <s v="Grocery"/>
    <n v="39908"/>
  </r>
  <r>
    <x v="5"/>
    <s v="Fashion"/>
    <n v="23972"/>
  </r>
  <r>
    <x v="5"/>
    <s v="Electronics"/>
    <n v="502"/>
  </r>
  <r>
    <x v="3"/>
    <s v="Books"/>
    <n v="18615"/>
  </r>
  <r>
    <x v="1"/>
    <s v="Fashion"/>
    <n v="505"/>
  </r>
  <r>
    <x v="5"/>
    <s v="Home"/>
    <n v="15606"/>
  </r>
  <r>
    <x v="1"/>
    <s v="Home"/>
    <n v="43444"/>
  </r>
  <r>
    <x v="2"/>
    <s v="Books"/>
    <n v="37779"/>
  </r>
  <r>
    <x v="0"/>
    <s v="Books"/>
    <n v="30892"/>
  </r>
  <r>
    <x v="4"/>
    <s v="Fashion"/>
    <n v="14170"/>
  </r>
  <r>
    <x v="6"/>
    <s v="Fashion"/>
    <n v="21697"/>
  </r>
  <r>
    <x v="7"/>
    <s v="Electronics"/>
    <n v="43912"/>
  </r>
  <r>
    <x v="5"/>
    <s v="Fashion"/>
    <n v="38046"/>
  </r>
  <r>
    <x v="1"/>
    <s v="Fashion"/>
    <n v="14950"/>
  </r>
  <r>
    <x v="3"/>
    <s v="Electronics"/>
    <n v="22597"/>
  </r>
  <r>
    <x v="5"/>
    <s v="Home"/>
    <n v="38108"/>
  </r>
  <r>
    <x v="4"/>
    <s v="Home"/>
    <n v="28067"/>
  </r>
  <r>
    <x v="4"/>
    <s v="Electronics"/>
    <n v="26207"/>
  </r>
  <r>
    <x v="2"/>
    <s v="Grocery"/>
    <n v="14646"/>
  </r>
  <r>
    <x v="2"/>
    <s v="Electronics"/>
    <n v="39548"/>
  </r>
  <r>
    <x v="0"/>
    <s v="Books"/>
    <n v="31644"/>
  </r>
  <r>
    <x v="6"/>
    <s v="Grocery"/>
    <n v="10307"/>
  </r>
  <r>
    <x v="7"/>
    <s v="Home"/>
    <n v="19901"/>
  </r>
  <r>
    <x v="5"/>
    <s v="Home"/>
    <n v="44726"/>
  </r>
  <r>
    <x v="3"/>
    <s v="Books"/>
    <n v="47928"/>
  </r>
  <r>
    <x v="1"/>
    <s v="Electronics"/>
    <n v="8878"/>
  </r>
  <r>
    <x v="7"/>
    <s v="Fashion"/>
    <n v="38124"/>
  </r>
  <r>
    <x v="2"/>
    <s v="Fashion"/>
    <n v="14595"/>
  </r>
  <r>
    <x v="3"/>
    <s v="Fashion"/>
    <n v="24977"/>
  </r>
  <r>
    <x v="5"/>
    <s v="Home"/>
    <n v="12072"/>
  </r>
  <r>
    <x v="1"/>
    <s v="Fashion"/>
    <n v="41389"/>
  </r>
  <r>
    <x v="4"/>
    <s v="Home"/>
    <n v="32322"/>
  </r>
  <r>
    <x v="7"/>
    <s v="Home"/>
    <n v="18336"/>
  </r>
  <r>
    <x v="3"/>
    <s v="Electronics"/>
    <n v="8298"/>
  </r>
  <r>
    <x v="7"/>
    <s v="Grocery"/>
    <n v="45764"/>
  </r>
  <r>
    <x v="1"/>
    <s v="Grocery"/>
    <n v="37748"/>
  </r>
  <r>
    <x v="2"/>
    <s v="Home"/>
    <n v="46223"/>
  </r>
  <r>
    <x v="7"/>
    <s v="Electronics"/>
    <n v="34306"/>
  </r>
  <r>
    <x v="2"/>
    <s v="Electronics"/>
    <n v="36654"/>
  </r>
  <r>
    <x v="2"/>
    <s v="Books"/>
    <n v="13815"/>
  </r>
  <r>
    <x v="6"/>
    <s v="Electronics"/>
    <n v="8473"/>
  </r>
  <r>
    <x v="1"/>
    <s v="Electronics"/>
    <n v="16575"/>
  </r>
  <r>
    <x v="7"/>
    <s v="Fashion"/>
    <n v="38118"/>
  </r>
  <r>
    <x v="4"/>
    <s v="Electronics"/>
    <n v="43725"/>
  </r>
  <r>
    <x v="2"/>
    <s v="Grocery"/>
    <n v="14404"/>
  </r>
  <r>
    <x v="0"/>
    <s v="Fashion"/>
    <n v="48082"/>
  </r>
  <r>
    <x v="0"/>
    <s v="Home"/>
    <n v="42883"/>
  </r>
  <r>
    <x v="0"/>
    <s v="Home"/>
    <n v="45815"/>
  </r>
  <r>
    <x v="0"/>
    <s v="Fashion"/>
    <n v="47121"/>
  </r>
  <r>
    <x v="1"/>
    <s v="Fashion"/>
    <n v="21032"/>
  </r>
  <r>
    <x v="3"/>
    <s v="Grocery"/>
    <n v="8467"/>
  </r>
  <r>
    <x v="5"/>
    <s v="Electronics"/>
    <n v="24077"/>
  </r>
  <r>
    <x v="0"/>
    <s v="Electronics"/>
    <n v="6719"/>
  </r>
  <r>
    <x v="3"/>
    <s v="Fashion"/>
    <n v="34803"/>
  </r>
  <r>
    <x v="5"/>
    <s v="Books"/>
    <n v="18780"/>
  </r>
  <r>
    <x v="5"/>
    <s v="Home"/>
    <n v="12140"/>
  </r>
  <r>
    <x v="7"/>
    <s v="Books"/>
    <n v="8660"/>
  </r>
  <r>
    <x v="2"/>
    <s v="Fashion"/>
    <n v="25125"/>
  </r>
  <r>
    <x v="1"/>
    <s v="Home"/>
    <n v="12299"/>
  </r>
  <r>
    <x v="0"/>
    <s v="Grocery"/>
    <n v="28334"/>
  </r>
  <r>
    <x v="1"/>
    <s v="Grocery"/>
    <n v="6207"/>
  </r>
  <r>
    <x v="2"/>
    <s v="Books"/>
    <n v="4062"/>
  </r>
  <r>
    <x v="6"/>
    <s v="Home"/>
    <n v="44670"/>
  </r>
  <r>
    <x v="3"/>
    <s v="Home"/>
    <n v="1210"/>
  </r>
  <r>
    <x v="5"/>
    <s v="Fashion"/>
    <n v="48729"/>
  </r>
  <r>
    <x v="4"/>
    <s v="Fashion"/>
    <n v="5223"/>
  </r>
  <r>
    <x v="6"/>
    <s v="Home"/>
    <n v="32773"/>
  </r>
  <r>
    <x v="5"/>
    <s v="Fashion"/>
    <n v="35631"/>
  </r>
  <r>
    <x v="0"/>
    <s v="Grocery"/>
    <n v="14263"/>
  </r>
  <r>
    <x v="0"/>
    <s v="Books"/>
    <n v="2621"/>
  </r>
  <r>
    <x v="6"/>
    <s v="Books"/>
    <n v="30469"/>
  </r>
  <r>
    <x v="6"/>
    <s v="Grocery"/>
    <n v="47645"/>
  </r>
  <r>
    <x v="3"/>
    <s v="Home"/>
    <n v="32546"/>
  </r>
  <r>
    <x v="2"/>
    <s v="Home"/>
    <n v="8416"/>
  </r>
  <r>
    <x v="4"/>
    <s v="Home"/>
    <n v="26210"/>
  </r>
  <r>
    <x v="2"/>
    <s v="Books"/>
    <n v="17960"/>
  </r>
  <r>
    <x v="2"/>
    <s v="Grocery"/>
    <n v="49261"/>
  </r>
  <r>
    <x v="3"/>
    <s v="Fashion"/>
    <n v="18971"/>
  </r>
  <r>
    <x v="5"/>
    <s v="Electronics"/>
    <n v="10806"/>
  </r>
  <r>
    <x v="1"/>
    <s v="Home"/>
    <n v="36352"/>
  </r>
  <r>
    <x v="1"/>
    <s v="Fashion"/>
    <n v="7491"/>
  </r>
  <r>
    <x v="5"/>
    <s v="Books"/>
    <n v="1194"/>
  </r>
  <r>
    <x v="6"/>
    <s v="Home"/>
    <n v="31769"/>
  </r>
  <r>
    <x v="1"/>
    <s v="Fashion"/>
    <n v="40775"/>
  </r>
  <r>
    <x v="0"/>
    <s v="Electronics"/>
    <n v="17570"/>
  </r>
  <r>
    <x v="3"/>
    <s v="Books"/>
    <n v="40349"/>
  </r>
  <r>
    <x v="3"/>
    <s v="Fashion"/>
    <n v="26598"/>
  </r>
  <r>
    <x v="1"/>
    <s v="Electronics"/>
    <n v="40700"/>
  </r>
  <r>
    <x v="1"/>
    <s v="Books"/>
    <n v="20383"/>
  </r>
  <r>
    <x v="7"/>
    <s v="Electronics"/>
    <n v="33714"/>
  </r>
  <r>
    <x v="0"/>
    <s v="Grocery"/>
    <n v="18686"/>
  </r>
  <r>
    <x v="6"/>
    <s v="Fashion"/>
    <n v="2979"/>
  </r>
  <r>
    <x v="0"/>
    <s v="Home"/>
    <n v="18660"/>
  </r>
  <r>
    <x v="7"/>
    <s v="Grocery"/>
    <n v="22207"/>
  </r>
  <r>
    <x v="2"/>
    <s v="Grocery"/>
    <n v="23930"/>
  </r>
  <r>
    <x v="4"/>
    <s v="Grocery"/>
    <n v="14064"/>
  </r>
  <r>
    <x v="3"/>
    <s v="Electronics"/>
    <n v="38740"/>
  </r>
  <r>
    <x v="3"/>
    <s v="Books"/>
    <n v="40867"/>
  </r>
  <r>
    <x v="2"/>
    <s v="Electronics"/>
    <n v="8677"/>
  </r>
  <r>
    <x v="5"/>
    <s v="Grocery"/>
    <n v="29691"/>
  </r>
  <r>
    <x v="1"/>
    <s v="Books"/>
    <n v="33321"/>
  </r>
  <r>
    <x v="0"/>
    <s v="Electronics"/>
    <n v="37404"/>
  </r>
  <r>
    <x v="3"/>
    <s v="Fashion"/>
    <n v="28988"/>
  </r>
  <r>
    <x v="0"/>
    <s v="Fashion"/>
    <n v="12362"/>
  </r>
  <r>
    <x v="7"/>
    <s v="Books"/>
    <n v="46683"/>
  </r>
  <r>
    <x v="0"/>
    <s v="Books"/>
    <n v="8105"/>
  </r>
  <r>
    <x v="4"/>
    <s v="Grocery"/>
    <n v="2861"/>
  </r>
  <r>
    <x v="6"/>
    <s v="Fashion"/>
    <n v="14060"/>
  </r>
  <r>
    <x v="5"/>
    <s v="Electronics"/>
    <n v="46533"/>
  </r>
  <r>
    <x v="5"/>
    <s v="Electronics"/>
    <n v="41322"/>
  </r>
  <r>
    <x v="2"/>
    <s v="Grocery"/>
    <n v="1324"/>
  </r>
  <r>
    <x v="4"/>
    <s v="Home"/>
    <n v="14759"/>
  </r>
  <r>
    <x v="1"/>
    <s v="Fashion"/>
    <n v="29532"/>
  </r>
  <r>
    <x v="7"/>
    <s v="Electronics"/>
    <n v="32803"/>
  </r>
  <r>
    <x v="4"/>
    <s v="Books"/>
    <n v="32446"/>
  </r>
  <r>
    <x v="2"/>
    <s v="Fashion"/>
    <n v="26134"/>
  </r>
  <r>
    <x v="1"/>
    <s v="Fashion"/>
    <n v="30120"/>
  </r>
  <r>
    <x v="6"/>
    <s v="Books"/>
    <n v="6835"/>
  </r>
  <r>
    <x v="6"/>
    <s v="Electronics"/>
    <n v="8962"/>
  </r>
  <r>
    <x v="6"/>
    <s v="Electronics"/>
    <n v="7269"/>
  </r>
  <r>
    <x v="7"/>
    <s v="Books"/>
    <n v="29419"/>
  </r>
  <r>
    <x v="2"/>
    <s v="Fashion"/>
    <n v="3961"/>
  </r>
  <r>
    <x v="6"/>
    <s v="Electronics"/>
    <n v="35993"/>
  </r>
  <r>
    <x v="2"/>
    <s v="Electronics"/>
    <n v="15000"/>
  </r>
  <r>
    <x v="2"/>
    <s v="Grocery"/>
    <n v="43249"/>
  </r>
  <r>
    <x v="7"/>
    <s v="Fashion"/>
    <n v="7517"/>
  </r>
  <r>
    <x v="3"/>
    <s v="Books"/>
    <n v="22170"/>
  </r>
  <r>
    <x v="2"/>
    <s v="Fashion"/>
    <n v="28390"/>
  </r>
  <r>
    <x v="0"/>
    <s v="Books"/>
    <n v="19109"/>
  </r>
  <r>
    <x v="5"/>
    <s v="Grocery"/>
    <n v="46916"/>
  </r>
  <r>
    <x v="5"/>
    <s v="Fashion"/>
    <n v="25898"/>
  </r>
  <r>
    <x v="1"/>
    <s v="Grocery"/>
    <n v="9780"/>
  </r>
  <r>
    <x v="1"/>
    <s v="Grocery"/>
    <n v="21226"/>
  </r>
  <r>
    <x v="5"/>
    <s v="Fashion"/>
    <n v="43157"/>
  </r>
  <r>
    <x v="7"/>
    <s v="Books"/>
    <n v="35281"/>
  </r>
  <r>
    <x v="1"/>
    <s v="Electronics"/>
    <n v="38374"/>
  </r>
  <r>
    <x v="4"/>
    <s v="Grocery"/>
    <n v="487"/>
  </r>
  <r>
    <x v="7"/>
    <s v="Fashion"/>
    <n v="7519"/>
  </r>
  <r>
    <x v="0"/>
    <s v="Home"/>
    <n v="9746"/>
  </r>
  <r>
    <x v="6"/>
    <s v="Fashion"/>
    <n v="7983"/>
  </r>
  <r>
    <x v="5"/>
    <s v="Electronics"/>
    <n v="46267"/>
  </r>
  <r>
    <x v="2"/>
    <s v="Electronics"/>
    <n v="9926"/>
  </r>
  <r>
    <x v="3"/>
    <s v="Electronics"/>
    <n v="37601"/>
  </r>
  <r>
    <x v="2"/>
    <s v="Books"/>
    <n v="46081"/>
  </r>
  <r>
    <x v="7"/>
    <s v="Electronics"/>
    <n v="19093"/>
  </r>
  <r>
    <x v="2"/>
    <s v="Books"/>
    <n v="10808"/>
  </r>
  <r>
    <x v="0"/>
    <s v="Books"/>
    <n v="33190"/>
  </r>
  <r>
    <x v="0"/>
    <s v="Electronics"/>
    <n v="34477"/>
  </r>
  <r>
    <x v="6"/>
    <s v="Fashion"/>
    <n v="26009"/>
  </r>
  <r>
    <x v="7"/>
    <s v="Grocery"/>
    <n v="43075"/>
  </r>
  <r>
    <x v="5"/>
    <s v="Home"/>
    <n v="13061"/>
  </r>
  <r>
    <x v="5"/>
    <s v="Books"/>
    <n v="22285"/>
  </r>
  <r>
    <x v="3"/>
    <s v="Electronics"/>
    <n v="14187"/>
  </r>
  <r>
    <x v="4"/>
    <s v="Electronics"/>
    <n v="16050"/>
  </r>
  <r>
    <x v="7"/>
    <s v="Electronics"/>
    <n v="3448"/>
  </r>
  <r>
    <x v="5"/>
    <s v="Grocery"/>
    <n v="26392"/>
  </r>
  <r>
    <x v="2"/>
    <s v="Electronics"/>
    <n v="22013"/>
  </r>
  <r>
    <x v="2"/>
    <s v="Electronics"/>
    <n v="38781"/>
  </r>
  <r>
    <x v="2"/>
    <s v="Fashion"/>
    <n v="45020"/>
  </r>
  <r>
    <x v="4"/>
    <s v="Fashion"/>
    <n v="47391"/>
  </r>
  <r>
    <x v="5"/>
    <s v="Home"/>
    <n v="8898"/>
  </r>
  <r>
    <x v="6"/>
    <s v="Home"/>
    <n v="15970"/>
  </r>
  <r>
    <x v="7"/>
    <s v="Electronics"/>
    <n v="1279"/>
  </r>
  <r>
    <x v="7"/>
    <s v="Electronics"/>
    <n v="30106"/>
  </r>
  <r>
    <x v="3"/>
    <s v="Grocery"/>
    <n v="38082"/>
  </r>
  <r>
    <x v="2"/>
    <s v="Home"/>
    <n v="17204"/>
  </r>
  <r>
    <x v="3"/>
    <s v="Books"/>
    <n v="32298"/>
  </r>
  <r>
    <x v="1"/>
    <s v="Books"/>
    <n v="44902"/>
  </r>
  <r>
    <x v="5"/>
    <s v="Grocery"/>
    <n v="5771"/>
  </r>
  <r>
    <x v="6"/>
    <s v="Books"/>
    <n v="42496"/>
  </r>
  <r>
    <x v="2"/>
    <s v="Electronics"/>
    <n v="19348"/>
  </r>
  <r>
    <x v="4"/>
    <s v="Home"/>
    <n v="30595"/>
  </r>
  <r>
    <x v="7"/>
    <s v="Electronics"/>
    <n v="5924"/>
  </r>
  <r>
    <x v="4"/>
    <s v="Home"/>
    <n v="21843"/>
  </r>
  <r>
    <x v="4"/>
    <s v="Home"/>
    <n v="7792"/>
  </r>
  <r>
    <x v="2"/>
    <s v="Home"/>
    <n v="9836"/>
  </r>
  <r>
    <x v="6"/>
    <s v="Grocery"/>
    <n v="28487"/>
  </r>
  <r>
    <x v="6"/>
    <s v="Home"/>
    <n v="17984"/>
  </r>
  <r>
    <x v="3"/>
    <s v="Grocery"/>
    <n v="26846"/>
  </r>
  <r>
    <x v="4"/>
    <s v="Grocery"/>
    <n v="12363"/>
  </r>
  <r>
    <x v="0"/>
    <s v="Fashion"/>
    <n v="13315"/>
  </r>
  <r>
    <x v="2"/>
    <s v="Home"/>
    <n v="23545"/>
  </r>
  <r>
    <x v="3"/>
    <s v="Books"/>
    <n v="40703"/>
  </r>
  <r>
    <x v="2"/>
    <s v="Home"/>
    <n v="9965"/>
  </r>
  <r>
    <x v="0"/>
    <s v="Books"/>
    <n v="47635"/>
  </r>
  <r>
    <x v="3"/>
    <s v="Electronics"/>
    <n v="14627"/>
  </r>
  <r>
    <x v="1"/>
    <s v="Fashion"/>
    <n v="23112"/>
  </r>
  <r>
    <x v="5"/>
    <s v="Electronics"/>
    <n v="20088"/>
  </r>
  <r>
    <x v="7"/>
    <s v="Home"/>
    <n v="27195"/>
  </r>
  <r>
    <x v="5"/>
    <s v="Electronics"/>
    <n v="11822"/>
  </r>
  <r>
    <x v="2"/>
    <s v="Books"/>
    <n v="28865"/>
  </r>
  <r>
    <x v="3"/>
    <s v="Electronics"/>
    <n v="7103"/>
  </r>
  <r>
    <x v="7"/>
    <s v="Books"/>
    <n v="35999"/>
  </r>
  <r>
    <x v="6"/>
    <s v="Grocery"/>
    <n v="27867"/>
  </r>
  <r>
    <x v="1"/>
    <s v="Electronics"/>
    <n v="13116"/>
  </r>
  <r>
    <x v="1"/>
    <s v="Home"/>
    <n v="798"/>
  </r>
  <r>
    <x v="0"/>
    <s v="Grocery"/>
    <n v="20445"/>
  </r>
  <r>
    <x v="6"/>
    <s v="Electronics"/>
    <n v="2020"/>
  </r>
  <r>
    <x v="5"/>
    <s v="Fashion"/>
    <n v="37798"/>
  </r>
  <r>
    <x v="4"/>
    <s v="Books"/>
    <n v="42533"/>
  </r>
  <r>
    <x v="1"/>
    <s v="Fashion"/>
    <n v="26718"/>
  </r>
  <r>
    <x v="4"/>
    <s v="Electronics"/>
    <n v="46832"/>
  </r>
  <r>
    <x v="1"/>
    <s v="Grocery"/>
    <n v="36535"/>
  </r>
  <r>
    <x v="3"/>
    <s v="Electronics"/>
    <n v="28966"/>
  </r>
  <r>
    <x v="3"/>
    <s v="Books"/>
    <n v="25361"/>
  </r>
  <r>
    <x v="2"/>
    <s v="Fashion"/>
    <n v="43063"/>
  </r>
  <r>
    <x v="4"/>
    <s v="Home"/>
    <n v="17370"/>
  </r>
  <r>
    <x v="6"/>
    <s v="Books"/>
    <n v="7077"/>
  </r>
  <r>
    <x v="2"/>
    <s v="Grocery"/>
    <n v="17470"/>
  </r>
  <r>
    <x v="5"/>
    <s v="Fashion"/>
    <n v="25911"/>
  </r>
  <r>
    <x v="3"/>
    <s v="Home"/>
    <n v="41304"/>
  </r>
  <r>
    <x v="5"/>
    <s v="Home"/>
    <n v="10858"/>
  </r>
  <r>
    <x v="6"/>
    <s v="Electronics"/>
    <n v="22766"/>
  </r>
  <r>
    <x v="2"/>
    <s v="Books"/>
    <n v="48907"/>
  </r>
  <r>
    <x v="6"/>
    <s v="Books"/>
    <n v="33837"/>
  </r>
  <r>
    <x v="4"/>
    <s v="Electronics"/>
    <n v="21765"/>
  </r>
  <r>
    <x v="0"/>
    <s v="Grocery"/>
    <n v="31860"/>
  </r>
  <r>
    <x v="0"/>
    <s v="Home"/>
    <n v="49137"/>
  </r>
  <r>
    <x v="4"/>
    <s v="Grocery"/>
    <n v="11635"/>
  </r>
  <r>
    <x v="0"/>
    <s v="Fashion"/>
    <n v="13789"/>
  </r>
  <r>
    <x v="0"/>
    <s v="Grocery"/>
    <n v="41123"/>
  </r>
  <r>
    <x v="5"/>
    <s v="Grocery"/>
    <n v="41764"/>
  </r>
  <r>
    <x v="0"/>
    <s v="Books"/>
    <n v="27157"/>
  </r>
  <r>
    <x v="6"/>
    <s v="Electronics"/>
    <n v="12090"/>
  </r>
  <r>
    <x v="4"/>
    <s v="Electronics"/>
    <n v="14402"/>
  </r>
  <r>
    <x v="3"/>
    <s v="Electronics"/>
    <n v="21179"/>
  </r>
  <r>
    <x v="5"/>
    <s v="Fashion"/>
    <n v="37107"/>
  </r>
  <r>
    <x v="4"/>
    <s v="Electronics"/>
    <n v="37062"/>
  </r>
  <r>
    <x v="5"/>
    <s v="Grocery"/>
    <n v="13285"/>
  </r>
  <r>
    <x v="6"/>
    <s v="Grocery"/>
    <n v="27906"/>
  </r>
  <r>
    <x v="5"/>
    <s v="Books"/>
    <n v="25390"/>
  </r>
  <r>
    <x v="6"/>
    <s v="Books"/>
    <n v="604"/>
  </r>
  <r>
    <x v="6"/>
    <s v="Books"/>
    <n v="34871"/>
  </r>
  <r>
    <x v="7"/>
    <s v="Electronics"/>
    <n v="27502"/>
  </r>
  <r>
    <x v="1"/>
    <s v="Electronics"/>
    <n v="36767"/>
  </r>
  <r>
    <x v="0"/>
    <s v="Home"/>
    <n v="32631"/>
  </r>
  <r>
    <x v="4"/>
    <s v="Electronics"/>
    <n v="981"/>
  </r>
  <r>
    <x v="4"/>
    <s v="Fashion"/>
    <n v="6068"/>
  </r>
  <r>
    <x v="6"/>
    <s v="Grocery"/>
    <n v="3123"/>
  </r>
  <r>
    <x v="0"/>
    <s v="Grocery"/>
    <n v="45383"/>
  </r>
  <r>
    <x v="7"/>
    <s v="Electronics"/>
    <n v="8576"/>
  </r>
  <r>
    <x v="3"/>
    <s v="Books"/>
    <n v="34876"/>
  </r>
  <r>
    <x v="0"/>
    <s v="Grocery"/>
    <n v="48197"/>
  </r>
  <r>
    <x v="0"/>
    <s v="Electronics"/>
    <n v="23434"/>
  </r>
  <r>
    <x v="7"/>
    <s v="Electronics"/>
    <n v="14224"/>
  </r>
  <r>
    <x v="4"/>
    <s v="Home"/>
    <n v="7150"/>
  </r>
  <r>
    <x v="5"/>
    <s v="Grocery"/>
    <n v="46733"/>
  </r>
  <r>
    <x v="2"/>
    <s v="Fashion"/>
    <n v="24131"/>
  </r>
  <r>
    <x v="1"/>
    <s v="Fashion"/>
    <n v="4798"/>
  </r>
  <r>
    <x v="3"/>
    <s v="Fashion"/>
    <n v="30509"/>
  </r>
  <r>
    <x v="7"/>
    <s v="Fashion"/>
    <n v="17782"/>
  </r>
  <r>
    <x v="5"/>
    <s v="Grocery"/>
    <n v="8054"/>
  </r>
  <r>
    <x v="2"/>
    <s v="Home"/>
    <n v="33211"/>
  </r>
  <r>
    <x v="7"/>
    <s v="Grocery"/>
    <n v="24533"/>
  </r>
  <r>
    <x v="4"/>
    <s v="Grocery"/>
    <n v="12715"/>
  </r>
  <r>
    <x v="7"/>
    <s v="Books"/>
    <n v="28714"/>
  </r>
  <r>
    <x v="4"/>
    <s v="Electronics"/>
    <n v="3782"/>
  </r>
  <r>
    <x v="3"/>
    <s v="Books"/>
    <n v="6921"/>
  </r>
  <r>
    <x v="1"/>
    <s v="Electronics"/>
    <n v="14710"/>
  </r>
  <r>
    <x v="4"/>
    <s v="Grocery"/>
    <n v="42039"/>
  </r>
  <r>
    <x v="2"/>
    <s v="Books"/>
    <n v="46206"/>
  </r>
  <r>
    <x v="5"/>
    <s v="Electronics"/>
    <n v="11221"/>
  </r>
  <r>
    <x v="6"/>
    <s v="Home"/>
    <n v="28344"/>
  </r>
  <r>
    <x v="3"/>
    <s v="Fashion"/>
    <n v="44812"/>
  </r>
  <r>
    <x v="6"/>
    <s v="Home"/>
    <n v="16520"/>
  </r>
  <r>
    <x v="0"/>
    <s v="Fashion"/>
    <n v="34724"/>
  </r>
  <r>
    <x v="0"/>
    <s v="Grocery"/>
    <n v="29962"/>
  </r>
  <r>
    <x v="7"/>
    <s v="Grocery"/>
    <n v="24174"/>
  </r>
  <r>
    <x v="5"/>
    <s v="Books"/>
    <n v="43811"/>
  </r>
  <r>
    <x v="6"/>
    <s v="Fashion"/>
    <n v="27190"/>
  </r>
  <r>
    <x v="6"/>
    <s v="Fashion"/>
    <n v="38152"/>
  </r>
  <r>
    <x v="4"/>
    <s v="Home"/>
    <n v="42160"/>
  </r>
  <r>
    <x v="2"/>
    <s v="Grocery"/>
    <n v="44803"/>
  </r>
  <r>
    <x v="0"/>
    <s v="Grocery"/>
    <n v="12789"/>
  </r>
  <r>
    <x v="3"/>
    <s v="Home"/>
    <n v="30120"/>
  </r>
  <r>
    <x v="7"/>
    <s v="Fashion"/>
    <n v="30860"/>
  </r>
  <r>
    <x v="2"/>
    <s v="Grocery"/>
    <n v="32204"/>
  </r>
  <r>
    <x v="7"/>
    <s v="Electronics"/>
    <n v="14542"/>
  </r>
  <r>
    <x v="0"/>
    <s v="Electronics"/>
    <n v="28501"/>
  </r>
  <r>
    <x v="2"/>
    <s v="Grocery"/>
    <n v="18864"/>
  </r>
  <r>
    <x v="4"/>
    <s v="Home"/>
    <n v="38653"/>
  </r>
  <r>
    <x v="7"/>
    <s v="Grocery"/>
    <n v="16600"/>
  </r>
  <r>
    <x v="0"/>
    <s v="Grocery"/>
    <n v="39427"/>
  </r>
  <r>
    <x v="2"/>
    <s v="Fashion"/>
    <n v="16685"/>
  </r>
  <r>
    <x v="0"/>
    <s v="Grocery"/>
    <n v="5909"/>
  </r>
  <r>
    <x v="2"/>
    <s v="Home"/>
    <n v="28932"/>
  </r>
  <r>
    <x v="5"/>
    <s v="Books"/>
    <n v="45202"/>
  </r>
  <r>
    <x v="7"/>
    <s v="Home"/>
    <n v="27186"/>
  </r>
  <r>
    <x v="1"/>
    <s v="Electronics"/>
    <n v="49835"/>
  </r>
  <r>
    <x v="5"/>
    <s v="Fashion"/>
    <n v="40990"/>
  </r>
  <r>
    <x v="1"/>
    <s v="Electronics"/>
    <n v="30630"/>
  </r>
  <r>
    <x v="0"/>
    <s v="Electronics"/>
    <n v="22155"/>
  </r>
  <r>
    <x v="6"/>
    <s v="Electronics"/>
    <n v="48827"/>
  </r>
  <r>
    <x v="7"/>
    <s v="Fashion"/>
    <n v="14950"/>
  </r>
  <r>
    <x v="7"/>
    <s v="Books"/>
    <n v="45374"/>
  </r>
  <r>
    <x v="2"/>
    <s v="Books"/>
    <n v="8232"/>
  </r>
  <r>
    <x v="7"/>
    <s v="Electronics"/>
    <n v="33448"/>
  </r>
  <r>
    <x v="0"/>
    <s v="Home"/>
    <n v="32001"/>
  </r>
  <r>
    <x v="7"/>
    <s v="Books"/>
    <n v="8373"/>
  </r>
  <r>
    <x v="2"/>
    <s v="Fashion"/>
    <n v="11491"/>
  </r>
  <r>
    <x v="0"/>
    <s v="Electronics"/>
    <n v="38885"/>
  </r>
  <r>
    <x v="1"/>
    <s v="Electronics"/>
    <n v="30706"/>
  </r>
  <r>
    <x v="0"/>
    <s v="Home"/>
    <n v="8172"/>
  </r>
  <r>
    <x v="7"/>
    <s v="Electronics"/>
    <n v="23547"/>
  </r>
  <r>
    <x v="6"/>
    <s v="Fashion"/>
    <n v="23745"/>
  </r>
  <r>
    <x v="3"/>
    <s v="Fashion"/>
    <n v="43286"/>
  </r>
  <r>
    <x v="2"/>
    <s v="Grocery"/>
    <n v="43451"/>
  </r>
  <r>
    <x v="1"/>
    <s v="Home"/>
    <n v="40004"/>
  </r>
  <r>
    <x v="0"/>
    <s v="Fashion"/>
    <n v="46028"/>
  </r>
  <r>
    <x v="1"/>
    <s v="Electronics"/>
    <n v="3244"/>
  </r>
  <r>
    <x v="3"/>
    <s v="Home"/>
    <n v="44820"/>
  </r>
  <r>
    <x v="3"/>
    <s v="Fashion"/>
    <n v="48020"/>
  </r>
  <r>
    <x v="0"/>
    <s v="Electronics"/>
    <n v="2752"/>
  </r>
  <r>
    <x v="2"/>
    <s v="Grocery"/>
    <n v="7355"/>
  </r>
  <r>
    <x v="4"/>
    <s v="Fashion"/>
    <n v="16847"/>
  </r>
  <r>
    <x v="4"/>
    <s v="Fashion"/>
    <n v="28746"/>
  </r>
  <r>
    <x v="4"/>
    <s v="Electronics"/>
    <n v="9511"/>
  </r>
  <r>
    <x v="3"/>
    <s v="Grocery"/>
    <n v="12444"/>
  </r>
  <r>
    <x v="7"/>
    <s v="Books"/>
    <n v="23375"/>
  </r>
  <r>
    <x v="7"/>
    <s v="Home"/>
    <n v="41290"/>
  </r>
  <r>
    <x v="0"/>
    <s v="Electronics"/>
    <n v="8028"/>
  </r>
  <r>
    <x v="5"/>
    <s v="Electronics"/>
    <n v="14981"/>
  </r>
  <r>
    <x v="3"/>
    <s v="Fashion"/>
    <n v="19178"/>
  </r>
  <r>
    <x v="0"/>
    <s v="Home"/>
    <n v="40843"/>
  </r>
  <r>
    <x v="7"/>
    <s v="Grocery"/>
    <n v="43110"/>
  </r>
  <r>
    <x v="0"/>
    <s v="Fashion"/>
    <n v="22224"/>
  </r>
  <r>
    <x v="5"/>
    <s v="Electronics"/>
    <n v="15741"/>
  </r>
  <r>
    <x v="3"/>
    <s v="Home"/>
    <n v="39500"/>
  </r>
  <r>
    <x v="0"/>
    <s v="Electronics"/>
    <n v="7119"/>
  </r>
  <r>
    <x v="5"/>
    <s v="Home"/>
    <n v="31599"/>
  </r>
  <r>
    <x v="6"/>
    <s v="Fashion"/>
    <n v="35308"/>
  </r>
  <r>
    <x v="6"/>
    <s v="Home"/>
    <n v="25022"/>
  </r>
  <r>
    <x v="2"/>
    <s v="Electronics"/>
    <n v="29001"/>
  </r>
  <r>
    <x v="5"/>
    <s v="Home"/>
    <n v="4096"/>
  </r>
  <r>
    <x v="4"/>
    <s v="Home"/>
    <n v="49286"/>
  </r>
  <r>
    <x v="3"/>
    <s v="Electronics"/>
    <n v="8604"/>
  </r>
  <r>
    <x v="5"/>
    <s v="Grocery"/>
    <n v="39779"/>
  </r>
  <r>
    <x v="7"/>
    <s v="Electronics"/>
    <n v="43330"/>
  </r>
  <r>
    <x v="4"/>
    <s v="Home"/>
    <n v="46519"/>
  </r>
  <r>
    <x v="5"/>
    <s v="Books"/>
    <n v="19481"/>
  </r>
  <r>
    <x v="3"/>
    <s v="Electronics"/>
    <n v="23017"/>
  </r>
  <r>
    <x v="4"/>
    <s v="Fashion"/>
    <n v="34443"/>
  </r>
  <r>
    <x v="3"/>
    <s v="Grocery"/>
    <n v="47807"/>
  </r>
  <r>
    <x v="7"/>
    <s v="Electronics"/>
    <n v="1695"/>
  </r>
  <r>
    <x v="1"/>
    <s v="Grocery"/>
    <n v="5837"/>
  </r>
  <r>
    <x v="6"/>
    <s v="Home"/>
    <n v="25509"/>
  </r>
  <r>
    <x v="1"/>
    <s v="Fashion"/>
    <n v="43548"/>
  </r>
  <r>
    <x v="6"/>
    <s v="Books"/>
    <n v="23093"/>
  </r>
  <r>
    <x v="6"/>
    <s v="Grocery"/>
    <n v="47865"/>
  </r>
  <r>
    <x v="1"/>
    <s v="Grocery"/>
    <n v="35346"/>
  </r>
  <r>
    <x v="2"/>
    <s v="Home"/>
    <n v="30927"/>
  </r>
  <r>
    <x v="0"/>
    <s v="Electronics"/>
    <n v="16679"/>
  </r>
  <r>
    <x v="8"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1">
  <r>
    <n v="42461"/>
    <x v="0"/>
  </r>
  <r>
    <n v="32430"/>
    <x v="0"/>
  </r>
  <r>
    <n v="8570"/>
    <x v="0"/>
  </r>
  <r>
    <n v="35070"/>
    <x v="1"/>
  </r>
  <r>
    <n v="43207"/>
    <x v="1"/>
  </r>
  <r>
    <n v="30020"/>
    <x v="1"/>
  </r>
  <r>
    <n v="43888"/>
    <x v="0"/>
  </r>
  <r>
    <n v="5894"/>
    <x v="0"/>
  </r>
  <r>
    <n v="4230"/>
    <x v="0"/>
  </r>
  <r>
    <n v="19150"/>
    <x v="0"/>
  </r>
  <r>
    <n v="43339"/>
    <x v="0"/>
  </r>
  <r>
    <n v="18556"/>
    <x v="0"/>
  </r>
  <r>
    <n v="43411"/>
    <x v="1"/>
  </r>
  <r>
    <n v="23304"/>
    <x v="1"/>
  </r>
  <r>
    <n v="9597"/>
    <x v="0"/>
  </r>
  <r>
    <n v="30030"/>
    <x v="1"/>
  </r>
  <r>
    <n v="39374"/>
    <x v="0"/>
  </r>
  <r>
    <n v="18132"/>
    <x v="1"/>
  </r>
  <r>
    <n v="14427"/>
    <x v="1"/>
  </r>
  <r>
    <n v="32191"/>
    <x v="0"/>
  </r>
  <r>
    <n v="13697"/>
    <x v="0"/>
  </r>
  <r>
    <n v="8163"/>
    <x v="1"/>
  </r>
  <r>
    <n v="35203"/>
    <x v="0"/>
  </r>
  <r>
    <n v="48930"/>
    <x v="0"/>
  </r>
  <r>
    <n v="38032"/>
    <x v="1"/>
  </r>
  <r>
    <n v="26844"/>
    <x v="1"/>
  </r>
  <r>
    <n v="28920"/>
    <x v="1"/>
  </r>
  <r>
    <n v="20634"/>
    <x v="0"/>
  </r>
  <r>
    <n v="41799"/>
    <x v="1"/>
  </r>
  <r>
    <n v="47969"/>
    <x v="0"/>
  </r>
  <r>
    <n v="11670"/>
    <x v="1"/>
  </r>
  <r>
    <n v="38276"/>
    <x v="0"/>
  </r>
  <r>
    <n v="4775"/>
    <x v="1"/>
  </r>
  <r>
    <n v="33548"/>
    <x v="1"/>
  </r>
  <r>
    <n v="24465"/>
    <x v="0"/>
  </r>
  <r>
    <n v="38332"/>
    <x v="0"/>
  </r>
  <r>
    <n v="10186"/>
    <x v="0"/>
  </r>
  <r>
    <n v="42644"/>
    <x v="1"/>
  </r>
  <r>
    <n v="34558"/>
    <x v="0"/>
  </r>
  <r>
    <n v="22475"/>
    <x v="0"/>
  </r>
  <r>
    <n v="44758"/>
    <x v="1"/>
  </r>
  <r>
    <n v="38490"/>
    <x v="0"/>
  </r>
  <r>
    <n v="46754"/>
    <x v="1"/>
  </r>
  <r>
    <n v="44216"/>
    <x v="0"/>
  </r>
  <r>
    <n v="20541"/>
    <x v="1"/>
  </r>
  <r>
    <n v="9315"/>
    <x v="0"/>
  </r>
  <r>
    <n v="40803"/>
    <x v="1"/>
  </r>
  <r>
    <n v="11148"/>
    <x v="1"/>
  </r>
  <r>
    <n v="40315"/>
    <x v="0"/>
  </r>
  <r>
    <n v="31037"/>
    <x v="0"/>
  </r>
  <r>
    <n v="33258"/>
    <x v="1"/>
  </r>
  <r>
    <n v="42320"/>
    <x v="0"/>
  </r>
  <r>
    <n v="5796"/>
    <x v="0"/>
  </r>
  <r>
    <n v="6310"/>
    <x v="1"/>
  </r>
  <r>
    <n v="26282"/>
    <x v="0"/>
  </r>
  <r>
    <n v="2147"/>
    <x v="1"/>
  </r>
  <r>
    <n v="19100"/>
    <x v="1"/>
  </r>
  <r>
    <n v="1545"/>
    <x v="1"/>
  </r>
  <r>
    <n v="19181"/>
    <x v="1"/>
  </r>
  <r>
    <n v="42174"/>
    <x v="0"/>
  </r>
  <r>
    <n v="37986"/>
    <x v="1"/>
  </r>
  <r>
    <n v="23422"/>
    <x v="1"/>
  </r>
  <r>
    <n v="23932"/>
    <x v="0"/>
  </r>
  <r>
    <n v="31110"/>
    <x v="0"/>
  </r>
  <r>
    <n v="4727"/>
    <x v="1"/>
  </r>
  <r>
    <n v="3205"/>
    <x v="0"/>
  </r>
  <r>
    <n v="41701"/>
    <x v="0"/>
  </r>
  <r>
    <n v="13511"/>
    <x v="1"/>
  </r>
  <r>
    <n v="26398"/>
    <x v="1"/>
  </r>
  <r>
    <n v="3432"/>
    <x v="0"/>
  </r>
  <r>
    <n v="49013"/>
    <x v="0"/>
  </r>
  <r>
    <n v="24374"/>
    <x v="0"/>
  </r>
  <r>
    <n v="12126"/>
    <x v="0"/>
  </r>
  <r>
    <n v="20386"/>
    <x v="0"/>
  </r>
  <r>
    <n v="3075"/>
    <x v="1"/>
  </r>
  <r>
    <n v="24109"/>
    <x v="1"/>
  </r>
  <r>
    <n v="4706"/>
    <x v="0"/>
  </r>
  <r>
    <n v="10355"/>
    <x v="0"/>
  </r>
  <r>
    <n v="9323"/>
    <x v="1"/>
  </r>
  <r>
    <n v="1998"/>
    <x v="1"/>
  </r>
  <r>
    <n v="17358"/>
    <x v="0"/>
  </r>
  <r>
    <n v="9195"/>
    <x v="0"/>
  </r>
  <r>
    <n v="44067"/>
    <x v="1"/>
  </r>
  <r>
    <n v="10622"/>
    <x v="0"/>
  </r>
  <r>
    <n v="9401"/>
    <x v="1"/>
  </r>
  <r>
    <n v="36452"/>
    <x v="0"/>
  </r>
  <r>
    <n v="34751"/>
    <x v="0"/>
  </r>
  <r>
    <n v="29789"/>
    <x v="1"/>
  </r>
  <r>
    <n v="28652"/>
    <x v="0"/>
  </r>
  <r>
    <n v="10914"/>
    <x v="1"/>
  </r>
  <r>
    <n v="16723"/>
    <x v="0"/>
  </r>
  <r>
    <n v="35262"/>
    <x v="1"/>
  </r>
  <r>
    <n v="43470"/>
    <x v="0"/>
  </r>
  <r>
    <n v="42338"/>
    <x v="0"/>
  </r>
  <r>
    <n v="19283"/>
    <x v="1"/>
  </r>
  <r>
    <n v="5082"/>
    <x v="1"/>
  </r>
  <r>
    <n v="13670"/>
    <x v="1"/>
  </r>
  <r>
    <n v="8869"/>
    <x v="1"/>
  </r>
  <r>
    <n v="30870"/>
    <x v="0"/>
  </r>
  <r>
    <n v="3616"/>
    <x v="0"/>
  </r>
  <r>
    <n v="38159"/>
    <x v="1"/>
  </r>
  <r>
    <n v="20520"/>
    <x v="1"/>
  </r>
  <r>
    <n v="14399"/>
    <x v="1"/>
  </r>
  <r>
    <n v="43177"/>
    <x v="0"/>
  </r>
  <r>
    <n v="9077"/>
    <x v="0"/>
  </r>
  <r>
    <n v="3652"/>
    <x v="1"/>
  </r>
  <r>
    <n v="33346"/>
    <x v="1"/>
  </r>
  <r>
    <n v="26114"/>
    <x v="0"/>
  </r>
  <r>
    <n v="39783"/>
    <x v="1"/>
  </r>
  <r>
    <n v="47065"/>
    <x v="1"/>
  </r>
  <r>
    <n v="34084"/>
    <x v="1"/>
  </r>
  <r>
    <n v="48752"/>
    <x v="1"/>
  </r>
  <r>
    <n v="19947"/>
    <x v="0"/>
  </r>
  <r>
    <n v="38553"/>
    <x v="0"/>
  </r>
  <r>
    <n v="38541"/>
    <x v="0"/>
  </r>
  <r>
    <n v="2369"/>
    <x v="1"/>
  </r>
  <r>
    <n v="10224"/>
    <x v="0"/>
  </r>
  <r>
    <n v="46553"/>
    <x v="1"/>
  </r>
  <r>
    <n v="34737"/>
    <x v="0"/>
  </r>
  <r>
    <n v="23518"/>
    <x v="1"/>
  </r>
  <r>
    <n v="19862"/>
    <x v="0"/>
  </r>
  <r>
    <n v="31744"/>
    <x v="1"/>
  </r>
  <r>
    <n v="44643"/>
    <x v="1"/>
  </r>
  <r>
    <n v="19150"/>
    <x v="1"/>
  </r>
  <r>
    <n v="13542"/>
    <x v="1"/>
  </r>
  <r>
    <n v="48855"/>
    <x v="0"/>
  </r>
  <r>
    <n v="3740"/>
    <x v="1"/>
  </r>
  <r>
    <n v="639"/>
    <x v="1"/>
  </r>
  <r>
    <n v="21348"/>
    <x v="1"/>
  </r>
  <r>
    <n v="48710"/>
    <x v="1"/>
  </r>
  <r>
    <n v="32765"/>
    <x v="1"/>
  </r>
  <r>
    <n v="39803"/>
    <x v="0"/>
  </r>
  <r>
    <n v="33344"/>
    <x v="0"/>
  </r>
  <r>
    <n v="48214"/>
    <x v="0"/>
  </r>
  <r>
    <n v="37510"/>
    <x v="1"/>
  </r>
  <r>
    <n v="26569"/>
    <x v="1"/>
  </r>
  <r>
    <n v="747"/>
    <x v="1"/>
  </r>
  <r>
    <n v="20088"/>
    <x v="1"/>
  </r>
  <r>
    <n v="30800"/>
    <x v="0"/>
  </r>
  <r>
    <n v="42158"/>
    <x v="0"/>
  </r>
  <r>
    <n v="10339"/>
    <x v="0"/>
  </r>
  <r>
    <n v="43822"/>
    <x v="0"/>
  </r>
  <r>
    <n v="46422"/>
    <x v="1"/>
  </r>
  <r>
    <n v="35470"/>
    <x v="1"/>
  </r>
  <r>
    <n v="44883"/>
    <x v="1"/>
  </r>
  <r>
    <n v="30016"/>
    <x v="0"/>
  </r>
  <r>
    <n v="30602"/>
    <x v="1"/>
  </r>
  <r>
    <n v="38200"/>
    <x v="1"/>
  </r>
  <r>
    <n v="4248"/>
    <x v="1"/>
  </r>
  <r>
    <n v="9175"/>
    <x v="1"/>
  </r>
  <r>
    <n v="5559"/>
    <x v="1"/>
  </r>
  <r>
    <n v="8645"/>
    <x v="1"/>
  </r>
  <r>
    <n v="28095"/>
    <x v="0"/>
  </r>
  <r>
    <n v="18364"/>
    <x v="1"/>
  </r>
  <r>
    <n v="13805"/>
    <x v="1"/>
  </r>
  <r>
    <n v="48832"/>
    <x v="1"/>
  </r>
  <r>
    <n v="9483"/>
    <x v="0"/>
  </r>
  <r>
    <n v="20076"/>
    <x v="0"/>
  </r>
  <r>
    <n v="4294"/>
    <x v="1"/>
  </r>
  <r>
    <n v="42460"/>
    <x v="1"/>
  </r>
  <r>
    <n v="19953"/>
    <x v="1"/>
  </r>
  <r>
    <n v="20009"/>
    <x v="0"/>
  </r>
  <r>
    <n v="36822"/>
    <x v="0"/>
  </r>
  <r>
    <n v="42682"/>
    <x v="1"/>
  </r>
  <r>
    <n v="17893"/>
    <x v="0"/>
  </r>
  <r>
    <n v="13989"/>
    <x v="1"/>
  </r>
  <r>
    <n v="49247"/>
    <x v="1"/>
  </r>
  <r>
    <n v="21377"/>
    <x v="1"/>
  </r>
  <r>
    <n v="17441"/>
    <x v="0"/>
  </r>
  <r>
    <n v="21286"/>
    <x v="1"/>
  </r>
  <r>
    <n v="14801"/>
    <x v="1"/>
  </r>
  <r>
    <n v="10288"/>
    <x v="0"/>
  </r>
  <r>
    <n v="36386"/>
    <x v="1"/>
  </r>
  <r>
    <n v="48322"/>
    <x v="0"/>
  </r>
  <r>
    <n v="35829"/>
    <x v="0"/>
  </r>
  <r>
    <n v="27326"/>
    <x v="0"/>
  </r>
  <r>
    <n v="33443"/>
    <x v="0"/>
  </r>
  <r>
    <n v="733"/>
    <x v="0"/>
  </r>
  <r>
    <n v="19088"/>
    <x v="1"/>
  </r>
  <r>
    <n v="34666"/>
    <x v="1"/>
  </r>
  <r>
    <n v="17819"/>
    <x v="1"/>
  </r>
  <r>
    <n v="16238"/>
    <x v="1"/>
  </r>
  <r>
    <n v="25155"/>
    <x v="0"/>
  </r>
  <r>
    <n v="5718"/>
    <x v="0"/>
  </r>
  <r>
    <n v="3088"/>
    <x v="0"/>
  </r>
  <r>
    <n v="45154"/>
    <x v="1"/>
  </r>
  <r>
    <n v="13876"/>
    <x v="1"/>
  </r>
  <r>
    <n v="16059"/>
    <x v="0"/>
  </r>
  <r>
    <n v="33119"/>
    <x v="0"/>
  </r>
  <r>
    <n v="22621"/>
    <x v="1"/>
  </r>
  <r>
    <n v="15251"/>
    <x v="1"/>
  </r>
  <r>
    <n v="43597"/>
    <x v="1"/>
  </r>
  <r>
    <n v="17861"/>
    <x v="0"/>
  </r>
  <r>
    <n v="7282"/>
    <x v="0"/>
  </r>
  <r>
    <n v="6999"/>
    <x v="1"/>
  </r>
  <r>
    <n v="36655"/>
    <x v="1"/>
  </r>
  <r>
    <n v="6399"/>
    <x v="0"/>
  </r>
  <r>
    <n v="5850"/>
    <x v="1"/>
  </r>
  <r>
    <n v="9399"/>
    <x v="1"/>
  </r>
  <r>
    <n v="11258"/>
    <x v="0"/>
  </r>
  <r>
    <n v="23966"/>
    <x v="0"/>
  </r>
  <r>
    <n v="9179"/>
    <x v="1"/>
  </r>
  <r>
    <n v="29150"/>
    <x v="1"/>
  </r>
  <r>
    <n v="45866"/>
    <x v="0"/>
  </r>
  <r>
    <n v="19400"/>
    <x v="1"/>
  </r>
  <r>
    <n v="26051"/>
    <x v="1"/>
  </r>
  <r>
    <n v="2063"/>
    <x v="0"/>
  </r>
  <r>
    <n v="44404"/>
    <x v="1"/>
  </r>
  <r>
    <n v="47173"/>
    <x v="1"/>
  </r>
  <r>
    <n v="26567"/>
    <x v="1"/>
  </r>
  <r>
    <n v="16568"/>
    <x v="0"/>
  </r>
  <r>
    <n v="28510"/>
    <x v="0"/>
  </r>
  <r>
    <n v="49245"/>
    <x v="1"/>
  </r>
  <r>
    <n v="45548"/>
    <x v="1"/>
  </r>
  <r>
    <n v="27561"/>
    <x v="0"/>
  </r>
  <r>
    <n v="30140"/>
    <x v="1"/>
  </r>
  <r>
    <n v="29015"/>
    <x v="1"/>
  </r>
  <r>
    <n v="1780"/>
    <x v="0"/>
  </r>
  <r>
    <n v="10794"/>
    <x v="0"/>
  </r>
  <r>
    <n v="41571"/>
    <x v="1"/>
  </r>
  <r>
    <n v="13231"/>
    <x v="0"/>
  </r>
  <r>
    <n v="18541"/>
    <x v="1"/>
  </r>
  <r>
    <n v="21663"/>
    <x v="0"/>
  </r>
  <r>
    <n v="42184"/>
    <x v="0"/>
  </r>
  <r>
    <n v="30306"/>
    <x v="1"/>
  </r>
  <r>
    <n v="15935"/>
    <x v="0"/>
  </r>
  <r>
    <n v="25758"/>
    <x v="0"/>
  </r>
  <r>
    <n v="41948"/>
    <x v="0"/>
  </r>
  <r>
    <n v="12561"/>
    <x v="1"/>
  </r>
  <r>
    <n v="9247"/>
    <x v="1"/>
  </r>
  <r>
    <n v="45172"/>
    <x v="1"/>
  </r>
  <r>
    <n v="37353"/>
    <x v="1"/>
  </r>
  <r>
    <n v="35532"/>
    <x v="0"/>
  </r>
  <r>
    <n v="33776"/>
    <x v="0"/>
  </r>
  <r>
    <n v="49896"/>
    <x v="1"/>
  </r>
  <r>
    <n v="48533"/>
    <x v="1"/>
  </r>
  <r>
    <n v="6000"/>
    <x v="1"/>
  </r>
  <r>
    <n v="41769"/>
    <x v="0"/>
  </r>
  <r>
    <n v="37660"/>
    <x v="1"/>
  </r>
  <r>
    <n v="46440"/>
    <x v="1"/>
  </r>
  <r>
    <n v="49458"/>
    <x v="1"/>
  </r>
  <r>
    <n v="9884"/>
    <x v="1"/>
  </r>
  <r>
    <n v="41745"/>
    <x v="1"/>
  </r>
  <r>
    <n v="26701"/>
    <x v="0"/>
  </r>
  <r>
    <n v="462"/>
    <x v="0"/>
  </r>
  <r>
    <n v="28457"/>
    <x v="1"/>
  </r>
  <r>
    <n v="36168"/>
    <x v="1"/>
  </r>
  <r>
    <n v="6825"/>
    <x v="1"/>
  </r>
  <r>
    <n v="344"/>
    <x v="1"/>
  </r>
  <r>
    <n v="6417"/>
    <x v="0"/>
  </r>
  <r>
    <n v="26274"/>
    <x v="0"/>
  </r>
  <r>
    <n v="14286"/>
    <x v="0"/>
  </r>
  <r>
    <n v="828"/>
    <x v="1"/>
  </r>
  <r>
    <n v="15304"/>
    <x v="1"/>
  </r>
  <r>
    <n v="19911"/>
    <x v="0"/>
  </r>
  <r>
    <n v="37215"/>
    <x v="0"/>
  </r>
  <r>
    <n v="27281"/>
    <x v="0"/>
  </r>
  <r>
    <n v="38938"/>
    <x v="1"/>
  </r>
  <r>
    <n v="18451"/>
    <x v="1"/>
  </r>
  <r>
    <n v="13764"/>
    <x v="0"/>
  </r>
  <r>
    <n v="25589"/>
    <x v="0"/>
  </r>
  <r>
    <n v="21040"/>
    <x v="1"/>
  </r>
  <r>
    <n v="5083"/>
    <x v="1"/>
  </r>
  <r>
    <n v="2910"/>
    <x v="1"/>
  </r>
  <r>
    <n v="46293"/>
    <x v="1"/>
  </r>
  <r>
    <n v="5778"/>
    <x v="1"/>
  </r>
  <r>
    <n v="21713"/>
    <x v="0"/>
  </r>
  <r>
    <n v="4094"/>
    <x v="0"/>
  </r>
  <r>
    <n v="40200"/>
    <x v="0"/>
  </r>
  <r>
    <n v="46273"/>
    <x v="1"/>
  </r>
  <r>
    <n v="24670"/>
    <x v="1"/>
  </r>
  <r>
    <n v="18124"/>
    <x v="1"/>
  </r>
  <r>
    <n v="23901"/>
    <x v="0"/>
  </r>
  <r>
    <n v="7043"/>
    <x v="0"/>
  </r>
  <r>
    <n v="16326"/>
    <x v="0"/>
  </r>
  <r>
    <n v="2617"/>
    <x v="0"/>
  </r>
  <r>
    <n v="18077"/>
    <x v="1"/>
  </r>
  <r>
    <n v="14926"/>
    <x v="1"/>
  </r>
  <r>
    <n v="21749"/>
    <x v="1"/>
  </r>
  <r>
    <n v="19409"/>
    <x v="0"/>
  </r>
  <r>
    <n v="48302"/>
    <x v="0"/>
  </r>
  <r>
    <n v="35790"/>
    <x v="1"/>
  </r>
  <r>
    <n v="7112"/>
    <x v="0"/>
  </r>
  <r>
    <n v="9630"/>
    <x v="1"/>
  </r>
  <r>
    <n v="30345"/>
    <x v="1"/>
  </r>
  <r>
    <n v="5204"/>
    <x v="1"/>
  </r>
  <r>
    <n v="20944"/>
    <x v="0"/>
  </r>
  <r>
    <n v="5194"/>
    <x v="0"/>
  </r>
  <r>
    <n v="29762"/>
    <x v="1"/>
  </r>
  <r>
    <n v="29916"/>
    <x v="1"/>
  </r>
  <r>
    <n v="45261"/>
    <x v="1"/>
  </r>
  <r>
    <n v="46906"/>
    <x v="1"/>
  </r>
  <r>
    <n v="17350"/>
    <x v="1"/>
  </r>
  <r>
    <n v="30580"/>
    <x v="0"/>
  </r>
  <r>
    <n v="8866"/>
    <x v="0"/>
  </r>
  <r>
    <n v="1728"/>
    <x v="1"/>
  </r>
  <r>
    <n v="8329"/>
    <x v="0"/>
  </r>
  <r>
    <n v="32814"/>
    <x v="1"/>
  </r>
  <r>
    <n v="12565"/>
    <x v="0"/>
  </r>
  <r>
    <n v="40878"/>
    <x v="0"/>
  </r>
  <r>
    <n v="6048"/>
    <x v="0"/>
  </r>
  <r>
    <n v="16628"/>
    <x v="1"/>
  </r>
  <r>
    <n v="37370"/>
    <x v="1"/>
  </r>
  <r>
    <n v="39432"/>
    <x v="0"/>
  </r>
  <r>
    <n v="23724"/>
    <x v="1"/>
  </r>
  <r>
    <n v="35275"/>
    <x v="0"/>
  </r>
  <r>
    <n v="15802"/>
    <x v="0"/>
  </r>
  <r>
    <n v="12636"/>
    <x v="0"/>
  </r>
  <r>
    <n v="6215"/>
    <x v="0"/>
  </r>
  <r>
    <n v="22040"/>
    <x v="0"/>
  </r>
  <r>
    <n v="1736"/>
    <x v="1"/>
  </r>
  <r>
    <n v="24783"/>
    <x v="0"/>
  </r>
  <r>
    <n v="9242"/>
    <x v="0"/>
  </r>
  <r>
    <n v="45753"/>
    <x v="0"/>
  </r>
  <r>
    <n v="8645"/>
    <x v="0"/>
  </r>
  <r>
    <n v="39778"/>
    <x v="0"/>
  </r>
  <r>
    <n v="49146"/>
    <x v="0"/>
  </r>
  <r>
    <n v="46762"/>
    <x v="1"/>
  </r>
  <r>
    <n v="45727"/>
    <x v="0"/>
  </r>
  <r>
    <n v="25592"/>
    <x v="0"/>
  </r>
  <r>
    <n v="23318"/>
    <x v="1"/>
  </r>
  <r>
    <n v="29875"/>
    <x v="0"/>
  </r>
  <r>
    <n v="7163"/>
    <x v="0"/>
  </r>
  <r>
    <n v="36151"/>
    <x v="0"/>
  </r>
  <r>
    <n v="40101"/>
    <x v="1"/>
  </r>
  <r>
    <n v="12750"/>
    <x v="1"/>
  </r>
  <r>
    <n v="15867"/>
    <x v="0"/>
  </r>
  <r>
    <n v="3872"/>
    <x v="1"/>
  </r>
  <r>
    <n v="31778"/>
    <x v="1"/>
  </r>
  <r>
    <n v="5669"/>
    <x v="1"/>
  </r>
  <r>
    <n v="43621"/>
    <x v="1"/>
  </r>
  <r>
    <n v="25298"/>
    <x v="0"/>
  </r>
  <r>
    <n v="30778"/>
    <x v="0"/>
  </r>
  <r>
    <n v="49598"/>
    <x v="0"/>
  </r>
  <r>
    <n v="15210"/>
    <x v="0"/>
  </r>
  <r>
    <n v="15743"/>
    <x v="1"/>
  </r>
  <r>
    <n v="37735"/>
    <x v="0"/>
  </r>
  <r>
    <n v="12930"/>
    <x v="0"/>
  </r>
  <r>
    <n v="41405"/>
    <x v="0"/>
  </r>
  <r>
    <n v="36761"/>
    <x v="0"/>
  </r>
  <r>
    <n v="46202"/>
    <x v="1"/>
  </r>
  <r>
    <n v="38830"/>
    <x v="0"/>
  </r>
  <r>
    <n v="17610"/>
    <x v="1"/>
  </r>
  <r>
    <n v="26709"/>
    <x v="1"/>
  </r>
  <r>
    <n v="3530"/>
    <x v="0"/>
  </r>
  <r>
    <n v="20678"/>
    <x v="0"/>
  </r>
  <r>
    <n v="49040"/>
    <x v="1"/>
  </r>
  <r>
    <n v="29248"/>
    <x v="1"/>
  </r>
  <r>
    <n v="34068"/>
    <x v="0"/>
  </r>
  <r>
    <n v="34659"/>
    <x v="0"/>
  </r>
  <r>
    <n v="2467"/>
    <x v="1"/>
  </r>
  <r>
    <n v="30723"/>
    <x v="1"/>
  </r>
  <r>
    <n v="39231"/>
    <x v="1"/>
  </r>
  <r>
    <n v="11016"/>
    <x v="1"/>
  </r>
  <r>
    <n v="10976"/>
    <x v="0"/>
  </r>
  <r>
    <n v="33938"/>
    <x v="1"/>
  </r>
  <r>
    <n v="854"/>
    <x v="1"/>
  </r>
  <r>
    <n v="23153"/>
    <x v="1"/>
  </r>
  <r>
    <n v="41168"/>
    <x v="1"/>
  </r>
  <r>
    <n v="42724"/>
    <x v="0"/>
  </r>
  <r>
    <n v="18419"/>
    <x v="0"/>
  </r>
  <r>
    <n v="34201"/>
    <x v="0"/>
  </r>
  <r>
    <n v="43252"/>
    <x v="1"/>
  </r>
  <r>
    <n v="48582"/>
    <x v="1"/>
  </r>
  <r>
    <n v="42132"/>
    <x v="1"/>
  </r>
  <r>
    <n v="12170"/>
    <x v="0"/>
  </r>
  <r>
    <n v="12297"/>
    <x v="0"/>
  </r>
  <r>
    <n v="27856"/>
    <x v="0"/>
  </r>
  <r>
    <n v="8018"/>
    <x v="0"/>
  </r>
  <r>
    <n v="8152"/>
    <x v="1"/>
  </r>
  <r>
    <n v="9302"/>
    <x v="1"/>
  </r>
  <r>
    <n v="21034"/>
    <x v="0"/>
  </r>
  <r>
    <n v="41882"/>
    <x v="1"/>
  </r>
  <r>
    <n v="38067"/>
    <x v="1"/>
  </r>
  <r>
    <n v="26736"/>
    <x v="0"/>
  </r>
  <r>
    <n v="13368"/>
    <x v="1"/>
  </r>
  <r>
    <n v="44651"/>
    <x v="1"/>
  </r>
  <r>
    <n v="7031"/>
    <x v="1"/>
  </r>
  <r>
    <n v="19842"/>
    <x v="1"/>
  </r>
  <r>
    <n v="45308"/>
    <x v="1"/>
  </r>
  <r>
    <n v="26736"/>
    <x v="1"/>
  </r>
  <r>
    <n v="38946"/>
    <x v="1"/>
  </r>
  <r>
    <n v="35344"/>
    <x v="1"/>
  </r>
  <r>
    <n v="27613"/>
    <x v="0"/>
  </r>
  <r>
    <n v="46297"/>
    <x v="1"/>
  </r>
  <r>
    <n v="43716"/>
    <x v="0"/>
  </r>
  <r>
    <n v="7771"/>
    <x v="1"/>
  </r>
  <r>
    <n v="13516"/>
    <x v="1"/>
  </r>
  <r>
    <n v="32829"/>
    <x v="1"/>
  </r>
  <r>
    <n v="44316"/>
    <x v="0"/>
  </r>
  <r>
    <n v="5218"/>
    <x v="0"/>
  </r>
  <r>
    <n v="30726"/>
    <x v="1"/>
  </r>
  <r>
    <n v="44652"/>
    <x v="1"/>
  </r>
  <r>
    <n v="9369"/>
    <x v="0"/>
  </r>
  <r>
    <n v="24720"/>
    <x v="0"/>
  </r>
  <r>
    <n v="18114"/>
    <x v="0"/>
  </r>
  <r>
    <n v="45924"/>
    <x v="1"/>
  </r>
  <r>
    <n v="44759"/>
    <x v="1"/>
  </r>
  <r>
    <n v="31959"/>
    <x v="1"/>
  </r>
  <r>
    <n v="17445"/>
    <x v="0"/>
  </r>
  <r>
    <n v="34319"/>
    <x v="0"/>
  </r>
  <r>
    <n v="10042"/>
    <x v="0"/>
  </r>
  <r>
    <n v="11139"/>
    <x v="1"/>
  </r>
  <r>
    <n v="3599"/>
    <x v="1"/>
  </r>
  <r>
    <n v="30387"/>
    <x v="1"/>
  </r>
  <r>
    <n v="21013"/>
    <x v="0"/>
  </r>
  <r>
    <n v="2648"/>
    <x v="0"/>
  </r>
  <r>
    <n v="22638"/>
    <x v="0"/>
  </r>
  <r>
    <n v="40916"/>
    <x v="0"/>
  </r>
  <r>
    <n v="443"/>
    <x v="1"/>
  </r>
  <r>
    <n v="3300"/>
    <x v="1"/>
  </r>
  <r>
    <n v="40332"/>
    <x v="1"/>
  </r>
  <r>
    <n v="12789"/>
    <x v="1"/>
  </r>
  <r>
    <n v="30275"/>
    <x v="1"/>
  </r>
  <r>
    <n v="28664"/>
    <x v="1"/>
  </r>
  <r>
    <n v="7086"/>
    <x v="1"/>
  </r>
  <r>
    <n v="45684"/>
    <x v="0"/>
  </r>
  <r>
    <n v="9040"/>
    <x v="1"/>
  </r>
  <r>
    <n v="41756"/>
    <x v="0"/>
  </r>
  <r>
    <n v="46856"/>
    <x v="1"/>
  </r>
  <r>
    <n v="37149"/>
    <x v="1"/>
  </r>
  <r>
    <n v="1136"/>
    <x v="0"/>
  </r>
  <r>
    <n v="13400"/>
    <x v="1"/>
  </r>
  <r>
    <n v="45558"/>
    <x v="1"/>
  </r>
  <r>
    <n v="7016"/>
    <x v="0"/>
  </r>
  <r>
    <n v="25307"/>
    <x v="0"/>
  </r>
  <r>
    <n v="49037"/>
    <x v="1"/>
  </r>
  <r>
    <n v="36122"/>
    <x v="1"/>
  </r>
  <r>
    <n v="12553"/>
    <x v="1"/>
  </r>
  <r>
    <n v="18591"/>
    <x v="0"/>
  </r>
  <r>
    <n v="21963"/>
    <x v="0"/>
  </r>
  <r>
    <n v="3632"/>
    <x v="1"/>
  </r>
  <r>
    <n v="34732"/>
    <x v="1"/>
  </r>
  <r>
    <n v="35891"/>
    <x v="0"/>
  </r>
  <r>
    <n v="21996"/>
    <x v="0"/>
  </r>
  <r>
    <n v="49591"/>
    <x v="1"/>
  </r>
  <r>
    <n v="41006"/>
    <x v="1"/>
  </r>
  <r>
    <n v="17115"/>
    <x v="1"/>
  </r>
  <r>
    <n v="3173"/>
    <x v="0"/>
  </r>
  <r>
    <n v="11270"/>
    <x v="1"/>
  </r>
  <r>
    <n v="13772"/>
    <x v="1"/>
  </r>
  <r>
    <n v="2782"/>
    <x v="1"/>
  </r>
  <r>
    <n v="4916"/>
    <x v="1"/>
  </r>
  <r>
    <n v="28678"/>
    <x v="0"/>
  </r>
  <r>
    <n v="4444"/>
    <x v="0"/>
  </r>
  <r>
    <n v="45249"/>
    <x v="0"/>
  </r>
  <r>
    <n v="43601"/>
    <x v="0"/>
  </r>
  <r>
    <n v="49239"/>
    <x v="0"/>
  </r>
  <r>
    <n v="1030"/>
    <x v="0"/>
  </r>
  <r>
    <n v="36182"/>
    <x v="1"/>
  </r>
  <r>
    <n v="42631"/>
    <x v="1"/>
  </r>
  <r>
    <n v="7811"/>
    <x v="0"/>
  </r>
  <r>
    <n v="5093"/>
    <x v="0"/>
  </r>
  <r>
    <n v="32228"/>
    <x v="1"/>
  </r>
  <r>
    <n v="40900"/>
    <x v="0"/>
  </r>
  <r>
    <n v="40692"/>
    <x v="0"/>
  </r>
  <r>
    <n v="28369"/>
    <x v="0"/>
  </r>
  <r>
    <n v="18432"/>
    <x v="0"/>
  </r>
  <r>
    <n v="23810"/>
    <x v="1"/>
  </r>
  <r>
    <n v="5672"/>
    <x v="0"/>
  </r>
  <r>
    <n v="47972"/>
    <x v="1"/>
  </r>
  <r>
    <n v="14243"/>
    <x v="1"/>
  </r>
  <r>
    <n v="24274"/>
    <x v="1"/>
  </r>
  <r>
    <n v="33750"/>
    <x v="0"/>
  </r>
  <r>
    <n v="40541"/>
    <x v="0"/>
  </r>
  <r>
    <n v="37416"/>
    <x v="1"/>
  </r>
  <r>
    <n v="15487"/>
    <x v="1"/>
  </r>
  <r>
    <n v="34240"/>
    <x v="0"/>
  </r>
  <r>
    <n v="42801"/>
    <x v="0"/>
  </r>
  <r>
    <n v="35974"/>
    <x v="1"/>
  </r>
  <r>
    <n v="16787"/>
    <x v="1"/>
  </r>
  <r>
    <n v="32206"/>
    <x v="1"/>
  </r>
  <r>
    <n v="15372"/>
    <x v="0"/>
  </r>
  <r>
    <n v="10612"/>
    <x v="1"/>
  </r>
  <r>
    <n v="31856"/>
    <x v="1"/>
  </r>
  <r>
    <n v="16269"/>
    <x v="1"/>
  </r>
  <r>
    <n v="9924"/>
    <x v="0"/>
  </r>
  <r>
    <n v="37236"/>
    <x v="0"/>
  </r>
  <r>
    <n v="31194"/>
    <x v="1"/>
  </r>
  <r>
    <n v="12219"/>
    <x v="0"/>
  </r>
  <r>
    <n v="25086"/>
    <x v="0"/>
  </r>
  <r>
    <n v="33353"/>
    <x v="0"/>
  </r>
  <r>
    <n v="39609"/>
    <x v="1"/>
  </r>
  <r>
    <n v="43513"/>
    <x v="0"/>
  </r>
  <r>
    <n v="3146"/>
    <x v="1"/>
  </r>
  <r>
    <n v="48887"/>
    <x v="1"/>
  </r>
  <r>
    <n v="5793"/>
    <x v="1"/>
  </r>
  <r>
    <n v="46774"/>
    <x v="1"/>
  </r>
  <r>
    <n v="43196"/>
    <x v="0"/>
  </r>
  <r>
    <n v="28223"/>
    <x v="1"/>
  </r>
  <r>
    <n v="18359"/>
    <x v="0"/>
  </r>
  <r>
    <n v="24562"/>
    <x v="1"/>
  </r>
  <r>
    <n v="48520"/>
    <x v="0"/>
  </r>
  <r>
    <n v="14354"/>
    <x v="1"/>
  </r>
  <r>
    <n v="41972"/>
    <x v="1"/>
  </r>
  <r>
    <n v="4499"/>
    <x v="1"/>
  </r>
  <r>
    <n v="26556"/>
    <x v="0"/>
  </r>
  <r>
    <n v="13519"/>
    <x v="1"/>
  </r>
  <r>
    <n v="11407"/>
    <x v="1"/>
  </r>
  <r>
    <n v="18383"/>
    <x v="0"/>
  </r>
  <r>
    <n v="1307"/>
    <x v="1"/>
  </r>
  <r>
    <n v="18421"/>
    <x v="0"/>
  </r>
  <r>
    <n v="11771"/>
    <x v="1"/>
  </r>
  <r>
    <n v="19584"/>
    <x v="0"/>
  </r>
  <r>
    <n v="25012"/>
    <x v="1"/>
  </r>
  <r>
    <n v="2092"/>
    <x v="1"/>
  </r>
  <r>
    <n v="44662"/>
    <x v="0"/>
  </r>
  <r>
    <n v="16569"/>
    <x v="0"/>
  </r>
  <r>
    <n v="11997"/>
    <x v="1"/>
  </r>
  <r>
    <n v="49200"/>
    <x v="1"/>
  </r>
  <r>
    <n v="13851"/>
    <x v="0"/>
  </r>
  <r>
    <n v="8156"/>
    <x v="0"/>
  </r>
  <r>
    <n v="24626"/>
    <x v="0"/>
  </r>
  <r>
    <n v="18667"/>
    <x v="0"/>
  </r>
  <r>
    <n v="35739"/>
    <x v="0"/>
  </r>
  <r>
    <n v="8188"/>
    <x v="1"/>
  </r>
  <r>
    <n v="38376"/>
    <x v="0"/>
  </r>
  <r>
    <n v="17526"/>
    <x v="1"/>
  </r>
  <r>
    <n v="32987"/>
    <x v="1"/>
  </r>
  <r>
    <n v="18625"/>
    <x v="0"/>
  </r>
  <r>
    <n v="47539"/>
    <x v="0"/>
  </r>
  <r>
    <n v="9858"/>
    <x v="1"/>
  </r>
  <r>
    <n v="9112"/>
    <x v="1"/>
  </r>
  <r>
    <n v="6786"/>
    <x v="1"/>
  </r>
  <r>
    <n v="29781"/>
    <x v="1"/>
  </r>
  <r>
    <n v="1599"/>
    <x v="0"/>
  </r>
  <r>
    <n v="23572"/>
    <x v="1"/>
  </r>
  <r>
    <n v="40517"/>
    <x v="1"/>
  </r>
  <r>
    <n v="41671"/>
    <x v="1"/>
  </r>
  <r>
    <n v="20844"/>
    <x v="1"/>
  </r>
  <r>
    <n v="24100"/>
    <x v="0"/>
  </r>
  <r>
    <n v="47995"/>
    <x v="0"/>
  </r>
  <r>
    <n v="7050"/>
    <x v="0"/>
  </r>
  <r>
    <n v="26318"/>
    <x v="1"/>
  </r>
  <r>
    <n v="20574"/>
    <x v="1"/>
  </r>
  <r>
    <n v="34820"/>
    <x v="1"/>
  </r>
  <r>
    <n v="30917"/>
    <x v="0"/>
  </r>
  <r>
    <n v="39463"/>
    <x v="0"/>
  </r>
  <r>
    <n v="31865"/>
    <x v="1"/>
  </r>
  <r>
    <n v="17326"/>
    <x v="1"/>
  </r>
  <r>
    <n v="19093"/>
    <x v="0"/>
  </r>
  <r>
    <n v="898"/>
    <x v="0"/>
  </r>
  <r>
    <n v="27283"/>
    <x v="0"/>
  </r>
  <r>
    <n v="14756"/>
    <x v="1"/>
  </r>
  <r>
    <n v="42797"/>
    <x v="1"/>
  </r>
  <r>
    <n v="19278"/>
    <x v="0"/>
  </r>
  <r>
    <n v="21313"/>
    <x v="1"/>
  </r>
  <r>
    <n v="7002"/>
    <x v="0"/>
  </r>
  <r>
    <n v="6211"/>
    <x v="0"/>
  </r>
  <r>
    <n v="20719"/>
    <x v="1"/>
  </r>
  <r>
    <n v="49489"/>
    <x v="0"/>
  </r>
  <r>
    <n v="31111"/>
    <x v="1"/>
  </r>
  <r>
    <n v="47137"/>
    <x v="1"/>
  </r>
  <r>
    <n v="30501"/>
    <x v="0"/>
  </r>
  <r>
    <n v="21472"/>
    <x v="0"/>
  </r>
  <r>
    <n v="31837"/>
    <x v="1"/>
  </r>
  <r>
    <n v="15764"/>
    <x v="1"/>
  </r>
  <r>
    <n v="8141"/>
    <x v="1"/>
  </r>
  <r>
    <n v="10457"/>
    <x v="1"/>
  </r>
  <r>
    <n v="45254"/>
    <x v="1"/>
  </r>
  <r>
    <n v="7338"/>
    <x v="0"/>
  </r>
  <r>
    <n v="48350"/>
    <x v="0"/>
  </r>
  <r>
    <n v="2887"/>
    <x v="1"/>
  </r>
  <r>
    <n v="37439"/>
    <x v="0"/>
  </r>
  <r>
    <n v="39535"/>
    <x v="1"/>
  </r>
  <r>
    <n v="17558"/>
    <x v="1"/>
  </r>
  <r>
    <n v="1526"/>
    <x v="0"/>
  </r>
  <r>
    <n v="34645"/>
    <x v="1"/>
  </r>
  <r>
    <n v="42302"/>
    <x v="0"/>
  </r>
  <r>
    <n v="8804"/>
    <x v="0"/>
  </r>
  <r>
    <n v="6771"/>
    <x v="0"/>
  </r>
  <r>
    <n v="24309"/>
    <x v="1"/>
  </r>
  <r>
    <n v="30974"/>
    <x v="1"/>
  </r>
  <r>
    <n v="40731"/>
    <x v="1"/>
  </r>
  <r>
    <n v="14449"/>
    <x v="1"/>
  </r>
  <r>
    <n v="12956"/>
    <x v="0"/>
  </r>
  <r>
    <n v="42152"/>
    <x v="1"/>
  </r>
  <r>
    <n v="36342"/>
    <x v="1"/>
  </r>
  <r>
    <n v="20953"/>
    <x v="1"/>
  </r>
  <r>
    <n v="16075"/>
    <x v="1"/>
  </r>
  <r>
    <n v="29627"/>
    <x v="1"/>
  </r>
  <r>
    <n v="9152"/>
    <x v="0"/>
  </r>
  <r>
    <n v="1722"/>
    <x v="0"/>
  </r>
  <r>
    <n v="2773"/>
    <x v="1"/>
  </r>
  <r>
    <n v="38452"/>
    <x v="0"/>
  </r>
  <r>
    <n v="26501"/>
    <x v="0"/>
  </r>
  <r>
    <n v="45493"/>
    <x v="0"/>
  </r>
  <r>
    <n v="3964"/>
    <x v="0"/>
  </r>
  <r>
    <n v="49299"/>
    <x v="1"/>
  </r>
  <r>
    <n v="35684"/>
    <x v="0"/>
  </r>
  <r>
    <n v="44447"/>
    <x v="0"/>
  </r>
  <r>
    <n v="19291"/>
    <x v="0"/>
  </r>
  <r>
    <n v="37749"/>
    <x v="0"/>
  </r>
  <r>
    <n v="33187"/>
    <x v="0"/>
  </r>
  <r>
    <n v="26207"/>
    <x v="0"/>
  </r>
  <r>
    <n v="17749"/>
    <x v="0"/>
  </r>
  <r>
    <n v="24238"/>
    <x v="0"/>
  </r>
  <r>
    <n v="11392"/>
    <x v="1"/>
  </r>
  <r>
    <n v="13386"/>
    <x v="0"/>
  </r>
  <r>
    <n v="40998"/>
    <x v="0"/>
  </r>
  <r>
    <n v="29795"/>
    <x v="1"/>
  </r>
  <r>
    <n v="36110"/>
    <x v="0"/>
  </r>
  <r>
    <n v="38507"/>
    <x v="1"/>
  </r>
  <r>
    <n v="45947"/>
    <x v="1"/>
  </r>
  <r>
    <n v="43578"/>
    <x v="0"/>
  </r>
  <r>
    <n v="15449"/>
    <x v="1"/>
  </r>
  <r>
    <n v="35136"/>
    <x v="1"/>
  </r>
  <r>
    <n v="46992"/>
    <x v="1"/>
  </r>
  <r>
    <n v="32408"/>
    <x v="1"/>
  </r>
  <r>
    <n v="41275"/>
    <x v="1"/>
  </r>
  <r>
    <n v="25673"/>
    <x v="1"/>
  </r>
  <r>
    <n v="26045"/>
    <x v="1"/>
  </r>
  <r>
    <n v="16052"/>
    <x v="1"/>
  </r>
  <r>
    <n v="8935"/>
    <x v="1"/>
  </r>
  <r>
    <n v="45423"/>
    <x v="0"/>
  </r>
  <r>
    <n v="4744"/>
    <x v="0"/>
  </r>
  <r>
    <n v="27434"/>
    <x v="1"/>
  </r>
  <r>
    <n v="7297"/>
    <x v="1"/>
  </r>
  <r>
    <n v="15516"/>
    <x v="1"/>
  </r>
  <r>
    <n v="33220"/>
    <x v="0"/>
  </r>
  <r>
    <n v="9312"/>
    <x v="0"/>
  </r>
  <r>
    <n v="17985"/>
    <x v="0"/>
  </r>
  <r>
    <n v="29088"/>
    <x v="0"/>
  </r>
  <r>
    <n v="3041"/>
    <x v="0"/>
  </r>
  <r>
    <n v="7464"/>
    <x v="1"/>
  </r>
  <r>
    <n v="36849"/>
    <x v="1"/>
  </r>
  <r>
    <n v="26385"/>
    <x v="0"/>
  </r>
  <r>
    <n v="40482"/>
    <x v="1"/>
  </r>
  <r>
    <n v="47659"/>
    <x v="1"/>
  </r>
  <r>
    <n v="21498"/>
    <x v="0"/>
  </r>
  <r>
    <n v="6210"/>
    <x v="0"/>
  </r>
  <r>
    <n v="46583"/>
    <x v="1"/>
  </r>
  <r>
    <n v="40412"/>
    <x v="1"/>
  </r>
  <r>
    <n v="22267"/>
    <x v="1"/>
  </r>
  <r>
    <n v="20489"/>
    <x v="1"/>
  </r>
  <r>
    <n v="13594"/>
    <x v="0"/>
  </r>
  <r>
    <n v="35918"/>
    <x v="1"/>
  </r>
  <r>
    <n v="27179"/>
    <x v="1"/>
  </r>
  <r>
    <n v="41498"/>
    <x v="1"/>
  </r>
  <r>
    <n v="2706"/>
    <x v="0"/>
  </r>
  <r>
    <n v="7436"/>
    <x v="0"/>
  </r>
  <r>
    <n v="49408"/>
    <x v="0"/>
  </r>
  <r>
    <n v="25134"/>
    <x v="0"/>
  </r>
  <r>
    <n v="9117"/>
    <x v="0"/>
  </r>
  <r>
    <n v="14052"/>
    <x v="1"/>
  </r>
  <r>
    <n v="47752"/>
    <x v="1"/>
  </r>
  <r>
    <n v="40558"/>
    <x v="1"/>
  </r>
  <r>
    <n v="15551"/>
    <x v="0"/>
  </r>
  <r>
    <n v="41290"/>
    <x v="0"/>
  </r>
  <r>
    <n v="23214"/>
    <x v="1"/>
  </r>
  <r>
    <n v="20470"/>
    <x v="0"/>
  </r>
  <r>
    <n v="45246"/>
    <x v="1"/>
  </r>
  <r>
    <n v="13015"/>
    <x v="0"/>
  </r>
  <r>
    <n v="31855"/>
    <x v="0"/>
  </r>
  <r>
    <n v="48966"/>
    <x v="0"/>
  </r>
  <r>
    <n v="35419"/>
    <x v="0"/>
  </r>
  <r>
    <n v="18680"/>
    <x v="0"/>
  </r>
  <r>
    <n v="39994"/>
    <x v="0"/>
  </r>
  <r>
    <n v="18092"/>
    <x v="1"/>
  </r>
  <r>
    <n v="20133"/>
    <x v="0"/>
  </r>
  <r>
    <n v="2750"/>
    <x v="0"/>
  </r>
  <r>
    <n v="33071"/>
    <x v="0"/>
  </r>
  <r>
    <n v="9690"/>
    <x v="0"/>
  </r>
  <r>
    <n v="25700"/>
    <x v="1"/>
  </r>
  <r>
    <n v="30897"/>
    <x v="0"/>
  </r>
  <r>
    <n v="20756"/>
    <x v="0"/>
  </r>
  <r>
    <n v="35183"/>
    <x v="1"/>
  </r>
  <r>
    <n v="18233"/>
    <x v="1"/>
  </r>
  <r>
    <n v="35855"/>
    <x v="1"/>
  </r>
  <r>
    <n v="37923"/>
    <x v="1"/>
  </r>
  <r>
    <n v="29374"/>
    <x v="0"/>
  </r>
  <r>
    <n v="25439"/>
    <x v="1"/>
  </r>
  <r>
    <n v="39146"/>
    <x v="1"/>
  </r>
  <r>
    <n v="5447"/>
    <x v="1"/>
  </r>
  <r>
    <n v="30157"/>
    <x v="0"/>
  </r>
  <r>
    <n v="40731"/>
    <x v="1"/>
  </r>
  <r>
    <n v="30006"/>
    <x v="1"/>
  </r>
  <r>
    <n v="31668"/>
    <x v="1"/>
  </r>
  <r>
    <n v="7045"/>
    <x v="1"/>
  </r>
  <r>
    <n v="35214"/>
    <x v="1"/>
  </r>
  <r>
    <n v="10721"/>
    <x v="1"/>
  </r>
  <r>
    <n v="28555"/>
    <x v="0"/>
  </r>
  <r>
    <n v="43724"/>
    <x v="1"/>
  </r>
  <r>
    <n v="36678"/>
    <x v="1"/>
  </r>
  <r>
    <n v="39507"/>
    <x v="1"/>
  </r>
  <r>
    <n v="14561"/>
    <x v="1"/>
  </r>
  <r>
    <n v="35116"/>
    <x v="0"/>
  </r>
  <r>
    <n v="19943"/>
    <x v="1"/>
  </r>
  <r>
    <n v="33751"/>
    <x v="0"/>
  </r>
  <r>
    <n v="3781"/>
    <x v="1"/>
  </r>
  <r>
    <n v="15716"/>
    <x v="0"/>
  </r>
  <r>
    <n v="28820"/>
    <x v="1"/>
  </r>
  <r>
    <n v="25504"/>
    <x v="0"/>
  </r>
  <r>
    <n v="1060"/>
    <x v="1"/>
  </r>
  <r>
    <n v="5848"/>
    <x v="0"/>
  </r>
  <r>
    <n v="33685"/>
    <x v="1"/>
  </r>
  <r>
    <n v="12476"/>
    <x v="0"/>
  </r>
  <r>
    <n v="36093"/>
    <x v="0"/>
  </r>
  <r>
    <n v="7716"/>
    <x v="0"/>
  </r>
  <r>
    <n v="34178"/>
    <x v="1"/>
  </r>
  <r>
    <n v="45131"/>
    <x v="1"/>
  </r>
  <r>
    <n v="30055"/>
    <x v="0"/>
  </r>
  <r>
    <n v="19253"/>
    <x v="1"/>
  </r>
  <r>
    <n v="41541"/>
    <x v="0"/>
  </r>
  <r>
    <n v="48624"/>
    <x v="1"/>
  </r>
  <r>
    <n v="5337"/>
    <x v="0"/>
  </r>
  <r>
    <n v="1230"/>
    <x v="1"/>
  </r>
  <r>
    <n v="17421"/>
    <x v="1"/>
  </r>
  <r>
    <n v="5831"/>
    <x v="0"/>
  </r>
  <r>
    <n v="43597"/>
    <x v="1"/>
  </r>
  <r>
    <n v="42391"/>
    <x v="0"/>
  </r>
  <r>
    <n v="31510"/>
    <x v="1"/>
  </r>
  <r>
    <n v="31402"/>
    <x v="0"/>
  </r>
  <r>
    <n v="29713"/>
    <x v="0"/>
  </r>
  <r>
    <n v="42074"/>
    <x v="1"/>
  </r>
  <r>
    <n v="6740"/>
    <x v="0"/>
  </r>
  <r>
    <n v="13074"/>
    <x v="1"/>
  </r>
  <r>
    <n v="4753"/>
    <x v="1"/>
  </r>
  <r>
    <n v="23336"/>
    <x v="1"/>
  </r>
  <r>
    <n v="40892"/>
    <x v="1"/>
  </r>
  <r>
    <n v="39928"/>
    <x v="0"/>
  </r>
  <r>
    <n v="19604"/>
    <x v="0"/>
  </r>
  <r>
    <n v="17164"/>
    <x v="1"/>
  </r>
  <r>
    <n v="22100"/>
    <x v="1"/>
  </r>
  <r>
    <n v="32525"/>
    <x v="1"/>
  </r>
  <r>
    <n v="35730"/>
    <x v="0"/>
  </r>
  <r>
    <n v="2584"/>
    <x v="1"/>
  </r>
  <r>
    <n v="10055"/>
    <x v="1"/>
  </r>
  <r>
    <n v="25946"/>
    <x v="1"/>
  </r>
  <r>
    <n v="47994"/>
    <x v="1"/>
  </r>
  <r>
    <n v="8243"/>
    <x v="0"/>
  </r>
  <r>
    <n v="24243"/>
    <x v="0"/>
  </r>
  <r>
    <n v="36638"/>
    <x v="1"/>
  </r>
  <r>
    <n v="41628"/>
    <x v="0"/>
  </r>
  <r>
    <n v="2639"/>
    <x v="0"/>
  </r>
  <r>
    <n v="35725"/>
    <x v="1"/>
  </r>
  <r>
    <n v="22535"/>
    <x v="1"/>
  </r>
  <r>
    <n v="43150"/>
    <x v="1"/>
  </r>
  <r>
    <n v="2716"/>
    <x v="1"/>
  </r>
  <r>
    <n v="46260"/>
    <x v="1"/>
  </r>
  <r>
    <n v="30196"/>
    <x v="1"/>
  </r>
  <r>
    <n v="40645"/>
    <x v="1"/>
  </r>
  <r>
    <n v="21549"/>
    <x v="1"/>
  </r>
  <r>
    <n v="3287"/>
    <x v="0"/>
  </r>
  <r>
    <n v="49946"/>
    <x v="1"/>
  </r>
  <r>
    <n v="16267"/>
    <x v="0"/>
  </r>
  <r>
    <n v="32213"/>
    <x v="0"/>
  </r>
  <r>
    <n v="18894"/>
    <x v="1"/>
  </r>
  <r>
    <n v="34581"/>
    <x v="1"/>
  </r>
  <r>
    <n v="12096"/>
    <x v="0"/>
  </r>
  <r>
    <n v="36850"/>
    <x v="1"/>
  </r>
  <r>
    <n v="24017"/>
    <x v="1"/>
  </r>
  <r>
    <n v="7684"/>
    <x v="1"/>
  </r>
  <r>
    <n v="3840"/>
    <x v="1"/>
  </r>
  <r>
    <n v="40723"/>
    <x v="0"/>
  </r>
  <r>
    <n v="2204"/>
    <x v="1"/>
  </r>
  <r>
    <n v="39143"/>
    <x v="1"/>
  </r>
  <r>
    <n v="21673"/>
    <x v="1"/>
  </r>
  <r>
    <n v="14761"/>
    <x v="1"/>
  </r>
  <r>
    <n v="14466"/>
    <x v="0"/>
  </r>
  <r>
    <n v="47474"/>
    <x v="0"/>
  </r>
  <r>
    <n v="2403"/>
    <x v="0"/>
  </r>
  <r>
    <n v="27708"/>
    <x v="0"/>
  </r>
  <r>
    <n v="11436"/>
    <x v="0"/>
  </r>
  <r>
    <n v="39069"/>
    <x v="0"/>
  </r>
  <r>
    <n v="16541"/>
    <x v="1"/>
  </r>
  <r>
    <n v="3198"/>
    <x v="0"/>
  </r>
  <r>
    <n v="26142"/>
    <x v="1"/>
  </r>
  <r>
    <n v="36901"/>
    <x v="1"/>
  </r>
  <r>
    <n v="15967"/>
    <x v="1"/>
  </r>
  <r>
    <n v="37680"/>
    <x v="0"/>
  </r>
  <r>
    <n v="24575"/>
    <x v="0"/>
  </r>
  <r>
    <n v="2443"/>
    <x v="1"/>
  </r>
  <r>
    <n v="40962"/>
    <x v="0"/>
  </r>
  <r>
    <n v="25397"/>
    <x v="0"/>
  </r>
  <r>
    <n v="42778"/>
    <x v="1"/>
  </r>
  <r>
    <n v="35665"/>
    <x v="0"/>
  </r>
  <r>
    <n v="17821"/>
    <x v="1"/>
  </r>
  <r>
    <n v="29949"/>
    <x v="1"/>
  </r>
  <r>
    <n v="44753"/>
    <x v="0"/>
  </r>
  <r>
    <n v="6021"/>
    <x v="0"/>
  </r>
  <r>
    <n v="11098"/>
    <x v="1"/>
  </r>
  <r>
    <n v="34423"/>
    <x v="0"/>
  </r>
  <r>
    <n v="23021"/>
    <x v="0"/>
  </r>
  <r>
    <n v="1744"/>
    <x v="1"/>
  </r>
  <r>
    <n v="32160"/>
    <x v="0"/>
  </r>
  <r>
    <n v="11554"/>
    <x v="0"/>
  </r>
  <r>
    <n v="10021"/>
    <x v="0"/>
  </r>
  <r>
    <n v="18993"/>
    <x v="1"/>
  </r>
  <r>
    <n v="2996"/>
    <x v="1"/>
  </r>
  <r>
    <n v="12391"/>
    <x v="0"/>
  </r>
  <r>
    <n v="24739"/>
    <x v="0"/>
  </r>
  <r>
    <n v="1933"/>
    <x v="0"/>
  </r>
  <r>
    <n v="581"/>
    <x v="1"/>
  </r>
  <r>
    <n v="48045"/>
    <x v="1"/>
  </r>
  <r>
    <n v="44733"/>
    <x v="1"/>
  </r>
  <r>
    <n v="23722"/>
    <x v="0"/>
  </r>
  <r>
    <n v="13126"/>
    <x v="0"/>
  </r>
  <r>
    <n v="26148"/>
    <x v="1"/>
  </r>
  <r>
    <n v="26354"/>
    <x v="1"/>
  </r>
  <r>
    <n v="18954"/>
    <x v="1"/>
  </r>
  <r>
    <n v="48000"/>
    <x v="1"/>
  </r>
  <r>
    <n v="48049"/>
    <x v="1"/>
  </r>
  <r>
    <n v="31404"/>
    <x v="0"/>
  </r>
  <r>
    <n v="42164"/>
    <x v="0"/>
  </r>
  <r>
    <n v="49795"/>
    <x v="1"/>
  </r>
  <r>
    <n v="32451"/>
    <x v="1"/>
  </r>
  <r>
    <n v="2058"/>
    <x v="0"/>
  </r>
  <r>
    <n v="43148"/>
    <x v="0"/>
  </r>
  <r>
    <n v="8122"/>
    <x v="0"/>
  </r>
  <r>
    <n v="28878"/>
    <x v="1"/>
  </r>
  <r>
    <n v="10972"/>
    <x v="0"/>
  </r>
  <r>
    <n v="11002"/>
    <x v="1"/>
  </r>
  <r>
    <n v="19296"/>
    <x v="1"/>
  </r>
  <r>
    <n v="6493"/>
    <x v="1"/>
  </r>
  <r>
    <n v="45221"/>
    <x v="1"/>
  </r>
  <r>
    <n v="1145"/>
    <x v="1"/>
  </r>
  <r>
    <n v="22602"/>
    <x v="0"/>
  </r>
  <r>
    <n v="36912"/>
    <x v="1"/>
  </r>
  <r>
    <n v="1438"/>
    <x v="1"/>
  </r>
  <r>
    <n v="39467"/>
    <x v="1"/>
  </r>
  <r>
    <n v="8735"/>
    <x v="0"/>
  </r>
  <r>
    <n v="5451"/>
    <x v="1"/>
  </r>
  <r>
    <n v="3086"/>
    <x v="1"/>
  </r>
  <r>
    <n v="8093"/>
    <x v="1"/>
  </r>
  <r>
    <n v="8412"/>
    <x v="0"/>
  </r>
  <r>
    <n v="6249"/>
    <x v="0"/>
  </r>
  <r>
    <n v="48046"/>
    <x v="0"/>
  </r>
  <r>
    <n v="14521"/>
    <x v="1"/>
  </r>
  <r>
    <n v="14325"/>
    <x v="1"/>
  </r>
  <r>
    <n v="23553"/>
    <x v="0"/>
  </r>
  <r>
    <n v="7695"/>
    <x v="1"/>
  </r>
  <r>
    <n v="23974"/>
    <x v="0"/>
  </r>
  <r>
    <n v="7883"/>
    <x v="0"/>
  </r>
  <r>
    <n v="36601"/>
    <x v="0"/>
  </r>
  <r>
    <n v="44807"/>
    <x v="1"/>
  </r>
  <r>
    <n v="29008"/>
    <x v="0"/>
  </r>
  <r>
    <n v="6966"/>
    <x v="0"/>
  </r>
  <r>
    <n v="39291"/>
    <x v="1"/>
  </r>
  <r>
    <n v="47059"/>
    <x v="1"/>
  </r>
  <r>
    <n v="33816"/>
    <x v="1"/>
  </r>
  <r>
    <n v="32369"/>
    <x v="0"/>
  </r>
  <r>
    <n v="4771"/>
    <x v="1"/>
  </r>
  <r>
    <n v="20141"/>
    <x v="1"/>
  </r>
  <r>
    <n v="19538"/>
    <x v="0"/>
  </r>
  <r>
    <n v="36123"/>
    <x v="1"/>
  </r>
  <r>
    <n v="20914"/>
    <x v="0"/>
  </r>
  <r>
    <n v="36781"/>
    <x v="0"/>
  </r>
  <r>
    <n v="47205"/>
    <x v="1"/>
  </r>
  <r>
    <n v="45216"/>
    <x v="0"/>
  </r>
  <r>
    <n v="17561"/>
    <x v="1"/>
  </r>
  <r>
    <n v="2144"/>
    <x v="0"/>
  </r>
  <r>
    <n v="25241"/>
    <x v="1"/>
  </r>
  <r>
    <n v="3999"/>
    <x v="0"/>
  </r>
  <r>
    <n v="20282"/>
    <x v="0"/>
  </r>
  <r>
    <n v="30506"/>
    <x v="0"/>
  </r>
  <r>
    <n v="45910"/>
    <x v="1"/>
  </r>
  <r>
    <n v="25878"/>
    <x v="0"/>
  </r>
  <r>
    <n v="22317"/>
    <x v="1"/>
  </r>
  <r>
    <n v="28873"/>
    <x v="1"/>
  </r>
  <r>
    <n v="17677"/>
    <x v="0"/>
  </r>
  <r>
    <n v="6508"/>
    <x v="1"/>
  </r>
  <r>
    <n v="14045"/>
    <x v="0"/>
  </r>
  <r>
    <n v="43780"/>
    <x v="1"/>
  </r>
  <r>
    <n v="34075"/>
    <x v="0"/>
  </r>
  <r>
    <n v="33015"/>
    <x v="1"/>
  </r>
  <r>
    <n v="47919"/>
    <x v="0"/>
  </r>
  <r>
    <n v="16053"/>
    <x v="0"/>
  </r>
  <r>
    <n v="41845"/>
    <x v="0"/>
  </r>
  <r>
    <n v="45313"/>
    <x v="1"/>
  </r>
  <r>
    <n v="2115"/>
    <x v="1"/>
  </r>
  <r>
    <n v="42696"/>
    <x v="0"/>
  </r>
  <r>
    <n v="17234"/>
    <x v="1"/>
  </r>
  <r>
    <n v="3925"/>
    <x v="1"/>
  </r>
  <r>
    <n v="44318"/>
    <x v="1"/>
  </r>
  <r>
    <n v="48434"/>
    <x v="0"/>
  </r>
  <r>
    <n v="15902"/>
    <x v="1"/>
  </r>
  <r>
    <n v="28013"/>
    <x v="0"/>
  </r>
  <r>
    <n v="29101"/>
    <x v="0"/>
  </r>
  <r>
    <n v="21041"/>
    <x v="0"/>
  </r>
  <r>
    <n v="31444"/>
    <x v="1"/>
  </r>
  <r>
    <n v="16879"/>
    <x v="1"/>
  </r>
  <r>
    <n v="25758"/>
    <x v="0"/>
  </r>
  <r>
    <n v="19791"/>
    <x v="0"/>
  </r>
  <r>
    <n v="18259"/>
    <x v="0"/>
  </r>
  <r>
    <n v="6879"/>
    <x v="1"/>
  </r>
  <r>
    <n v="39760"/>
    <x v="0"/>
  </r>
  <r>
    <n v="42315"/>
    <x v="1"/>
  </r>
  <r>
    <n v="38036"/>
    <x v="1"/>
  </r>
  <r>
    <n v="45241"/>
    <x v="1"/>
  </r>
  <r>
    <n v="11669"/>
    <x v="1"/>
  </r>
  <r>
    <n v="12220"/>
    <x v="1"/>
  </r>
  <r>
    <n v="42708"/>
    <x v="0"/>
  </r>
  <r>
    <n v="3562"/>
    <x v="1"/>
  </r>
  <r>
    <n v="11449"/>
    <x v="0"/>
  </r>
  <r>
    <n v="8066"/>
    <x v="0"/>
  </r>
  <r>
    <n v="25339"/>
    <x v="1"/>
  </r>
  <r>
    <n v="27715"/>
    <x v="1"/>
  </r>
  <r>
    <n v="15732"/>
    <x v="0"/>
  </r>
  <r>
    <n v="976"/>
    <x v="0"/>
  </r>
  <r>
    <n v="46729"/>
    <x v="1"/>
  </r>
  <r>
    <n v="22114"/>
    <x v="0"/>
  </r>
  <r>
    <n v="33365"/>
    <x v="1"/>
  </r>
  <r>
    <n v="2995"/>
    <x v="0"/>
  </r>
  <r>
    <n v="30976"/>
    <x v="0"/>
  </r>
  <r>
    <n v="17365"/>
    <x v="1"/>
  </r>
  <r>
    <n v="49309"/>
    <x v="0"/>
  </r>
  <r>
    <n v="20813"/>
    <x v="0"/>
  </r>
  <r>
    <n v="43384"/>
    <x v="0"/>
  </r>
  <r>
    <n v="12302"/>
    <x v="0"/>
  </r>
  <r>
    <n v="7903"/>
    <x v="1"/>
  </r>
  <r>
    <n v="32608"/>
    <x v="0"/>
  </r>
  <r>
    <n v="18919"/>
    <x v="1"/>
  </r>
  <r>
    <n v="570"/>
    <x v="1"/>
  </r>
  <r>
    <n v="21838"/>
    <x v="0"/>
  </r>
  <r>
    <n v="7251"/>
    <x v="1"/>
  </r>
  <r>
    <n v="30056"/>
    <x v="1"/>
  </r>
  <r>
    <n v="48242"/>
    <x v="0"/>
  </r>
  <r>
    <n v="49045"/>
    <x v="0"/>
  </r>
  <r>
    <n v="11966"/>
    <x v="0"/>
  </r>
  <r>
    <n v="25760"/>
    <x v="0"/>
  </r>
  <r>
    <n v="28635"/>
    <x v="1"/>
  </r>
  <r>
    <n v="13398"/>
    <x v="0"/>
  </r>
  <r>
    <n v="39643"/>
    <x v="1"/>
  </r>
  <r>
    <n v="41632"/>
    <x v="0"/>
  </r>
  <r>
    <n v="44631"/>
    <x v="1"/>
  </r>
  <r>
    <n v="30985"/>
    <x v="1"/>
  </r>
  <r>
    <n v="45147"/>
    <x v="0"/>
  </r>
  <r>
    <n v="3427"/>
    <x v="1"/>
  </r>
  <r>
    <n v="6492"/>
    <x v="0"/>
  </r>
  <r>
    <n v="5658"/>
    <x v="0"/>
  </r>
  <r>
    <n v="3266"/>
    <x v="1"/>
  </r>
  <r>
    <n v="41182"/>
    <x v="0"/>
  </r>
  <r>
    <n v="49257"/>
    <x v="1"/>
  </r>
  <r>
    <n v="26182"/>
    <x v="0"/>
  </r>
  <r>
    <n v="43404"/>
    <x v="1"/>
  </r>
  <r>
    <n v="8497"/>
    <x v="0"/>
  </r>
  <r>
    <n v="2057"/>
    <x v="0"/>
  </r>
  <r>
    <n v="12811"/>
    <x v="1"/>
  </r>
  <r>
    <n v="1729"/>
    <x v="0"/>
  </r>
  <r>
    <n v="1586"/>
    <x v="1"/>
  </r>
  <r>
    <n v="25972"/>
    <x v="0"/>
  </r>
  <r>
    <n v="32786"/>
    <x v="0"/>
  </r>
  <r>
    <n v="39034"/>
    <x v="0"/>
  </r>
  <r>
    <n v="38075"/>
    <x v="0"/>
  </r>
  <r>
    <n v="7963"/>
    <x v="1"/>
  </r>
  <r>
    <n v="19175"/>
    <x v="1"/>
  </r>
  <r>
    <n v="14698"/>
    <x v="0"/>
  </r>
  <r>
    <n v="44412"/>
    <x v="0"/>
  </r>
  <r>
    <n v="44016"/>
    <x v="1"/>
  </r>
  <r>
    <n v="32555"/>
    <x v="1"/>
  </r>
  <r>
    <n v="36792"/>
    <x v="1"/>
  </r>
  <r>
    <n v="11750"/>
    <x v="1"/>
  </r>
  <r>
    <n v="15156"/>
    <x v="1"/>
  </r>
  <r>
    <n v="23581"/>
    <x v="0"/>
  </r>
  <r>
    <n v="28993"/>
    <x v="0"/>
  </r>
  <r>
    <n v="7208"/>
    <x v="0"/>
  </r>
  <r>
    <n v="46710"/>
    <x v="1"/>
  </r>
  <r>
    <n v="22228"/>
    <x v="1"/>
  </r>
  <r>
    <n v="16377"/>
    <x v="0"/>
  </r>
  <r>
    <n v="17733"/>
    <x v="1"/>
  </r>
  <r>
    <n v="27937"/>
    <x v="1"/>
  </r>
  <r>
    <n v="34126"/>
    <x v="1"/>
  </r>
  <r>
    <n v="4860"/>
    <x v="1"/>
  </r>
  <r>
    <n v="4328"/>
    <x v="0"/>
  </r>
  <r>
    <n v="19680"/>
    <x v="0"/>
  </r>
  <r>
    <n v="817"/>
    <x v="1"/>
  </r>
  <r>
    <n v="35979"/>
    <x v="1"/>
  </r>
  <r>
    <n v="2722"/>
    <x v="1"/>
  </r>
  <r>
    <n v="6383"/>
    <x v="1"/>
  </r>
  <r>
    <n v="35685"/>
    <x v="1"/>
  </r>
  <r>
    <n v="24743"/>
    <x v="0"/>
  </r>
  <r>
    <n v="29708"/>
    <x v="1"/>
  </r>
  <r>
    <n v="49174"/>
    <x v="0"/>
  </r>
  <r>
    <n v="34356"/>
    <x v="0"/>
  </r>
  <r>
    <n v="30073"/>
    <x v="0"/>
  </r>
  <r>
    <n v="4375"/>
    <x v="0"/>
  </r>
  <r>
    <n v="24502"/>
    <x v="1"/>
  </r>
  <r>
    <n v="38592"/>
    <x v="0"/>
  </r>
  <r>
    <n v="9759"/>
    <x v="1"/>
  </r>
  <r>
    <n v="30147"/>
    <x v="0"/>
  </r>
  <r>
    <n v="39726"/>
    <x v="0"/>
  </r>
  <r>
    <n v="34560"/>
    <x v="0"/>
  </r>
  <r>
    <n v="19566"/>
    <x v="0"/>
  </r>
  <r>
    <n v="20299"/>
    <x v="1"/>
  </r>
  <r>
    <n v="36183"/>
    <x v="1"/>
  </r>
  <r>
    <n v="20596"/>
    <x v="1"/>
  </r>
  <r>
    <n v="33380"/>
    <x v="1"/>
  </r>
  <r>
    <n v="41244"/>
    <x v="0"/>
  </r>
  <r>
    <n v="3302"/>
    <x v="0"/>
  </r>
  <r>
    <n v="41594"/>
    <x v="1"/>
  </r>
  <r>
    <n v="40847"/>
    <x v="0"/>
  </r>
  <r>
    <n v="1523"/>
    <x v="1"/>
  </r>
  <r>
    <n v="16375"/>
    <x v="1"/>
  </r>
  <r>
    <n v="3248"/>
    <x v="0"/>
  </r>
  <r>
    <n v="1876"/>
    <x v="1"/>
  </r>
  <r>
    <n v="35806"/>
    <x v="0"/>
  </r>
  <r>
    <n v="10407"/>
    <x v="1"/>
  </r>
  <r>
    <n v="2080"/>
    <x v="1"/>
  </r>
  <r>
    <n v="27354"/>
    <x v="1"/>
  </r>
  <r>
    <n v="16003"/>
    <x v="1"/>
  </r>
  <r>
    <n v="17948"/>
    <x v="1"/>
  </r>
  <r>
    <n v="32030"/>
    <x v="0"/>
  </r>
  <r>
    <n v="38715"/>
    <x v="1"/>
  </r>
  <r>
    <n v="26956"/>
    <x v="1"/>
  </r>
  <r>
    <n v="35718"/>
    <x v="0"/>
  </r>
  <r>
    <n v="365"/>
    <x v="0"/>
  </r>
  <r>
    <n v="18211"/>
    <x v="0"/>
  </r>
  <r>
    <n v="10878"/>
    <x v="1"/>
  </r>
  <r>
    <n v="47818"/>
    <x v="0"/>
  </r>
  <r>
    <n v="41926"/>
    <x v="1"/>
  </r>
  <r>
    <n v="14103"/>
    <x v="1"/>
  </r>
  <r>
    <n v="31529"/>
    <x v="0"/>
  </r>
  <r>
    <n v="35566"/>
    <x v="1"/>
  </r>
  <r>
    <n v="23433"/>
    <x v="1"/>
  </r>
  <r>
    <n v="30623"/>
    <x v="1"/>
  </r>
  <r>
    <n v="18724"/>
    <x v="0"/>
  </r>
  <r>
    <n v="32662"/>
    <x v="1"/>
  </r>
  <r>
    <n v="13150"/>
    <x v="0"/>
  </r>
  <r>
    <n v="36461"/>
    <x v="0"/>
  </r>
  <r>
    <n v="8651"/>
    <x v="0"/>
  </r>
  <r>
    <n v="44732"/>
    <x v="0"/>
  </r>
  <r>
    <n v="28291"/>
    <x v="0"/>
  </r>
  <r>
    <n v="44875"/>
    <x v="1"/>
  </r>
  <r>
    <n v="3377"/>
    <x v="0"/>
  </r>
  <r>
    <n v="25980"/>
    <x v="1"/>
  </r>
  <r>
    <n v="45490"/>
    <x v="1"/>
  </r>
  <r>
    <n v="20668"/>
    <x v="1"/>
  </r>
  <r>
    <n v="39132"/>
    <x v="1"/>
  </r>
  <r>
    <n v="22634"/>
    <x v="0"/>
  </r>
  <r>
    <n v="40903"/>
    <x v="0"/>
  </r>
  <r>
    <n v="4277"/>
    <x v="1"/>
  </r>
  <r>
    <n v="29261"/>
    <x v="0"/>
  </r>
  <r>
    <n v="36951"/>
    <x v="0"/>
  </r>
  <r>
    <n v="49580"/>
    <x v="0"/>
  </r>
  <r>
    <n v="28356"/>
    <x v="0"/>
  </r>
  <r>
    <n v="12914"/>
    <x v="0"/>
  </r>
  <r>
    <n v="8556"/>
    <x v="0"/>
  </r>
  <r>
    <n v="16235"/>
    <x v="0"/>
  </r>
  <r>
    <n v="28863"/>
    <x v="0"/>
  </r>
  <r>
    <n v="20529"/>
    <x v="1"/>
  </r>
  <r>
    <n v="15857"/>
    <x v="0"/>
  </r>
  <r>
    <n v="4782"/>
    <x v="1"/>
  </r>
  <r>
    <n v="37399"/>
    <x v="0"/>
  </r>
  <r>
    <n v="30073"/>
    <x v="1"/>
  </r>
  <r>
    <n v="30874"/>
    <x v="0"/>
  </r>
  <r>
    <n v="26534"/>
    <x v="0"/>
  </r>
  <r>
    <n v="2267"/>
    <x v="0"/>
  </r>
  <r>
    <n v="23887"/>
    <x v="0"/>
  </r>
  <r>
    <n v="14648"/>
    <x v="1"/>
  </r>
  <r>
    <n v="13144"/>
    <x v="0"/>
  </r>
  <r>
    <n v="25133"/>
    <x v="1"/>
  </r>
  <r>
    <n v="24524"/>
    <x v="0"/>
  </r>
  <r>
    <n v="9765"/>
    <x v="0"/>
  </r>
  <r>
    <n v="21137"/>
    <x v="0"/>
  </r>
  <r>
    <n v="21774"/>
    <x v="1"/>
  </r>
  <r>
    <n v="47964"/>
    <x v="1"/>
  </r>
  <r>
    <n v="24827"/>
    <x v="1"/>
  </r>
  <r>
    <n v="34737"/>
    <x v="1"/>
  </r>
  <r>
    <n v="42881"/>
    <x v="1"/>
  </r>
  <r>
    <n v="26245"/>
    <x v="0"/>
  </r>
  <r>
    <n v="16980"/>
    <x v="0"/>
  </r>
  <r>
    <n v="23340"/>
    <x v="0"/>
  </r>
  <r>
    <n v="29866"/>
    <x v="1"/>
  </r>
  <r>
    <n v="18192"/>
    <x v="0"/>
  </r>
  <r>
    <n v="42593"/>
    <x v="1"/>
  </r>
  <r>
    <n v="15225"/>
    <x v="0"/>
  </r>
  <r>
    <n v="13427"/>
    <x v="0"/>
  </r>
  <r>
    <n v="12793"/>
    <x v="1"/>
  </r>
  <r>
    <n v="23016"/>
    <x v="0"/>
  </r>
  <r>
    <n v="15214"/>
    <x v="1"/>
  </r>
  <r>
    <n v="22625"/>
    <x v="0"/>
  </r>
  <r>
    <n v="29049"/>
    <x v="1"/>
  </r>
  <r>
    <n v="8711"/>
    <x v="0"/>
  </r>
  <r>
    <n v="27769"/>
    <x v="0"/>
  </r>
  <r>
    <n v="1823"/>
    <x v="0"/>
  </r>
  <r>
    <n v="13682"/>
    <x v="0"/>
  </r>
  <r>
    <n v="7419"/>
    <x v="1"/>
  </r>
  <r>
    <n v="7136"/>
    <x v="1"/>
  </r>
  <r>
    <n v="4854"/>
    <x v="0"/>
  </r>
  <r>
    <n v="4886"/>
    <x v="0"/>
  </r>
  <r>
    <n v="21715"/>
    <x v="0"/>
  </r>
  <r>
    <n v="27721"/>
    <x v="0"/>
  </r>
  <r>
    <n v="20600"/>
    <x v="1"/>
  </r>
  <r>
    <n v="13602"/>
    <x v="0"/>
  </r>
  <r>
    <n v="4492"/>
    <x v="0"/>
  </r>
  <r>
    <n v="30623"/>
    <x v="1"/>
  </r>
  <r>
    <n v="25930"/>
    <x v="1"/>
  </r>
  <r>
    <n v="25509"/>
    <x v="1"/>
  </r>
  <r>
    <n v="10650"/>
    <x v="1"/>
  </r>
  <r>
    <n v="27253"/>
    <x v="0"/>
  </r>
  <r>
    <n v="29852"/>
    <x v="1"/>
  </r>
  <r>
    <n v="2050"/>
    <x v="0"/>
  </r>
  <r>
    <n v="26296"/>
    <x v="1"/>
  </r>
  <r>
    <n v="44228"/>
    <x v="1"/>
  </r>
  <r>
    <n v="43358"/>
    <x v="0"/>
  </r>
  <r>
    <n v="11479"/>
    <x v="1"/>
  </r>
  <r>
    <n v="48891"/>
    <x v="0"/>
  </r>
  <r>
    <n v="29178"/>
    <x v="0"/>
  </r>
  <r>
    <n v="45961"/>
    <x v="1"/>
  </r>
  <r>
    <n v="3735"/>
    <x v="0"/>
  </r>
  <r>
    <n v="15932"/>
    <x v="0"/>
  </r>
  <r>
    <n v="22393"/>
    <x v="1"/>
  </r>
  <r>
    <n v="3184"/>
    <x v="0"/>
  </r>
  <r>
    <n v="41377"/>
    <x v="1"/>
  </r>
  <r>
    <n v="15531"/>
    <x v="0"/>
  </r>
  <r>
    <n v="26654"/>
    <x v="1"/>
  </r>
  <r>
    <n v="4626"/>
    <x v="1"/>
  </r>
  <r>
    <n v="20061"/>
    <x v="0"/>
  </r>
  <r>
    <n v="6509"/>
    <x v="0"/>
  </r>
  <r>
    <n v="43971"/>
    <x v="1"/>
  </r>
  <r>
    <n v="33790"/>
    <x v="1"/>
  </r>
  <r>
    <n v="8430"/>
    <x v="0"/>
  </r>
  <r>
    <n v="9314"/>
    <x v="0"/>
  </r>
  <r>
    <n v="13694"/>
    <x v="0"/>
  </r>
  <r>
    <n v="21110"/>
    <x v="1"/>
  </r>
  <r>
    <n v="48329"/>
    <x v="1"/>
  </r>
  <r>
    <n v="45346"/>
    <x v="1"/>
  </r>
  <r>
    <n v="41573"/>
    <x v="0"/>
  </r>
  <r>
    <n v="41873"/>
    <x v="0"/>
  </r>
  <r>
    <n v="36269"/>
    <x v="0"/>
  </r>
  <r>
    <n v="20712"/>
    <x v="0"/>
  </r>
  <r>
    <n v="16616"/>
    <x v="1"/>
  </r>
  <r>
    <n v="5543"/>
    <x v="0"/>
  </r>
  <r>
    <n v="28001"/>
    <x v="1"/>
  </r>
  <r>
    <n v="5754"/>
    <x v="0"/>
  </r>
  <r>
    <n v="25233"/>
    <x v="0"/>
  </r>
  <r>
    <n v="40016"/>
    <x v="0"/>
  </r>
  <r>
    <n v="10440"/>
    <x v="0"/>
  </r>
  <r>
    <n v="26812"/>
    <x v="1"/>
  </r>
  <r>
    <n v="42311"/>
    <x v="0"/>
  </r>
  <r>
    <n v="10940"/>
    <x v="1"/>
  </r>
  <r>
    <n v="45942"/>
    <x v="1"/>
  </r>
  <r>
    <n v="2561"/>
    <x v="0"/>
  </r>
  <r>
    <n v="16965"/>
    <x v="1"/>
  </r>
  <r>
    <n v="42531"/>
    <x v="0"/>
  </r>
  <r>
    <n v="11167"/>
    <x v="0"/>
  </r>
  <r>
    <n v="20483"/>
    <x v="1"/>
  </r>
  <r>
    <n v="17930"/>
    <x v="1"/>
  </r>
  <r>
    <n v="403"/>
    <x v="0"/>
  </r>
  <r>
    <n v="48340"/>
    <x v="1"/>
  </r>
  <r>
    <n v="13277"/>
    <x v="0"/>
  </r>
  <r>
    <n v="14231"/>
    <x v="0"/>
  </r>
  <r>
    <n v="27090"/>
    <x v="1"/>
  </r>
  <r>
    <n v="25054"/>
    <x v="0"/>
  </r>
  <r>
    <n v="15686"/>
    <x v="1"/>
  </r>
  <r>
    <n v="49569"/>
    <x v="0"/>
  </r>
  <r>
    <n v="775"/>
    <x v="0"/>
  </r>
  <r>
    <n v="39908"/>
    <x v="0"/>
  </r>
  <r>
    <n v="23972"/>
    <x v="1"/>
  </r>
  <r>
    <n v="502"/>
    <x v="0"/>
  </r>
  <r>
    <n v="18615"/>
    <x v="0"/>
  </r>
  <r>
    <n v="505"/>
    <x v="1"/>
  </r>
  <r>
    <n v="15606"/>
    <x v="1"/>
  </r>
  <r>
    <n v="43444"/>
    <x v="1"/>
  </r>
  <r>
    <n v="37779"/>
    <x v="0"/>
  </r>
  <r>
    <n v="30892"/>
    <x v="1"/>
  </r>
  <r>
    <n v="14170"/>
    <x v="0"/>
  </r>
  <r>
    <n v="21697"/>
    <x v="0"/>
  </r>
  <r>
    <n v="43912"/>
    <x v="1"/>
  </r>
  <r>
    <n v="38046"/>
    <x v="0"/>
  </r>
  <r>
    <n v="14950"/>
    <x v="1"/>
  </r>
  <r>
    <n v="22597"/>
    <x v="1"/>
  </r>
  <r>
    <n v="38108"/>
    <x v="0"/>
  </r>
  <r>
    <n v="28067"/>
    <x v="0"/>
  </r>
  <r>
    <n v="26207"/>
    <x v="1"/>
  </r>
  <r>
    <n v="14646"/>
    <x v="1"/>
  </r>
  <r>
    <n v="39548"/>
    <x v="0"/>
  </r>
  <r>
    <n v="31644"/>
    <x v="1"/>
  </r>
  <r>
    <n v="10307"/>
    <x v="0"/>
  </r>
  <r>
    <n v="19901"/>
    <x v="1"/>
  </r>
  <r>
    <n v="44726"/>
    <x v="1"/>
  </r>
  <r>
    <n v="47928"/>
    <x v="1"/>
  </r>
  <r>
    <n v="8878"/>
    <x v="1"/>
  </r>
  <r>
    <n v="38124"/>
    <x v="1"/>
  </r>
  <r>
    <n v="14595"/>
    <x v="1"/>
  </r>
  <r>
    <n v="24977"/>
    <x v="0"/>
  </r>
  <r>
    <n v="12072"/>
    <x v="0"/>
  </r>
  <r>
    <n v="41389"/>
    <x v="1"/>
  </r>
  <r>
    <n v="32322"/>
    <x v="0"/>
  </r>
  <r>
    <n v="18336"/>
    <x v="0"/>
  </r>
  <r>
    <n v="8298"/>
    <x v="1"/>
  </r>
  <r>
    <n v="45764"/>
    <x v="1"/>
  </r>
  <r>
    <n v="37748"/>
    <x v="0"/>
  </r>
  <r>
    <n v="46223"/>
    <x v="1"/>
  </r>
  <r>
    <n v="34306"/>
    <x v="0"/>
  </r>
  <r>
    <n v="36654"/>
    <x v="0"/>
  </r>
  <r>
    <n v="13815"/>
    <x v="1"/>
  </r>
  <r>
    <n v="8473"/>
    <x v="1"/>
  </r>
  <r>
    <n v="16575"/>
    <x v="0"/>
  </r>
  <r>
    <n v="38118"/>
    <x v="0"/>
  </r>
  <r>
    <n v="43725"/>
    <x v="0"/>
  </r>
  <r>
    <n v="14404"/>
    <x v="1"/>
  </r>
  <r>
    <n v="48082"/>
    <x v="1"/>
  </r>
  <r>
    <n v="42883"/>
    <x v="1"/>
  </r>
  <r>
    <n v="45815"/>
    <x v="0"/>
  </r>
  <r>
    <n v="47121"/>
    <x v="1"/>
  </r>
  <r>
    <n v="21032"/>
    <x v="1"/>
  </r>
  <r>
    <n v="8467"/>
    <x v="0"/>
  </r>
  <r>
    <n v="24077"/>
    <x v="0"/>
  </r>
  <r>
    <n v="6719"/>
    <x v="1"/>
  </r>
  <r>
    <n v="34803"/>
    <x v="1"/>
  </r>
  <r>
    <n v="18780"/>
    <x v="0"/>
  </r>
  <r>
    <n v="12140"/>
    <x v="0"/>
  </r>
  <r>
    <n v="8660"/>
    <x v="1"/>
  </r>
  <r>
    <n v="25125"/>
    <x v="1"/>
  </r>
  <r>
    <n v="12299"/>
    <x v="1"/>
  </r>
  <r>
    <n v="28334"/>
    <x v="0"/>
  </r>
  <r>
    <n v="6207"/>
    <x v="0"/>
  </r>
  <r>
    <n v="4062"/>
    <x v="0"/>
  </r>
  <r>
    <n v="44670"/>
    <x v="0"/>
  </r>
  <r>
    <n v="1210"/>
    <x v="1"/>
  </r>
  <r>
    <n v="48729"/>
    <x v="0"/>
  </r>
  <r>
    <n v="5223"/>
    <x v="1"/>
  </r>
  <r>
    <n v="32773"/>
    <x v="0"/>
  </r>
  <r>
    <n v="35631"/>
    <x v="0"/>
  </r>
  <r>
    <n v="14263"/>
    <x v="0"/>
  </r>
  <r>
    <n v="2621"/>
    <x v="1"/>
  </r>
  <r>
    <n v="30469"/>
    <x v="0"/>
  </r>
  <r>
    <n v="47645"/>
    <x v="0"/>
  </r>
  <r>
    <n v="32546"/>
    <x v="0"/>
  </r>
  <r>
    <n v="8416"/>
    <x v="1"/>
  </r>
  <r>
    <n v="26210"/>
    <x v="1"/>
  </r>
  <r>
    <n v="17960"/>
    <x v="1"/>
  </r>
  <r>
    <n v="49261"/>
    <x v="1"/>
  </r>
  <r>
    <n v="18971"/>
    <x v="1"/>
  </r>
  <r>
    <n v="10806"/>
    <x v="1"/>
  </r>
  <r>
    <n v="36352"/>
    <x v="0"/>
  </r>
  <r>
    <n v="7491"/>
    <x v="0"/>
  </r>
  <r>
    <n v="1194"/>
    <x v="1"/>
  </r>
  <r>
    <n v="31769"/>
    <x v="1"/>
  </r>
  <r>
    <n v="40775"/>
    <x v="0"/>
  </r>
  <r>
    <n v="17570"/>
    <x v="1"/>
  </r>
  <r>
    <n v="40349"/>
    <x v="0"/>
  </r>
  <r>
    <n v="26598"/>
    <x v="1"/>
  </r>
  <r>
    <n v="40700"/>
    <x v="1"/>
  </r>
  <r>
    <n v="20383"/>
    <x v="1"/>
  </r>
  <r>
    <n v="33714"/>
    <x v="1"/>
  </r>
  <r>
    <n v="18686"/>
    <x v="0"/>
  </r>
  <r>
    <n v="2979"/>
    <x v="1"/>
  </r>
  <r>
    <n v="18660"/>
    <x v="1"/>
  </r>
  <r>
    <n v="22207"/>
    <x v="1"/>
  </r>
  <r>
    <n v="23930"/>
    <x v="0"/>
  </r>
  <r>
    <n v="14064"/>
    <x v="0"/>
  </r>
  <r>
    <n v="38740"/>
    <x v="0"/>
  </r>
  <r>
    <n v="40867"/>
    <x v="1"/>
  </r>
  <r>
    <n v="8677"/>
    <x v="0"/>
  </r>
  <r>
    <n v="29691"/>
    <x v="1"/>
  </r>
  <r>
    <n v="33321"/>
    <x v="0"/>
  </r>
  <r>
    <n v="37404"/>
    <x v="0"/>
  </r>
  <r>
    <n v="28988"/>
    <x v="1"/>
  </r>
  <r>
    <n v="12362"/>
    <x v="0"/>
  </r>
  <r>
    <n v="46683"/>
    <x v="0"/>
  </r>
  <r>
    <n v="8105"/>
    <x v="0"/>
  </r>
  <r>
    <n v="2861"/>
    <x v="0"/>
  </r>
  <r>
    <n v="14060"/>
    <x v="1"/>
  </r>
  <r>
    <n v="46533"/>
    <x v="0"/>
  </r>
  <r>
    <n v="41322"/>
    <x v="0"/>
  </r>
  <r>
    <n v="1324"/>
    <x v="1"/>
  </r>
  <r>
    <n v="14759"/>
    <x v="1"/>
  </r>
  <r>
    <n v="29532"/>
    <x v="0"/>
  </r>
  <r>
    <n v="32803"/>
    <x v="0"/>
  </r>
  <r>
    <n v="32446"/>
    <x v="1"/>
  </r>
  <r>
    <n v="26134"/>
    <x v="0"/>
  </r>
  <r>
    <n v="30120"/>
    <x v="1"/>
  </r>
  <r>
    <n v="6835"/>
    <x v="0"/>
  </r>
  <r>
    <n v="8962"/>
    <x v="0"/>
  </r>
  <r>
    <n v="7269"/>
    <x v="0"/>
  </r>
  <r>
    <n v="29419"/>
    <x v="0"/>
  </r>
  <r>
    <n v="3961"/>
    <x v="1"/>
  </r>
  <r>
    <n v="35993"/>
    <x v="0"/>
  </r>
  <r>
    <n v="15000"/>
    <x v="1"/>
  </r>
  <r>
    <n v="43249"/>
    <x v="1"/>
  </r>
  <r>
    <n v="7517"/>
    <x v="0"/>
  </r>
  <r>
    <n v="22170"/>
    <x v="0"/>
  </r>
  <r>
    <n v="28390"/>
    <x v="0"/>
  </r>
  <r>
    <n v="19109"/>
    <x v="0"/>
  </r>
  <r>
    <n v="46916"/>
    <x v="1"/>
  </r>
  <r>
    <n v="25898"/>
    <x v="0"/>
  </r>
  <r>
    <n v="9780"/>
    <x v="0"/>
  </r>
  <r>
    <n v="21226"/>
    <x v="1"/>
  </r>
  <r>
    <n v="43157"/>
    <x v="1"/>
  </r>
  <r>
    <n v="35281"/>
    <x v="0"/>
  </r>
  <r>
    <n v="38374"/>
    <x v="1"/>
  </r>
  <r>
    <n v="487"/>
    <x v="1"/>
  </r>
  <r>
    <n v="7519"/>
    <x v="1"/>
  </r>
  <r>
    <n v="9746"/>
    <x v="0"/>
  </r>
  <r>
    <n v="7983"/>
    <x v="1"/>
  </r>
  <r>
    <n v="46267"/>
    <x v="1"/>
  </r>
  <r>
    <n v="9926"/>
    <x v="1"/>
  </r>
  <r>
    <n v="37601"/>
    <x v="1"/>
  </r>
  <r>
    <n v="46081"/>
    <x v="1"/>
  </r>
  <r>
    <n v="19093"/>
    <x v="0"/>
  </r>
  <r>
    <n v="10808"/>
    <x v="0"/>
  </r>
  <r>
    <n v="33190"/>
    <x v="0"/>
  </r>
  <r>
    <n v="34477"/>
    <x v="1"/>
  </r>
  <r>
    <n v="26009"/>
    <x v="0"/>
  </r>
  <r>
    <n v="43075"/>
    <x v="0"/>
  </r>
  <r>
    <n v="13061"/>
    <x v="0"/>
  </r>
  <r>
    <n v="22285"/>
    <x v="1"/>
  </r>
  <r>
    <n v="14187"/>
    <x v="1"/>
  </r>
  <r>
    <n v="16050"/>
    <x v="1"/>
  </r>
  <r>
    <n v="3448"/>
    <x v="0"/>
  </r>
  <r>
    <n v="26392"/>
    <x v="0"/>
  </r>
  <r>
    <n v="22013"/>
    <x v="0"/>
  </r>
  <r>
    <n v="38781"/>
    <x v="0"/>
  </r>
  <r>
    <n v="45020"/>
    <x v="1"/>
  </r>
  <r>
    <n v="47391"/>
    <x v="1"/>
  </r>
  <r>
    <n v="8898"/>
    <x v="0"/>
  </r>
  <r>
    <n v="15970"/>
    <x v="1"/>
  </r>
  <r>
    <n v="1279"/>
    <x v="0"/>
  </r>
  <r>
    <n v="30106"/>
    <x v="1"/>
  </r>
  <r>
    <n v="38082"/>
    <x v="1"/>
  </r>
  <r>
    <n v="17204"/>
    <x v="1"/>
  </r>
  <r>
    <n v="32298"/>
    <x v="0"/>
  </r>
  <r>
    <n v="44902"/>
    <x v="0"/>
  </r>
  <r>
    <n v="5771"/>
    <x v="1"/>
  </r>
  <r>
    <n v="42496"/>
    <x v="0"/>
  </r>
  <r>
    <n v="19348"/>
    <x v="0"/>
  </r>
  <r>
    <n v="30595"/>
    <x v="1"/>
  </r>
  <r>
    <n v="5924"/>
    <x v="0"/>
  </r>
  <r>
    <n v="21843"/>
    <x v="1"/>
  </r>
  <r>
    <n v="7792"/>
    <x v="0"/>
  </r>
  <r>
    <n v="9836"/>
    <x v="0"/>
  </r>
  <r>
    <n v="28487"/>
    <x v="1"/>
  </r>
  <r>
    <n v="17984"/>
    <x v="1"/>
  </r>
  <r>
    <n v="26846"/>
    <x v="1"/>
  </r>
  <r>
    <n v="12363"/>
    <x v="1"/>
  </r>
  <r>
    <n v="13315"/>
    <x v="1"/>
  </r>
  <r>
    <n v="23545"/>
    <x v="1"/>
  </r>
  <r>
    <n v="40703"/>
    <x v="1"/>
  </r>
  <r>
    <n v="9965"/>
    <x v="1"/>
  </r>
  <r>
    <n v="47635"/>
    <x v="1"/>
  </r>
  <r>
    <n v="14627"/>
    <x v="1"/>
  </r>
  <r>
    <n v="23112"/>
    <x v="1"/>
  </r>
  <r>
    <n v="20088"/>
    <x v="0"/>
  </r>
  <r>
    <n v="27195"/>
    <x v="1"/>
  </r>
  <r>
    <n v="11822"/>
    <x v="1"/>
  </r>
  <r>
    <n v="28865"/>
    <x v="1"/>
  </r>
  <r>
    <n v="7103"/>
    <x v="0"/>
  </r>
  <r>
    <n v="35999"/>
    <x v="1"/>
  </r>
  <r>
    <n v="27867"/>
    <x v="0"/>
  </r>
  <r>
    <n v="13116"/>
    <x v="1"/>
  </r>
  <r>
    <n v="798"/>
    <x v="1"/>
  </r>
  <r>
    <n v="20445"/>
    <x v="0"/>
  </r>
  <r>
    <n v="2020"/>
    <x v="1"/>
  </r>
  <r>
    <n v="37798"/>
    <x v="0"/>
  </r>
  <r>
    <n v="42533"/>
    <x v="1"/>
  </r>
  <r>
    <n v="26718"/>
    <x v="0"/>
  </r>
  <r>
    <n v="46832"/>
    <x v="1"/>
  </r>
  <r>
    <n v="36535"/>
    <x v="0"/>
  </r>
  <r>
    <n v="28966"/>
    <x v="0"/>
  </r>
  <r>
    <n v="25361"/>
    <x v="1"/>
  </r>
  <r>
    <n v="43063"/>
    <x v="1"/>
  </r>
  <r>
    <n v="17370"/>
    <x v="0"/>
  </r>
  <r>
    <n v="7077"/>
    <x v="0"/>
  </r>
  <r>
    <n v="17470"/>
    <x v="0"/>
  </r>
  <r>
    <n v="25911"/>
    <x v="1"/>
  </r>
  <r>
    <n v="41304"/>
    <x v="1"/>
  </r>
  <r>
    <n v="10858"/>
    <x v="0"/>
  </r>
  <r>
    <n v="22766"/>
    <x v="1"/>
  </r>
  <r>
    <n v="48907"/>
    <x v="1"/>
  </r>
  <r>
    <n v="33837"/>
    <x v="1"/>
  </r>
  <r>
    <n v="21765"/>
    <x v="1"/>
  </r>
  <r>
    <n v="31860"/>
    <x v="1"/>
  </r>
  <r>
    <n v="49137"/>
    <x v="1"/>
  </r>
  <r>
    <n v="11635"/>
    <x v="0"/>
  </r>
  <r>
    <n v="13789"/>
    <x v="0"/>
  </r>
  <r>
    <n v="41123"/>
    <x v="0"/>
  </r>
  <r>
    <n v="41764"/>
    <x v="1"/>
  </r>
  <r>
    <n v="27157"/>
    <x v="1"/>
  </r>
  <r>
    <n v="12090"/>
    <x v="1"/>
  </r>
  <r>
    <n v="14402"/>
    <x v="1"/>
  </r>
  <r>
    <n v="21179"/>
    <x v="0"/>
  </r>
  <r>
    <n v="37107"/>
    <x v="1"/>
  </r>
  <r>
    <n v="37062"/>
    <x v="1"/>
  </r>
  <r>
    <n v="13285"/>
    <x v="0"/>
  </r>
  <r>
    <n v="27906"/>
    <x v="1"/>
  </r>
  <r>
    <n v="25390"/>
    <x v="0"/>
  </r>
  <r>
    <n v="604"/>
    <x v="0"/>
  </r>
  <r>
    <n v="34871"/>
    <x v="1"/>
  </r>
  <r>
    <n v="27502"/>
    <x v="0"/>
  </r>
  <r>
    <n v="36767"/>
    <x v="1"/>
  </r>
  <r>
    <n v="32631"/>
    <x v="1"/>
  </r>
  <r>
    <n v="981"/>
    <x v="0"/>
  </r>
  <r>
    <n v="6068"/>
    <x v="1"/>
  </r>
  <r>
    <n v="3123"/>
    <x v="1"/>
  </r>
  <r>
    <n v="45383"/>
    <x v="0"/>
  </r>
  <r>
    <n v="8576"/>
    <x v="0"/>
  </r>
  <r>
    <n v="34876"/>
    <x v="1"/>
  </r>
  <r>
    <n v="48197"/>
    <x v="1"/>
  </r>
  <r>
    <n v="23434"/>
    <x v="0"/>
  </r>
  <r>
    <n v="14224"/>
    <x v="0"/>
  </r>
  <r>
    <n v="7150"/>
    <x v="1"/>
  </r>
  <r>
    <n v="46733"/>
    <x v="1"/>
  </r>
  <r>
    <n v="24131"/>
    <x v="0"/>
  </r>
  <r>
    <n v="4798"/>
    <x v="0"/>
  </r>
  <r>
    <n v="30509"/>
    <x v="1"/>
  </r>
  <r>
    <n v="17782"/>
    <x v="0"/>
  </r>
  <r>
    <n v="8054"/>
    <x v="0"/>
  </r>
  <r>
    <n v="33211"/>
    <x v="1"/>
  </r>
  <r>
    <n v="24533"/>
    <x v="0"/>
  </r>
  <r>
    <n v="12715"/>
    <x v="0"/>
  </r>
  <r>
    <n v="28714"/>
    <x v="1"/>
  </r>
  <r>
    <n v="3782"/>
    <x v="0"/>
  </r>
  <r>
    <n v="6921"/>
    <x v="1"/>
  </r>
  <r>
    <n v="14710"/>
    <x v="1"/>
  </r>
  <r>
    <n v="42039"/>
    <x v="0"/>
  </r>
  <r>
    <n v="46206"/>
    <x v="0"/>
  </r>
  <r>
    <n v="11221"/>
    <x v="0"/>
  </r>
  <r>
    <n v="28344"/>
    <x v="1"/>
  </r>
  <r>
    <n v="44812"/>
    <x v="0"/>
  </r>
  <r>
    <n v="16520"/>
    <x v="0"/>
  </r>
  <r>
    <n v="34724"/>
    <x v="0"/>
  </r>
  <r>
    <n v="29962"/>
    <x v="1"/>
  </r>
  <r>
    <n v="24174"/>
    <x v="1"/>
  </r>
  <r>
    <n v="43811"/>
    <x v="0"/>
  </r>
  <r>
    <n v="27190"/>
    <x v="0"/>
  </r>
  <r>
    <n v="38152"/>
    <x v="0"/>
  </r>
  <r>
    <n v="42160"/>
    <x v="0"/>
  </r>
  <r>
    <n v="44803"/>
    <x v="1"/>
  </r>
  <r>
    <n v="12789"/>
    <x v="1"/>
  </r>
  <r>
    <n v="30120"/>
    <x v="1"/>
  </r>
  <r>
    <n v="30860"/>
    <x v="0"/>
  </r>
  <r>
    <n v="32204"/>
    <x v="1"/>
  </r>
  <r>
    <n v="14542"/>
    <x v="1"/>
  </r>
  <r>
    <n v="28501"/>
    <x v="1"/>
  </r>
  <r>
    <n v="18864"/>
    <x v="1"/>
  </r>
  <r>
    <n v="38653"/>
    <x v="0"/>
  </r>
  <r>
    <n v="16600"/>
    <x v="0"/>
  </r>
  <r>
    <n v="39427"/>
    <x v="1"/>
  </r>
  <r>
    <n v="16685"/>
    <x v="1"/>
  </r>
  <r>
    <n v="5909"/>
    <x v="1"/>
  </r>
  <r>
    <n v="28932"/>
    <x v="0"/>
  </r>
  <r>
    <n v="45202"/>
    <x v="1"/>
  </r>
  <r>
    <n v="27186"/>
    <x v="1"/>
  </r>
  <r>
    <n v="49835"/>
    <x v="0"/>
  </r>
  <r>
    <n v="40990"/>
    <x v="0"/>
  </r>
  <r>
    <n v="30630"/>
    <x v="1"/>
  </r>
  <r>
    <n v="22155"/>
    <x v="0"/>
  </r>
  <r>
    <n v="48827"/>
    <x v="0"/>
  </r>
  <r>
    <n v="14950"/>
    <x v="0"/>
  </r>
  <r>
    <n v="45374"/>
    <x v="0"/>
  </r>
  <r>
    <n v="8232"/>
    <x v="0"/>
  </r>
  <r>
    <n v="33448"/>
    <x v="1"/>
  </r>
  <r>
    <n v="32001"/>
    <x v="0"/>
  </r>
  <r>
    <n v="8373"/>
    <x v="1"/>
  </r>
  <r>
    <n v="11491"/>
    <x v="0"/>
  </r>
  <r>
    <n v="38885"/>
    <x v="1"/>
  </r>
  <r>
    <n v="30706"/>
    <x v="1"/>
  </r>
  <r>
    <n v="8172"/>
    <x v="0"/>
  </r>
  <r>
    <n v="23547"/>
    <x v="1"/>
  </r>
  <r>
    <n v="23745"/>
    <x v="1"/>
  </r>
  <r>
    <n v="43286"/>
    <x v="0"/>
  </r>
  <r>
    <n v="43451"/>
    <x v="1"/>
  </r>
  <r>
    <n v="40004"/>
    <x v="0"/>
  </r>
  <r>
    <n v="46028"/>
    <x v="1"/>
  </r>
  <r>
    <n v="3244"/>
    <x v="0"/>
  </r>
  <r>
    <n v="44820"/>
    <x v="0"/>
  </r>
  <r>
    <n v="48020"/>
    <x v="0"/>
  </r>
  <r>
    <n v="2752"/>
    <x v="1"/>
  </r>
  <r>
    <n v="7355"/>
    <x v="1"/>
  </r>
  <r>
    <n v="16847"/>
    <x v="1"/>
  </r>
  <r>
    <n v="28746"/>
    <x v="1"/>
  </r>
  <r>
    <n v="9511"/>
    <x v="0"/>
  </r>
  <r>
    <n v="12444"/>
    <x v="0"/>
  </r>
  <r>
    <n v="23375"/>
    <x v="1"/>
  </r>
  <r>
    <n v="41290"/>
    <x v="0"/>
  </r>
  <r>
    <n v="8028"/>
    <x v="0"/>
  </r>
  <r>
    <n v="14981"/>
    <x v="0"/>
  </r>
  <r>
    <n v="19178"/>
    <x v="1"/>
  </r>
  <r>
    <n v="40843"/>
    <x v="0"/>
  </r>
  <r>
    <n v="43110"/>
    <x v="0"/>
  </r>
  <r>
    <n v="22224"/>
    <x v="1"/>
  </r>
  <r>
    <n v="15741"/>
    <x v="1"/>
  </r>
  <r>
    <n v="39500"/>
    <x v="1"/>
  </r>
  <r>
    <n v="7119"/>
    <x v="0"/>
  </r>
  <r>
    <n v="31599"/>
    <x v="1"/>
  </r>
  <r>
    <n v="35308"/>
    <x v="0"/>
  </r>
  <r>
    <n v="25022"/>
    <x v="0"/>
  </r>
  <r>
    <n v="29001"/>
    <x v="0"/>
  </r>
  <r>
    <n v="4096"/>
    <x v="0"/>
  </r>
  <r>
    <n v="49286"/>
    <x v="0"/>
  </r>
  <r>
    <n v="8604"/>
    <x v="1"/>
  </r>
  <r>
    <n v="39779"/>
    <x v="0"/>
  </r>
  <r>
    <n v="43330"/>
    <x v="1"/>
  </r>
  <r>
    <n v="46519"/>
    <x v="1"/>
  </r>
  <r>
    <n v="19481"/>
    <x v="0"/>
  </r>
  <r>
    <n v="23017"/>
    <x v="1"/>
  </r>
  <r>
    <n v="34443"/>
    <x v="0"/>
  </r>
  <r>
    <n v="47807"/>
    <x v="0"/>
  </r>
  <r>
    <n v="1695"/>
    <x v="0"/>
  </r>
  <r>
    <n v="5837"/>
    <x v="1"/>
  </r>
  <r>
    <n v="25509"/>
    <x v="1"/>
  </r>
  <r>
    <n v="43548"/>
    <x v="1"/>
  </r>
  <r>
    <n v="23093"/>
    <x v="0"/>
  </r>
  <r>
    <n v="47865"/>
    <x v="1"/>
  </r>
  <r>
    <n v="35346"/>
    <x v="0"/>
  </r>
  <r>
    <n v="30927"/>
    <x v="1"/>
  </r>
  <r>
    <n v="16679"/>
    <x v="1"/>
  </r>
  <r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E0B5F-7AED-4E51-8723-ED1CD3ED11B2}" name="PivotTable4" cacheId="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5">
  <location ref="A3:B8" firstHeaderRow="1" firstDataRow="1" firstDataCol="1"/>
  <pivotFields count="2">
    <pivotField axis="axisRow" compact="0" outline="0" showAll="0">
      <items count="7">
        <item x="2"/>
        <item x="1"/>
        <item x="4"/>
        <item x="3"/>
        <item x="0"/>
        <item h="1" x="5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hare of Order_Value" fld="1" showDataAs="percentOfTotal" baseField="0" baseItem="0" numFmtId="10"/>
  </dataFields>
  <chartFormats count="6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2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3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4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A41A3-86F1-44DF-B174-309F45C0F97B}" name="PivotTable5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8">
  <location ref="A3:B11" firstHeaderRow="1" firstDataRow="1" firstDataCol="1"/>
  <pivotFields count="3">
    <pivotField axis="axisRow" compact="0" outline="0" showAll="0">
      <items count="10">
        <item x="2"/>
        <item x="5"/>
        <item x="6"/>
        <item x="1"/>
        <item x="0"/>
        <item x="3"/>
        <item x="4"/>
        <item x="7"/>
        <item h="1" x="8"/>
        <item t="default"/>
      </items>
    </pivotField>
    <pivotField compact="0" outline="0" showAll="0"/>
    <pivotField dataField="1" compact="0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Order_Value" fld="2" showDataAs="percentOfTotal" baseField="0" baseItem="0" numFmtId="1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0B856-4C9C-4541-A5CA-2332A55588A0}" name="PivotTable6" cacheId="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0">
  <location ref="A3:B5" firstHeaderRow="1" firstDataRow="1" firstDataCol="1"/>
  <pivotFields count="2">
    <pivotField dataField="1" compact="0" outline="0" showAll="0"/>
    <pivotField axis="axisRow" compact="0" outline="0" showAll="0">
      <items count="4">
        <item x="1"/>
        <item x="0"/>
        <item h="1" x="2"/>
        <item t="default"/>
      </items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name="Sum of Order_Value" fld="0" showDataAs="percentOfTotal" baseField="0" baseItem="0" numFmtId="1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80C62-8BEC-4E89-BF0D-D2C2D1313902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1">
  <location ref="A3:C23" firstHeaderRow="1" firstDataRow="1" firstDataCol="2"/>
  <pivotFields count="3">
    <pivotField axis="axisRow" compact="0" outline="0" showAll="0">
      <items count="6">
        <item x="0"/>
        <item x="1"/>
        <item x="2"/>
        <item x="3"/>
        <item h="1" sd="0" x="4"/>
        <item t="default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2">
    <field x="0"/>
    <field x="1"/>
  </rowFields>
  <rowItems count="20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</rowItems>
  <colItems count="1">
    <i/>
  </colItems>
  <dataFields count="1">
    <dataField name="Average of Delivery time in days" fld="2" subtotal="average" baseField="0" baseItem="0" numFmtId="2"/>
  </dataFields>
  <formats count="17">
    <format dxfId="31">
      <pivotArea outline="0" fieldPosition="0">
        <references count="1">
          <reference field="0" count="3" selected="0" defaultSubtotal="1">
            <x v="0"/>
            <x v="1"/>
            <x v="2"/>
          </reference>
        </references>
      </pivotArea>
    </format>
    <format dxfId="30">
      <pivotArea outline="0" fieldPosition="0">
        <references count="2">
          <reference field="0" count="1" selected="0">
            <x v="3"/>
          </reference>
          <reference field="1" count="4" selected="0">
            <x v="0"/>
            <x v="1"/>
            <x v="2"/>
            <x v="3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field="1" type="button" dataOnly="0" labelOnly="1" outline="0" axis="axisRow" fieldPosition="1"/>
    </format>
    <format dxfId="25">
      <pivotArea dataOnly="0" labelOnly="1" outline="0" fieldPosition="0">
        <references count="1">
          <reference field="0" count="0"/>
        </references>
      </pivotArea>
    </format>
    <format dxfId="24">
      <pivotArea dataOnly="0" labelOnly="1" outline="0" fieldPosition="0">
        <references count="1">
          <reference field="0" count="0" defaultSubtotal="1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2">
          <reference field="0" count="1" selected="0">
            <x v="0"/>
          </reference>
          <reference field="1" count="4">
            <x v="0"/>
            <x v="1"/>
            <x v="2"/>
            <x v="3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1"/>
          </reference>
          <reference field="1" count="4">
            <x v="0"/>
            <x v="1"/>
            <x v="2"/>
            <x v="3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2"/>
          </reference>
          <reference field="1" count="4">
            <x v="0"/>
            <x v="1"/>
            <x v="2"/>
            <x v="3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3"/>
          </reference>
          <reference field="1" count="4">
            <x v="0"/>
            <x v="1"/>
            <x v="2"/>
            <x v="3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17">
      <pivotArea dataOnly="0" labelOnly="1" outline="0" axis="axisValues" fieldPosition="0"/>
    </format>
    <format dxfId="16">
      <pivotArea outline="0" fieldPosition="0">
        <references count="1">
          <reference field="0" count="1" selected="0" defaultSubtotal="1">
            <x v="3"/>
          </reference>
        </references>
      </pivotArea>
    </format>
    <format dxfId="15">
      <pivotArea outline="0" collapsedLevelsAreSubtotals="1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B3E4B-0FDB-4DDC-B19D-9270407B7F47}" name="PivotTable2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9">
  <location ref="A3:B7" firstHeaderRow="1" firstDataRow="1" firstDataCol="1"/>
  <pivotFields count="2">
    <pivotField axis="axisRow" compact="0" outline="0" showAll="0">
      <items count="6">
        <item x="0"/>
        <item x="1"/>
        <item x="2"/>
        <item x="3"/>
        <item h="1" x="4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Delivery time in days" fld="1" subtotal="average" baseField="0" baseItem="0" numFmtId="2"/>
  </dataFields>
  <formats count="1">
    <format dxfId="14">
      <pivotArea outline="0" collapsedLevelsAreSubtotals="1" fieldPosition="0"/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68822-6CC7-4877-A016-2C9805C6474D}" name="PivotTable3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20">
  <location ref="A3:B7" firstHeaderRow="1" firstDataRow="1" firstDataCol="1"/>
  <pivotFields count="3">
    <pivotField axis="axisRow" compact="0" outline="0" showAll="0">
      <items count="6">
        <item x="0"/>
        <item x="1"/>
        <item x="2"/>
        <item x="3"/>
        <item h="1" x="4"/>
        <item t="default"/>
      </items>
    </pivotField>
    <pivotField compact="0" outline="0" showAll="0"/>
    <pivotField dataField="1" compact="0" outline="0" showAl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Delivery time in days" fld="2" subtotal="average" baseField="0" baseItem="0"/>
  </dataFields>
  <formats count="2">
    <format dxfId="13">
      <pivotArea outline="0" fieldPosition="0">
        <references count="1">
          <reference field="0" count="1" selected="0">
            <x v="0"/>
          </reference>
        </references>
      </pivotArea>
    </format>
    <format dxfId="12">
      <pivotArea outline="0" fieldPosition="0">
        <references count="1">
          <reference field="0" count="3" selected="0">
            <x v="1"/>
            <x v="2"/>
            <x v="3"/>
          </reference>
        </references>
      </pivotArea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9A5242-6302-46FB-806B-7E22745AAD94}" name="Table1" displayName="Table1" ref="A1:E301" totalsRowShown="0" headerRowDxfId="40" dataDxfId="38" headerRowBorderDxfId="39" tableBorderDxfId="37">
  <autoFilter ref="A1:E301" xr:uid="{EC9A5242-6302-46FB-806B-7E22745AAD94}"/>
  <tableColumns count="5">
    <tableColumn id="1" xr3:uid="{A6A15307-B128-4182-9B4E-F85F150E9C93}" name="Customer ID" dataDxfId="36"/>
    <tableColumn id="2" xr3:uid="{3FD6F00C-E8EE-4011-AF00-8D8EB232622A}" name="Age" dataDxfId="35"/>
    <tableColumn id="3" xr3:uid="{38AAF025-1796-487E-935A-58718DBF2C80}" name="Gender" dataDxfId="34"/>
    <tableColumn id="4" xr3:uid="{F84103B7-4298-4A37-A921-E5041A986FDD}" name="Membership Type" dataDxfId="33"/>
    <tableColumn id="5" xr3:uid="{333F453D-93D0-4CD7-A049-383AB0B80DDD}" name="Signup Date" dataDxfId="3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6261E5-ED75-4B8F-8642-2EA82B966705}" name="Table3" displayName="Table3" ref="A1:H1501" totalsRowShown="0" headerRowDxfId="11" dataDxfId="9" headerRowBorderDxfId="10" tableBorderDxfId="8">
  <autoFilter ref="A1:H1501" xr:uid="{E06261E5-ED75-4B8F-8642-2EA82B966705}"/>
  <sortState xmlns:xlrd2="http://schemas.microsoft.com/office/spreadsheetml/2017/richdata2" ref="A2:H1501">
    <sortCondition ref="C2:C1501"/>
  </sortState>
  <tableColumns count="8">
    <tableColumn id="1" xr3:uid="{F00176AF-62B0-4429-9605-954EEBAA8270}" name="Order_ID" dataDxfId="7"/>
    <tableColumn id="2" xr3:uid="{E09E1597-10B5-4F09-A847-9EAFE0CC7376}" name="Warehouse_ID" dataDxfId="6"/>
    <tableColumn id="3" xr3:uid="{FA80B867-FD97-4FDF-BFF2-141B6097CB5A}" name="Courier_Partner" dataDxfId="5"/>
    <tableColumn id="9" xr3:uid="{47FE2566-7724-441E-8CE4-E954EAB82AAF}" name="Delivery time in days" dataDxfId="4">
      <calculatedColumnFormula>VLOOKUP(A2,Orders!$A:$E,5,FALSE)</calculatedColumnFormula>
    </tableColumn>
    <tableColumn id="4" xr3:uid="{FA8E4653-18D3-46D1-A254-D05328D00C22}" name="Distance_KM" dataDxfId="3"/>
    <tableColumn id="5" xr3:uid="{605C522A-F55C-4B73-B021-C24E20B224CA}" name="Dispatch_Time_Hours" dataDxfId="2"/>
    <tableColumn id="8" xr3:uid="{E1449E52-7706-48C0-90BC-02DA398CB2C6}" name="Delivery Speed" dataDxfId="1">
      <calculatedColumnFormula>E2/F2</calculatedColumnFormula>
    </tableColumn>
    <tableColumn id="6" xr3:uid="{66E4DF46-CB78-49B5-9F3A-88816FB5872F}" name="Delivery_Attemp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ivotTable" Target="../pivotTables/pivotTable2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ivotTable" Target="../pivotTables/pivotTable3.xm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ivotTable" Target="../pivotTables/pivotTable4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pivotTable" Target="../pivotTables/pivotTable5.xml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 /><Relationship Id="rId1" Type="http://schemas.openxmlformats.org/officeDocument/2006/relationships/pivotTable" Target="../pivotTables/pivotTable6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workbookViewId="0"/>
  </sheetViews>
  <sheetFormatPr defaultRowHeight="15" x14ac:dyDescent="0.2"/>
  <cols>
    <col min="1" max="1" width="14.66015625" style="4" bestFit="1" customWidth="1"/>
    <col min="2" max="2" width="6.58984375" style="4" bestFit="1" customWidth="1"/>
    <col min="3" max="3" width="9.68359375" style="4" bestFit="1" customWidth="1"/>
    <col min="4" max="4" width="19.90625" style="4" bestFit="1" customWidth="1"/>
    <col min="5" max="5" width="14.390625" style="4" bestFit="1" customWidth="1"/>
    <col min="6" max="10" width="9.14453125" style="4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4">
        <v>1001</v>
      </c>
      <c r="B2" s="4">
        <v>58</v>
      </c>
      <c r="C2" s="4" t="s">
        <v>5</v>
      </c>
      <c r="D2" s="4" t="s">
        <v>6</v>
      </c>
      <c r="E2" s="5">
        <v>45573</v>
      </c>
    </row>
    <row r="3" spans="1:5" x14ac:dyDescent="0.2">
      <c r="A3" s="4">
        <v>1002</v>
      </c>
      <c r="B3" s="4">
        <v>33</v>
      </c>
      <c r="C3" s="4" t="s">
        <v>5</v>
      </c>
      <c r="D3" s="4" t="s">
        <v>6</v>
      </c>
      <c r="E3" s="5">
        <v>45396</v>
      </c>
    </row>
    <row r="4" spans="1:5" x14ac:dyDescent="0.2">
      <c r="A4" s="4">
        <v>1003</v>
      </c>
      <c r="B4" s="4">
        <v>52</v>
      </c>
      <c r="C4" s="4" t="s">
        <v>5</v>
      </c>
      <c r="D4" s="4" t="s">
        <v>7</v>
      </c>
      <c r="E4" s="5">
        <v>45324</v>
      </c>
    </row>
    <row r="5" spans="1:5" x14ac:dyDescent="0.2">
      <c r="A5" s="4">
        <v>1004</v>
      </c>
      <c r="B5" s="4">
        <v>19</v>
      </c>
      <c r="C5" s="4" t="s">
        <v>5</v>
      </c>
      <c r="D5" s="4" t="s">
        <v>6</v>
      </c>
      <c r="E5" s="5">
        <v>45530</v>
      </c>
    </row>
    <row r="6" spans="1:5" x14ac:dyDescent="0.2">
      <c r="A6" s="4">
        <v>1005</v>
      </c>
      <c r="B6" s="4">
        <v>50</v>
      </c>
      <c r="C6" s="4" t="s">
        <v>5</v>
      </c>
      <c r="D6" s="4" t="s">
        <v>6</v>
      </c>
      <c r="E6" s="5">
        <v>45957</v>
      </c>
    </row>
    <row r="7" spans="1:5" x14ac:dyDescent="0.2">
      <c r="A7" s="4">
        <v>1006</v>
      </c>
      <c r="B7" s="4">
        <v>52</v>
      </c>
      <c r="C7" s="4" t="s">
        <v>8</v>
      </c>
      <c r="D7" s="4" t="s">
        <v>6</v>
      </c>
      <c r="E7" s="5">
        <v>45751</v>
      </c>
    </row>
    <row r="8" spans="1:5" x14ac:dyDescent="0.2">
      <c r="A8" s="4">
        <v>1007</v>
      </c>
      <c r="B8" s="4">
        <v>55</v>
      </c>
      <c r="C8" s="4" t="s">
        <v>8</v>
      </c>
      <c r="D8" s="4" t="s">
        <v>6</v>
      </c>
      <c r="E8" s="5">
        <v>45455</v>
      </c>
    </row>
    <row r="9" spans="1:5" x14ac:dyDescent="0.2">
      <c r="A9" s="4">
        <v>1008</v>
      </c>
      <c r="B9" s="4">
        <v>45</v>
      </c>
      <c r="C9" s="4" t="s">
        <v>8</v>
      </c>
      <c r="D9" s="4" t="s">
        <v>7</v>
      </c>
      <c r="E9" s="5">
        <v>45451</v>
      </c>
    </row>
    <row r="10" spans="1:5" x14ac:dyDescent="0.2">
      <c r="A10" s="4">
        <v>1009</v>
      </c>
      <c r="B10" s="4">
        <v>31</v>
      </c>
      <c r="C10" s="4" t="s">
        <v>8</v>
      </c>
      <c r="D10" s="4" t="s">
        <v>6</v>
      </c>
      <c r="E10" s="5">
        <v>45386</v>
      </c>
    </row>
    <row r="11" spans="1:5" x14ac:dyDescent="0.2">
      <c r="A11" s="4">
        <v>1010</v>
      </c>
      <c r="B11" s="4">
        <v>42</v>
      </c>
      <c r="C11" s="4" t="s">
        <v>5</v>
      </c>
      <c r="D11" s="4" t="s">
        <v>7</v>
      </c>
      <c r="E11" s="5">
        <v>45644</v>
      </c>
    </row>
    <row r="12" spans="1:5" x14ac:dyDescent="0.2">
      <c r="A12" s="4">
        <v>1011</v>
      </c>
      <c r="B12" s="4">
        <v>56</v>
      </c>
      <c r="C12" s="4" t="s">
        <v>8</v>
      </c>
      <c r="D12" s="4" t="s">
        <v>6</v>
      </c>
      <c r="E12" s="5">
        <v>45762</v>
      </c>
    </row>
    <row r="13" spans="1:5" x14ac:dyDescent="0.2">
      <c r="A13" s="4">
        <v>1012</v>
      </c>
      <c r="B13" s="4">
        <v>52</v>
      </c>
      <c r="C13" s="4" t="s">
        <v>5</v>
      </c>
      <c r="D13" s="4" t="s">
        <v>7</v>
      </c>
      <c r="E13" s="5">
        <v>45372</v>
      </c>
    </row>
    <row r="14" spans="1:5" x14ac:dyDescent="0.2">
      <c r="A14" s="4">
        <v>1013</v>
      </c>
      <c r="B14" s="4">
        <v>53</v>
      </c>
      <c r="C14" s="4" t="s">
        <v>8</v>
      </c>
      <c r="D14" s="4" t="s">
        <v>7</v>
      </c>
      <c r="E14" s="5">
        <v>45883</v>
      </c>
    </row>
    <row r="15" spans="1:5" x14ac:dyDescent="0.2">
      <c r="A15" s="4">
        <v>1014</v>
      </c>
      <c r="B15" s="4">
        <v>30</v>
      </c>
      <c r="C15" s="4" t="s">
        <v>5</v>
      </c>
      <c r="D15" s="4" t="s">
        <v>6</v>
      </c>
      <c r="E15" s="5">
        <v>45969</v>
      </c>
    </row>
    <row r="16" spans="1:5" x14ac:dyDescent="0.2">
      <c r="A16" s="4">
        <v>1015</v>
      </c>
      <c r="B16" s="4">
        <v>32</v>
      </c>
      <c r="C16" s="4" t="s">
        <v>8</v>
      </c>
      <c r="D16" s="4" t="s">
        <v>6</v>
      </c>
      <c r="E16" s="5">
        <v>45530</v>
      </c>
    </row>
    <row r="17" spans="1:5" x14ac:dyDescent="0.2">
      <c r="A17" s="4">
        <v>1016</v>
      </c>
      <c r="B17" s="4">
        <v>24</v>
      </c>
      <c r="C17" s="4" t="s">
        <v>8</v>
      </c>
      <c r="D17" s="4" t="s">
        <v>7</v>
      </c>
      <c r="E17" s="5">
        <v>45756</v>
      </c>
    </row>
    <row r="18" spans="1:5" x14ac:dyDescent="0.2">
      <c r="A18" s="4">
        <v>1017</v>
      </c>
      <c r="B18" s="4">
        <v>58</v>
      </c>
      <c r="C18" s="4" t="s">
        <v>8</v>
      </c>
      <c r="D18" s="4" t="s">
        <v>6</v>
      </c>
      <c r="E18" s="5">
        <v>45671</v>
      </c>
    </row>
    <row r="19" spans="1:5" x14ac:dyDescent="0.2">
      <c r="A19" s="4">
        <v>1018</v>
      </c>
      <c r="B19" s="4">
        <v>40</v>
      </c>
      <c r="C19" s="4" t="s">
        <v>5</v>
      </c>
      <c r="D19" s="4" t="s">
        <v>7</v>
      </c>
      <c r="E19" s="5">
        <v>45991</v>
      </c>
    </row>
    <row r="20" spans="1:5" x14ac:dyDescent="0.2">
      <c r="A20" s="4">
        <v>1019</v>
      </c>
      <c r="B20" s="4">
        <v>59</v>
      </c>
      <c r="C20" s="4" t="s">
        <v>5</v>
      </c>
      <c r="D20" s="4" t="s">
        <v>6</v>
      </c>
      <c r="E20" s="5">
        <v>45838</v>
      </c>
    </row>
    <row r="21" spans="1:5" x14ac:dyDescent="0.2">
      <c r="A21" s="4">
        <v>1020</v>
      </c>
      <c r="B21" s="4">
        <v>33</v>
      </c>
      <c r="C21" s="4" t="s">
        <v>5</v>
      </c>
      <c r="D21" s="4" t="s">
        <v>7</v>
      </c>
      <c r="E21" s="5">
        <v>45680</v>
      </c>
    </row>
    <row r="22" spans="1:5" x14ac:dyDescent="0.2">
      <c r="A22" s="4">
        <v>1021</v>
      </c>
      <c r="B22" s="4">
        <v>35</v>
      </c>
      <c r="C22" s="4" t="s">
        <v>5</v>
      </c>
      <c r="D22" s="4" t="s">
        <v>7</v>
      </c>
      <c r="E22" s="5">
        <v>45349</v>
      </c>
    </row>
    <row r="23" spans="1:5" x14ac:dyDescent="0.2">
      <c r="A23" s="4">
        <v>1022</v>
      </c>
      <c r="B23" s="4">
        <v>32</v>
      </c>
      <c r="C23" s="4" t="s">
        <v>5</v>
      </c>
      <c r="D23" s="4" t="s">
        <v>7</v>
      </c>
      <c r="E23" s="5">
        <v>45702</v>
      </c>
    </row>
    <row r="24" spans="1:5" x14ac:dyDescent="0.2">
      <c r="A24" s="4">
        <v>1023</v>
      </c>
      <c r="B24" s="4">
        <v>35</v>
      </c>
      <c r="C24" s="4" t="s">
        <v>5</v>
      </c>
      <c r="D24" s="4" t="s">
        <v>6</v>
      </c>
      <c r="E24" s="5">
        <v>45872</v>
      </c>
    </row>
    <row r="25" spans="1:5" x14ac:dyDescent="0.2">
      <c r="A25" s="4">
        <v>1024</v>
      </c>
      <c r="B25" s="4">
        <v>38</v>
      </c>
      <c r="C25" s="4" t="s">
        <v>5</v>
      </c>
      <c r="D25" s="4" t="s">
        <v>7</v>
      </c>
      <c r="E25" s="5">
        <v>45697</v>
      </c>
    </row>
    <row r="26" spans="1:5" x14ac:dyDescent="0.2">
      <c r="A26" s="4">
        <v>1025</v>
      </c>
      <c r="B26" s="4">
        <v>59</v>
      </c>
      <c r="C26" s="4" t="s">
        <v>8</v>
      </c>
      <c r="D26" s="4" t="s">
        <v>6</v>
      </c>
      <c r="E26" s="5">
        <v>45563</v>
      </c>
    </row>
    <row r="27" spans="1:5" x14ac:dyDescent="0.2">
      <c r="A27" s="4">
        <v>1026</v>
      </c>
      <c r="B27" s="4">
        <v>26</v>
      </c>
      <c r="C27" s="4" t="s">
        <v>5</v>
      </c>
      <c r="D27" s="4" t="s">
        <v>7</v>
      </c>
      <c r="E27" s="5">
        <v>45890</v>
      </c>
    </row>
    <row r="28" spans="1:5" x14ac:dyDescent="0.2">
      <c r="A28" s="4">
        <v>1027</v>
      </c>
      <c r="B28" s="4">
        <v>45</v>
      </c>
      <c r="C28" s="4" t="s">
        <v>8</v>
      </c>
      <c r="D28" s="4" t="s">
        <v>7</v>
      </c>
      <c r="E28" s="5">
        <v>45516</v>
      </c>
    </row>
    <row r="29" spans="1:5" x14ac:dyDescent="0.2">
      <c r="A29" s="4">
        <v>1028</v>
      </c>
      <c r="B29" s="4">
        <v>26</v>
      </c>
      <c r="C29" s="4" t="s">
        <v>8</v>
      </c>
      <c r="D29" s="4" t="s">
        <v>6</v>
      </c>
      <c r="E29" s="5">
        <v>45340</v>
      </c>
    </row>
    <row r="30" spans="1:5" x14ac:dyDescent="0.2">
      <c r="A30" s="4">
        <v>1029</v>
      </c>
      <c r="B30" s="4">
        <v>25</v>
      </c>
      <c r="C30" s="4" t="s">
        <v>5</v>
      </c>
      <c r="D30" s="4" t="s">
        <v>6</v>
      </c>
      <c r="E30" s="5">
        <v>45988</v>
      </c>
    </row>
    <row r="31" spans="1:5" x14ac:dyDescent="0.2">
      <c r="A31" s="4">
        <v>1030</v>
      </c>
      <c r="B31" s="4">
        <v>45</v>
      </c>
      <c r="C31" s="4" t="s">
        <v>5</v>
      </c>
      <c r="D31" s="4" t="s">
        <v>7</v>
      </c>
      <c r="E31" s="5">
        <v>45682</v>
      </c>
    </row>
    <row r="32" spans="1:5" x14ac:dyDescent="0.2">
      <c r="A32" s="4">
        <v>1031</v>
      </c>
      <c r="B32" s="4">
        <v>56</v>
      </c>
      <c r="C32" s="4" t="s">
        <v>8</v>
      </c>
      <c r="D32" s="4" t="s">
        <v>7</v>
      </c>
      <c r="E32" s="5">
        <v>45858</v>
      </c>
    </row>
    <row r="33" spans="1:5" x14ac:dyDescent="0.2">
      <c r="A33" s="4">
        <v>1032</v>
      </c>
      <c r="B33" s="4">
        <v>18</v>
      </c>
      <c r="C33" s="4" t="s">
        <v>5</v>
      </c>
      <c r="D33" s="4" t="s">
        <v>7</v>
      </c>
      <c r="E33" s="5">
        <v>45948</v>
      </c>
    </row>
    <row r="34" spans="1:5" x14ac:dyDescent="0.2">
      <c r="A34" s="4">
        <v>1033</v>
      </c>
      <c r="B34" s="4">
        <v>39</v>
      </c>
      <c r="C34" s="4" t="s">
        <v>5</v>
      </c>
      <c r="D34" s="4" t="s">
        <v>7</v>
      </c>
      <c r="E34" s="5">
        <v>45737</v>
      </c>
    </row>
    <row r="35" spans="1:5" x14ac:dyDescent="0.2">
      <c r="A35" s="4">
        <v>1034</v>
      </c>
      <c r="B35" s="4">
        <v>28</v>
      </c>
      <c r="C35" s="4" t="s">
        <v>8</v>
      </c>
      <c r="D35" s="4" t="s">
        <v>6</v>
      </c>
      <c r="E35" s="5">
        <v>45561</v>
      </c>
    </row>
    <row r="36" spans="1:5" x14ac:dyDescent="0.2">
      <c r="A36" s="4">
        <v>1035</v>
      </c>
      <c r="B36" s="4">
        <v>50</v>
      </c>
      <c r="C36" s="4" t="s">
        <v>5</v>
      </c>
      <c r="D36" s="4" t="s">
        <v>6</v>
      </c>
      <c r="E36" s="5">
        <v>45932</v>
      </c>
    </row>
    <row r="37" spans="1:5" x14ac:dyDescent="0.2">
      <c r="A37" s="4">
        <v>1036</v>
      </c>
      <c r="B37" s="4">
        <v>37</v>
      </c>
      <c r="C37" s="4" t="s">
        <v>5</v>
      </c>
      <c r="D37" s="4" t="s">
        <v>6</v>
      </c>
      <c r="E37" s="5">
        <v>45674</v>
      </c>
    </row>
    <row r="38" spans="1:5" x14ac:dyDescent="0.2">
      <c r="A38" s="4">
        <v>1037</v>
      </c>
      <c r="B38" s="4">
        <v>28</v>
      </c>
      <c r="C38" s="4" t="s">
        <v>5</v>
      </c>
      <c r="D38" s="4" t="s">
        <v>7</v>
      </c>
      <c r="E38" s="5">
        <v>45792</v>
      </c>
    </row>
    <row r="39" spans="1:5" x14ac:dyDescent="0.2">
      <c r="A39" s="4">
        <v>1038</v>
      </c>
      <c r="B39" s="4">
        <v>19</v>
      </c>
      <c r="C39" s="4" t="s">
        <v>5</v>
      </c>
      <c r="D39" s="4" t="s">
        <v>7</v>
      </c>
      <c r="E39" s="5">
        <v>45606</v>
      </c>
    </row>
    <row r="40" spans="1:5" x14ac:dyDescent="0.2">
      <c r="A40" s="4">
        <v>1039</v>
      </c>
      <c r="B40" s="4">
        <v>33</v>
      </c>
      <c r="C40" s="4" t="s">
        <v>5</v>
      </c>
      <c r="D40" s="4" t="s">
        <v>6</v>
      </c>
      <c r="E40" s="5">
        <v>45872</v>
      </c>
    </row>
    <row r="41" spans="1:5" x14ac:dyDescent="0.2">
      <c r="A41" s="4">
        <v>1040</v>
      </c>
      <c r="B41" s="4">
        <v>23</v>
      </c>
      <c r="C41" s="4" t="s">
        <v>5</v>
      </c>
      <c r="D41" s="4" t="s">
        <v>7</v>
      </c>
      <c r="E41" s="5">
        <v>45362</v>
      </c>
    </row>
    <row r="42" spans="1:5" x14ac:dyDescent="0.2">
      <c r="A42" s="4">
        <v>1041</v>
      </c>
      <c r="B42" s="4">
        <v>52</v>
      </c>
      <c r="C42" s="4" t="s">
        <v>5</v>
      </c>
      <c r="D42" s="4" t="s">
        <v>6</v>
      </c>
      <c r="E42" s="5">
        <v>45967</v>
      </c>
    </row>
    <row r="43" spans="1:5" x14ac:dyDescent="0.2">
      <c r="A43" s="4">
        <v>1042</v>
      </c>
      <c r="B43" s="4">
        <v>48</v>
      </c>
      <c r="C43" s="4" t="s">
        <v>5</v>
      </c>
      <c r="D43" s="4" t="s">
        <v>7</v>
      </c>
      <c r="E43" s="5">
        <v>45832</v>
      </c>
    </row>
    <row r="44" spans="1:5" x14ac:dyDescent="0.2">
      <c r="A44" s="4">
        <v>1043</v>
      </c>
      <c r="B44" s="4">
        <v>56</v>
      </c>
      <c r="C44" s="4" t="s">
        <v>8</v>
      </c>
      <c r="D44" s="4" t="s">
        <v>6</v>
      </c>
      <c r="E44" s="5">
        <v>45844</v>
      </c>
    </row>
    <row r="45" spans="1:5" x14ac:dyDescent="0.2">
      <c r="A45" s="4">
        <v>1044</v>
      </c>
      <c r="B45" s="4">
        <v>30</v>
      </c>
      <c r="C45" s="4" t="s">
        <v>8</v>
      </c>
      <c r="D45" s="4" t="s">
        <v>7</v>
      </c>
      <c r="E45" s="5">
        <v>45979</v>
      </c>
    </row>
    <row r="46" spans="1:5" x14ac:dyDescent="0.2">
      <c r="A46" s="4">
        <v>1045</v>
      </c>
      <c r="B46" s="4">
        <v>59</v>
      </c>
      <c r="C46" s="4" t="s">
        <v>8</v>
      </c>
      <c r="D46" s="4" t="s">
        <v>7</v>
      </c>
      <c r="E46" s="5">
        <v>45821</v>
      </c>
    </row>
    <row r="47" spans="1:5" x14ac:dyDescent="0.2">
      <c r="A47" s="4">
        <v>1046</v>
      </c>
      <c r="B47" s="4">
        <v>46</v>
      </c>
      <c r="C47" s="4" t="s">
        <v>5</v>
      </c>
      <c r="D47" s="4" t="s">
        <v>6</v>
      </c>
      <c r="E47" s="5">
        <v>45522</v>
      </c>
    </row>
    <row r="48" spans="1:5" x14ac:dyDescent="0.2">
      <c r="A48" s="4">
        <v>1047</v>
      </c>
      <c r="B48" s="4">
        <v>22</v>
      </c>
      <c r="C48" s="4" t="s">
        <v>8</v>
      </c>
      <c r="D48" s="4" t="s">
        <v>6</v>
      </c>
      <c r="E48" s="5">
        <v>45894</v>
      </c>
    </row>
    <row r="49" spans="1:5" x14ac:dyDescent="0.2">
      <c r="A49" s="4">
        <v>1048</v>
      </c>
      <c r="B49" s="4">
        <v>53</v>
      </c>
      <c r="C49" s="4" t="s">
        <v>5</v>
      </c>
      <c r="D49" s="4" t="s">
        <v>6</v>
      </c>
      <c r="E49" s="5">
        <v>45299</v>
      </c>
    </row>
    <row r="50" spans="1:5" x14ac:dyDescent="0.2">
      <c r="A50" s="4">
        <v>1049</v>
      </c>
      <c r="B50" s="4">
        <v>22</v>
      </c>
      <c r="C50" s="4" t="s">
        <v>5</v>
      </c>
      <c r="D50" s="4" t="s">
        <v>6</v>
      </c>
      <c r="E50" s="5">
        <v>45361</v>
      </c>
    </row>
    <row r="51" spans="1:5" x14ac:dyDescent="0.2">
      <c r="A51" s="4">
        <v>1050</v>
      </c>
      <c r="B51" s="4">
        <v>20</v>
      </c>
      <c r="C51" s="4" t="s">
        <v>8</v>
      </c>
      <c r="D51" s="4" t="s">
        <v>6</v>
      </c>
      <c r="E51" s="5">
        <v>45818</v>
      </c>
    </row>
    <row r="52" spans="1:5" x14ac:dyDescent="0.2">
      <c r="A52" s="4">
        <v>1051</v>
      </c>
      <c r="B52" s="4">
        <v>33</v>
      </c>
      <c r="C52" s="4" t="s">
        <v>8</v>
      </c>
      <c r="D52" s="4" t="s">
        <v>7</v>
      </c>
      <c r="E52" s="5">
        <v>45511</v>
      </c>
    </row>
    <row r="53" spans="1:5" x14ac:dyDescent="0.2">
      <c r="A53" s="4">
        <v>1052</v>
      </c>
      <c r="B53" s="4">
        <v>52</v>
      </c>
      <c r="C53" s="4" t="s">
        <v>5</v>
      </c>
      <c r="D53" s="4" t="s">
        <v>7</v>
      </c>
      <c r="E53" s="5">
        <v>45540</v>
      </c>
    </row>
    <row r="54" spans="1:5" x14ac:dyDescent="0.2">
      <c r="A54" s="4">
        <v>1053</v>
      </c>
      <c r="B54" s="4">
        <v>48</v>
      </c>
      <c r="C54" s="4" t="s">
        <v>8</v>
      </c>
      <c r="D54" s="4" t="s">
        <v>6</v>
      </c>
      <c r="E54" s="5">
        <v>45388</v>
      </c>
    </row>
    <row r="55" spans="1:5" x14ac:dyDescent="0.2">
      <c r="A55" s="4">
        <v>1054</v>
      </c>
      <c r="B55" s="4">
        <v>24</v>
      </c>
      <c r="C55" s="4" t="s">
        <v>8</v>
      </c>
      <c r="D55" s="4" t="s">
        <v>7</v>
      </c>
      <c r="E55" s="5">
        <v>45725</v>
      </c>
    </row>
    <row r="56" spans="1:5" x14ac:dyDescent="0.2">
      <c r="A56" s="4">
        <v>1055</v>
      </c>
      <c r="B56" s="4">
        <v>44</v>
      </c>
      <c r="C56" s="4" t="s">
        <v>8</v>
      </c>
      <c r="D56" s="4" t="s">
        <v>6</v>
      </c>
      <c r="E56" s="5">
        <v>45981</v>
      </c>
    </row>
    <row r="57" spans="1:5" x14ac:dyDescent="0.2">
      <c r="A57" s="4">
        <v>1056</v>
      </c>
      <c r="B57" s="4">
        <v>59</v>
      </c>
      <c r="C57" s="4" t="s">
        <v>5</v>
      </c>
      <c r="D57" s="4" t="s">
        <v>6</v>
      </c>
      <c r="E57" s="5">
        <v>45704</v>
      </c>
    </row>
    <row r="58" spans="1:5" x14ac:dyDescent="0.2">
      <c r="A58" s="4">
        <v>1057</v>
      </c>
      <c r="B58" s="4">
        <v>39</v>
      </c>
      <c r="C58" s="4" t="s">
        <v>5</v>
      </c>
      <c r="D58" s="4" t="s">
        <v>6</v>
      </c>
      <c r="E58" s="5">
        <v>45488</v>
      </c>
    </row>
    <row r="59" spans="1:5" x14ac:dyDescent="0.2">
      <c r="A59" s="4">
        <v>1058</v>
      </c>
      <c r="B59" s="4">
        <v>30</v>
      </c>
      <c r="C59" s="4" t="s">
        <v>8</v>
      </c>
      <c r="D59" s="4" t="s">
        <v>6</v>
      </c>
      <c r="E59" s="5">
        <v>45724</v>
      </c>
    </row>
    <row r="60" spans="1:5" x14ac:dyDescent="0.2">
      <c r="A60" s="4">
        <v>1059</v>
      </c>
      <c r="B60" s="4">
        <v>29</v>
      </c>
      <c r="C60" s="4" t="s">
        <v>8</v>
      </c>
      <c r="D60" s="4" t="s">
        <v>7</v>
      </c>
      <c r="E60" s="5">
        <v>45547</v>
      </c>
    </row>
    <row r="61" spans="1:5" x14ac:dyDescent="0.2">
      <c r="A61" s="4">
        <v>1060</v>
      </c>
      <c r="B61" s="4">
        <v>22</v>
      </c>
      <c r="C61" s="4" t="s">
        <v>8</v>
      </c>
      <c r="D61" s="4" t="s">
        <v>6</v>
      </c>
      <c r="E61" s="5">
        <v>45343</v>
      </c>
    </row>
    <row r="62" spans="1:5" x14ac:dyDescent="0.2">
      <c r="A62" s="4">
        <v>1061</v>
      </c>
      <c r="B62" s="4">
        <v>59</v>
      </c>
      <c r="C62" s="4" t="s">
        <v>5</v>
      </c>
      <c r="D62" s="4" t="s">
        <v>6</v>
      </c>
      <c r="E62" s="5">
        <v>45534</v>
      </c>
    </row>
    <row r="63" spans="1:5" x14ac:dyDescent="0.2">
      <c r="A63" s="4">
        <v>1062</v>
      </c>
      <c r="B63" s="4">
        <v>28</v>
      </c>
      <c r="C63" s="4" t="s">
        <v>8</v>
      </c>
      <c r="D63" s="4" t="s">
        <v>7</v>
      </c>
      <c r="E63" s="5">
        <v>45784</v>
      </c>
    </row>
    <row r="64" spans="1:5" x14ac:dyDescent="0.2">
      <c r="A64" s="4">
        <v>1063</v>
      </c>
      <c r="B64" s="4">
        <v>31</v>
      </c>
      <c r="C64" s="4" t="s">
        <v>8</v>
      </c>
      <c r="D64" s="4" t="s">
        <v>6</v>
      </c>
      <c r="E64" s="5">
        <v>45460</v>
      </c>
    </row>
    <row r="65" spans="1:5" x14ac:dyDescent="0.2">
      <c r="A65" s="4">
        <v>1064</v>
      </c>
      <c r="B65" s="4">
        <v>42</v>
      </c>
      <c r="C65" s="4" t="s">
        <v>5</v>
      </c>
      <c r="D65" s="4" t="s">
        <v>7</v>
      </c>
      <c r="E65" s="5">
        <v>45563</v>
      </c>
    </row>
    <row r="66" spans="1:5" x14ac:dyDescent="0.2">
      <c r="A66" s="4">
        <v>1065</v>
      </c>
      <c r="B66" s="4">
        <v>47</v>
      </c>
      <c r="C66" s="4" t="s">
        <v>8</v>
      </c>
      <c r="D66" s="4" t="s">
        <v>7</v>
      </c>
      <c r="E66" s="5">
        <v>45861</v>
      </c>
    </row>
    <row r="67" spans="1:5" x14ac:dyDescent="0.2">
      <c r="A67" s="4">
        <v>1066</v>
      </c>
      <c r="B67" s="4">
        <v>60</v>
      </c>
      <c r="C67" s="4" t="s">
        <v>8</v>
      </c>
      <c r="D67" s="4" t="s">
        <v>6</v>
      </c>
      <c r="E67" s="5">
        <v>45486</v>
      </c>
    </row>
    <row r="68" spans="1:5" x14ac:dyDescent="0.2">
      <c r="A68" s="4">
        <v>1067</v>
      </c>
      <c r="B68" s="4">
        <v>36</v>
      </c>
      <c r="C68" s="4" t="s">
        <v>5</v>
      </c>
      <c r="D68" s="4" t="s">
        <v>6</v>
      </c>
      <c r="E68" s="5">
        <v>45885</v>
      </c>
    </row>
    <row r="69" spans="1:5" x14ac:dyDescent="0.2">
      <c r="A69" s="4">
        <v>1068</v>
      </c>
      <c r="B69" s="4">
        <v>52</v>
      </c>
      <c r="C69" s="4" t="s">
        <v>5</v>
      </c>
      <c r="D69" s="4" t="s">
        <v>7</v>
      </c>
      <c r="E69" s="5">
        <v>45350</v>
      </c>
    </row>
    <row r="70" spans="1:5" x14ac:dyDescent="0.2">
      <c r="A70" s="4">
        <v>1069</v>
      </c>
      <c r="B70" s="4">
        <v>21</v>
      </c>
      <c r="C70" s="4" t="s">
        <v>8</v>
      </c>
      <c r="D70" s="4" t="s">
        <v>6</v>
      </c>
      <c r="E70" s="5">
        <v>45350</v>
      </c>
    </row>
    <row r="71" spans="1:5" x14ac:dyDescent="0.2">
      <c r="A71" s="4">
        <v>1070</v>
      </c>
      <c r="B71" s="4">
        <v>50</v>
      </c>
      <c r="C71" s="4" t="s">
        <v>5</v>
      </c>
      <c r="D71" s="4" t="s">
        <v>6</v>
      </c>
      <c r="E71" s="5">
        <v>45362</v>
      </c>
    </row>
    <row r="72" spans="1:5" x14ac:dyDescent="0.2">
      <c r="A72" s="4">
        <v>1071</v>
      </c>
      <c r="B72" s="4">
        <v>56</v>
      </c>
      <c r="C72" s="4" t="s">
        <v>5</v>
      </c>
      <c r="D72" s="4" t="s">
        <v>6</v>
      </c>
      <c r="E72" s="5">
        <v>45705</v>
      </c>
    </row>
    <row r="73" spans="1:5" x14ac:dyDescent="0.2">
      <c r="A73" s="4">
        <v>1072</v>
      </c>
      <c r="B73" s="4">
        <v>25</v>
      </c>
      <c r="C73" s="4" t="s">
        <v>5</v>
      </c>
      <c r="D73" s="4" t="s">
        <v>6</v>
      </c>
      <c r="E73" s="5">
        <v>45926</v>
      </c>
    </row>
    <row r="74" spans="1:5" x14ac:dyDescent="0.2">
      <c r="A74" s="4">
        <v>1073</v>
      </c>
      <c r="B74" s="4">
        <v>23</v>
      </c>
      <c r="C74" s="4" t="s">
        <v>8</v>
      </c>
      <c r="D74" s="4" t="s">
        <v>7</v>
      </c>
      <c r="E74" s="5">
        <v>45559</v>
      </c>
    </row>
    <row r="75" spans="1:5" x14ac:dyDescent="0.2">
      <c r="A75" s="4">
        <v>1074</v>
      </c>
      <c r="B75" s="4">
        <v>31</v>
      </c>
      <c r="C75" s="4" t="s">
        <v>8</v>
      </c>
      <c r="D75" s="4" t="s">
        <v>6</v>
      </c>
      <c r="E75" s="5">
        <v>45563</v>
      </c>
    </row>
    <row r="76" spans="1:5" x14ac:dyDescent="0.2">
      <c r="A76" s="4">
        <v>1075</v>
      </c>
      <c r="B76" s="4">
        <v>43</v>
      </c>
      <c r="C76" s="4" t="s">
        <v>5</v>
      </c>
      <c r="D76" s="4" t="s">
        <v>7</v>
      </c>
      <c r="E76" s="5">
        <v>45760</v>
      </c>
    </row>
    <row r="77" spans="1:5" x14ac:dyDescent="0.2">
      <c r="A77" s="4">
        <v>1076</v>
      </c>
      <c r="B77" s="4">
        <v>38</v>
      </c>
      <c r="C77" s="4" t="s">
        <v>5</v>
      </c>
      <c r="D77" s="4" t="s">
        <v>6</v>
      </c>
      <c r="E77" s="5">
        <v>45761</v>
      </c>
    </row>
    <row r="78" spans="1:5" x14ac:dyDescent="0.2">
      <c r="A78" s="4">
        <v>1077</v>
      </c>
      <c r="B78" s="4">
        <v>57</v>
      </c>
      <c r="C78" s="4" t="s">
        <v>5</v>
      </c>
      <c r="D78" s="4" t="s">
        <v>6</v>
      </c>
      <c r="E78" s="5">
        <v>45842</v>
      </c>
    </row>
    <row r="79" spans="1:5" x14ac:dyDescent="0.2">
      <c r="A79" s="4">
        <v>1078</v>
      </c>
      <c r="B79" s="4">
        <v>31</v>
      </c>
      <c r="C79" s="4" t="s">
        <v>8</v>
      </c>
      <c r="D79" s="4" t="s">
        <v>6</v>
      </c>
      <c r="E79" s="5">
        <v>45649</v>
      </c>
    </row>
    <row r="80" spans="1:5" x14ac:dyDescent="0.2">
      <c r="A80" s="4">
        <v>1079</v>
      </c>
      <c r="B80" s="4">
        <v>22</v>
      </c>
      <c r="C80" s="4" t="s">
        <v>5</v>
      </c>
      <c r="D80" s="4" t="s">
        <v>7</v>
      </c>
      <c r="E80" s="5">
        <v>45583</v>
      </c>
    </row>
    <row r="81" spans="1:5" x14ac:dyDescent="0.2">
      <c r="A81" s="4">
        <v>1080</v>
      </c>
      <c r="B81" s="4">
        <v>28</v>
      </c>
      <c r="C81" s="4" t="s">
        <v>8</v>
      </c>
      <c r="D81" s="4" t="s">
        <v>7</v>
      </c>
      <c r="E81" s="5">
        <v>45918</v>
      </c>
    </row>
    <row r="82" spans="1:5" x14ac:dyDescent="0.2">
      <c r="A82" s="4">
        <v>1081</v>
      </c>
      <c r="B82" s="4">
        <v>59</v>
      </c>
      <c r="C82" s="4" t="s">
        <v>5</v>
      </c>
      <c r="D82" s="4" t="s">
        <v>7</v>
      </c>
      <c r="E82" s="5">
        <v>45971</v>
      </c>
    </row>
    <row r="83" spans="1:5" x14ac:dyDescent="0.2">
      <c r="A83" s="4">
        <v>1082</v>
      </c>
      <c r="B83" s="4">
        <v>24</v>
      </c>
      <c r="C83" s="4" t="s">
        <v>5</v>
      </c>
      <c r="D83" s="4" t="s">
        <v>7</v>
      </c>
      <c r="E83" s="5">
        <v>45410</v>
      </c>
    </row>
    <row r="84" spans="1:5" x14ac:dyDescent="0.2">
      <c r="A84" s="4">
        <v>1083</v>
      </c>
      <c r="B84" s="4">
        <v>24</v>
      </c>
      <c r="C84" s="4" t="s">
        <v>5</v>
      </c>
      <c r="D84" s="4" t="s">
        <v>7</v>
      </c>
      <c r="E84" s="5">
        <v>45580</v>
      </c>
    </row>
    <row r="85" spans="1:5" x14ac:dyDescent="0.2">
      <c r="A85" s="4">
        <v>1084</v>
      </c>
      <c r="B85" s="4">
        <v>56</v>
      </c>
      <c r="C85" s="4" t="s">
        <v>5</v>
      </c>
      <c r="D85" s="4" t="s">
        <v>7</v>
      </c>
      <c r="E85" s="5">
        <v>45500</v>
      </c>
    </row>
    <row r="86" spans="1:5" x14ac:dyDescent="0.2">
      <c r="A86" s="4">
        <v>1085</v>
      </c>
      <c r="B86" s="4">
        <v>58</v>
      </c>
      <c r="C86" s="4" t="s">
        <v>8</v>
      </c>
      <c r="D86" s="4" t="s">
        <v>7</v>
      </c>
      <c r="E86" s="5">
        <v>45549</v>
      </c>
    </row>
    <row r="87" spans="1:5" x14ac:dyDescent="0.2">
      <c r="A87" s="4">
        <v>1086</v>
      </c>
      <c r="B87" s="4">
        <v>21</v>
      </c>
      <c r="C87" s="4" t="s">
        <v>5</v>
      </c>
      <c r="D87" s="4" t="s">
        <v>7</v>
      </c>
      <c r="E87" s="5">
        <v>45575</v>
      </c>
    </row>
    <row r="88" spans="1:5" x14ac:dyDescent="0.2">
      <c r="A88" s="4">
        <v>1087</v>
      </c>
      <c r="B88" s="4">
        <v>20</v>
      </c>
      <c r="C88" s="4" t="s">
        <v>5</v>
      </c>
      <c r="D88" s="4" t="s">
        <v>7</v>
      </c>
      <c r="E88" s="5">
        <v>45425</v>
      </c>
    </row>
    <row r="89" spans="1:5" x14ac:dyDescent="0.2">
      <c r="A89" s="4">
        <v>1088</v>
      </c>
      <c r="B89" s="4">
        <v>58</v>
      </c>
      <c r="C89" s="4" t="s">
        <v>8</v>
      </c>
      <c r="D89" s="4" t="s">
        <v>6</v>
      </c>
      <c r="E89" s="5">
        <v>45744</v>
      </c>
    </row>
    <row r="90" spans="1:5" x14ac:dyDescent="0.2">
      <c r="A90" s="4">
        <v>1089</v>
      </c>
      <c r="B90" s="4">
        <v>53</v>
      </c>
      <c r="C90" s="4" t="s">
        <v>8</v>
      </c>
      <c r="D90" s="4" t="s">
        <v>6</v>
      </c>
      <c r="E90" s="5">
        <v>45406</v>
      </c>
    </row>
    <row r="91" spans="1:5" x14ac:dyDescent="0.2">
      <c r="A91" s="4">
        <v>1090</v>
      </c>
      <c r="B91" s="4">
        <v>22</v>
      </c>
      <c r="C91" s="4" t="s">
        <v>5</v>
      </c>
      <c r="D91" s="4" t="s">
        <v>6</v>
      </c>
      <c r="E91" s="5">
        <v>45670</v>
      </c>
    </row>
    <row r="92" spans="1:5" x14ac:dyDescent="0.2">
      <c r="A92" s="4">
        <v>1091</v>
      </c>
      <c r="B92" s="4">
        <v>55</v>
      </c>
      <c r="C92" s="4" t="s">
        <v>5</v>
      </c>
      <c r="D92" s="4" t="s">
        <v>7</v>
      </c>
      <c r="E92" s="5">
        <v>45422</v>
      </c>
    </row>
    <row r="93" spans="1:5" x14ac:dyDescent="0.2">
      <c r="A93" s="4">
        <v>1092</v>
      </c>
      <c r="B93" s="4">
        <v>20</v>
      </c>
      <c r="C93" s="4" t="s">
        <v>8</v>
      </c>
      <c r="D93" s="4" t="s">
        <v>7</v>
      </c>
      <c r="E93" s="5">
        <v>45332</v>
      </c>
    </row>
    <row r="94" spans="1:5" x14ac:dyDescent="0.2">
      <c r="A94" s="4">
        <v>1093</v>
      </c>
      <c r="B94" s="4">
        <v>40</v>
      </c>
      <c r="C94" s="4" t="s">
        <v>5</v>
      </c>
      <c r="D94" s="4" t="s">
        <v>6</v>
      </c>
      <c r="E94" s="5">
        <v>45974</v>
      </c>
    </row>
    <row r="95" spans="1:5" x14ac:dyDescent="0.2">
      <c r="A95" s="4">
        <v>1094</v>
      </c>
      <c r="B95" s="4">
        <v>24</v>
      </c>
      <c r="C95" s="4" t="s">
        <v>8</v>
      </c>
      <c r="D95" s="4" t="s">
        <v>7</v>
      </c>
      <c r="E95" s="5">
        <v>45927</v>
      </c>
    </row>
    <row r="96" spans="1:5" x14ac:dyDescent="0.2">
      <c r="A96" s="4">
        <v>1095</v>
      </c>
      <c r="B96" s="4">
        <v>27</v>
      </c>
      <c r="C96" s="4" t="s">
        <v>5</v>
      </c>
      <c r="D96" s="4" t="s">
        <v>6</v>
      </c>
      <c r="E96" s="5">
        <v>45473</v>
      </c>
    </row>
    <row r="97" spans="1:5" x14ac:dyDescent="0.2">
      <c r="A97" s="4">
        <v>1096</v>
      </c>
      <c r="B97" s="4">
        <v>44</v>
      </c>
      <c r="C97" s="4" t="s">
        <v>5</v>
      </c>
      <c r="D97" s="4" t="s">
        <v>6</v>
      </c>
      <c r="E97" s="5">
        <v>45632</v>
      </c>
    </row>
    <row r="98" spans="1:5" x14ac:dyDescent="0.2">
      <c r="A98" s="4">
        <v>1097</v>
      </c>
      <c r="B98" s="4">
        <v>44</v>
      </c>
      <c r="C98" s="4" t="s">
        <v>5</v>
      </c>
      <c r="D98" s="4" t="s">
        <v>7</v>
      </c>
      <c r="E98" s="5">
        <v>45455</v>
      </c>
    </row>
    <row r="99" spans="1:5" x14ac:dyDescent="0.2">
      <c r="A99" s="4">
        <v>1098</v>
      </c>
      <c r="B99" s="4">
        <v>24</v>
      </c>
      <c r="C99" s="4" t="s">
        <v>8</v>
      </c>
      <c r="D99" s="4" t="s">
        <v>6</v>
      </c>
      <c r="E99" s="5">
        <v>45773</v>
      </c>
    </row>
    <row r="100" spans="1:5" x14ac:dyDescent="0.2">
      <c r="A100" s="4">
        <v>1099</v>
      </c>
      <c r="B100" s="4">
        <v>32</v>
      </c>
      <c r="C100" s="4" t="s">
        <v>5</v>
      </c>
      <c r="D100" s="4" t="s">
        <v>7</v>
      </c>
      <c r="E100" s="5">
        <v>45650</v>
      </c>
    </row>
    <row r="101" spans="1:5" x14ac:dyDescent="0.2">
      <c r="A101" s="4">
        <v>1100</v>
      </c>
      <c r="B101" s="4">
        <v>37</v>
      </c>
      <c r="C101" s="4" t="s">
        <v>5</v>
      </c>
      <c r="D101" s="4" t="s">
        <v>6</v>
      </c>
      <c r="E101" s="5">
        <v>45316</v>
      </c>
    </row>
    <row r="102" spans="1:5" x14ac:dyDescent="0.2">
      <c r="A102" s="4">
        <v>1101</v>
      </c>
      <c r="B102" s="4">
        <v>60</v>
      </c>
      <c r="C102" s="4" t="s">
        <v>5</v>
      </c>
      <c r="D102" s="4" t="s">
        <v>7</v>
      </c>
      <c r="E102" s="5">
        <v>45628</v>
      </c>
    </row>
    <row r="103" spans="1:5" x14ac:dyDescent="0.2">
      <c r="A103" s="4">
        <v>1102</v>
      </c>
      <c r="B103" s="4">
        <v>35</v>
      </c>
      <c r="C103" s="4" t="s">
        <v>5</v>
      </c>
      <c r="D103" s="4" t="s">
        <v>7</v>
      </c>
      <c r="E103" s="5">
        <v>45651</v>
      </c>
    </row>
    <row r="104" spans="1:5" x14ac:dyDescent="0.2">
      <c r="A104" s="4">
        <v>1103</v>
      </c>
      <c r="B104" s="4">
        <v>59</v>
      </c>
      <c r="C104" s="4" t="s">
        <v>8</v>
      </c>
      <c r="D104" s="4" t="s">
        <v>7</v>
      </c>
      <c r="E104" s="5">
        <v>45320</v>
      </c>
    </row>
    <row r="105" spans="1:5" x14ac:dyDescent="0.2">
      <c r="A105" s="4">
        <v>1104</v>
      </c>
      <c r="B105" s="4">
        <v>25</v>
      </c>
      <c r="C105" s="4" t="s">
        <v>8</v>
      </c>
      <c r="D105" s="4" t="s">
        <v>6</v>
      </c>
      <c r="E105" s="5">
        <v>45886</v>
      </c>
    </row>
    <row r="106" spans="1:5" x14ac:dyDescent="0.2">
      <c r="A106" s="4">
        <v>1105</v>
      </c>
      <c r="B106" s="4">
        <v>34</v>
      </c>
      <c r="C106" s="4" t="s">
        <v>5</v>
      </c>
      <c r="D106" s="4" t="s">
        <v>6</v>
      </c>
      <c r="E106" s="5">
        <v>45902</v>
      </c>
    </row>
    <row r="107" spans="1:5" x14ac:dyDescent="0.2">
      <c r="A107" s="4">
        <v>1106</v>
      </c>
      <c r="B107" s="4">
        <v>45</v>
      </c>
      <c r="C107" s="4" t="s">
        <v>8</v>
      </c>
      <c r="D107" s="4" t="s">
        <v>7</v>
      </c>
      <c r="E107" s="5">
        <v>45738</v>
      </c>
    </row>
    <row r="108" spans="1:5" x14ac:dyDescent="0.2">
      <c r="A108" s="4">
        <v>1107</v>
      </c>
      <c r="B108" s="4">
        <v>56</v>
      </c>
      <c r="C108" s="4" t="s">
        <v>5</v>
      </c>
      <c r="D108" s="4" t="s">
        <v>7</v>
      </c>
      <c r="E108" s="5">
        <v>45882</v>
      </c>
    </row>
    <row r="109" spans="1:5" x14ac:dyDescent="0.2">
      <c r="A109" s="4">
        <v>1108</v>
      </c>
      <c r="B109" s="4">
        <v>30</v>
      </c>
      <c r="C109" s="4" t="s">
        <v>8</v>
      </c>
      <c r="D109" s="4" t="s">
        <v>6</v>
      </c>
      <c r="E109" s="5">
        <v>45738</v>
      </c>
    </row>
    <row r="110" spans="1:5" x14ac:dyDescent="0.2">
      <c r="A110" s="4">
        <v>1109</v>
      </c>
      <c r="B110" s="4">
        <v>18</v>
      </c>
      <c r="C110" s="4" t="s">
        <v>5</v>
      </c>
      <c r="D110" s="4" t="s">
        <v>7</v>
      </c>
      <c r="E110" s="5">
        <v>45733</v>
      </c>
    </row>
    <row r="111" spans="1:5" x14ac:dyDescent="0.2">
      <c r="A111" s="4">
        <v>1110</v>
      </c>
      <c r="B111" s="4">
        <v>22</v>
      </c>
      <c r="C111" s="4" t="s">
        <v>8</v>
      </c>
      <c r="D111" s="4" t="s">
        <v>7</v>
      </c>
      <c r="E111" s="5">
        <v>45971</v>
      </c>
    </row>
    <row r="112" spans="1:5" x14ac:dyDescent="0.2">
      <c r="A112" s="4">
        <v>1111</v>
      </c>
      <c r="B112" s="4">
        <v>25</v>
      </c>
      <c r="C112" s="4" t="s">
        <v>8</v>
      </c>
      <c r="D112" s="4" t="s">
        <v>7</v>
      </c>
      <c r="E112" s="5">
        <v>45974</v>
      </c>
    </row>
    <row r="113" spans="1:5" x14ac:dyDescent="0.2">
      <c r="A113" s="4">
        <v>1112</v>
      </c>
      <c r="B113" s="4">
        <v>44</v>
      </c>
      <c r="C113" s="4" t="s">
        <v>8</v>
      </c>
      <c r="D113" s="4" t="s">
        <v>7</v>
      </c>
      <c r="E113" s="5">
        <v>45594</v>
      </c>
    </row>
    <row r="114" spans="1:5" x14ac:dyDescent="0.2">
      <c r="A114" s="4">
        <v>1113</v>
      </c>
      <c r="B114" s="4">
        <v>53</v>
      </c>
      <c r="C114" s="4" t="s">
        <v>5</v>
      </c>
      <c r="D114" s="4" t="s">
        <v>6</v>
      </c>
      <c r="E114" s="5">
        <v>45722</v>
      </c>
    </row>
    <row r="115" spans="1:5" x14ac:dyDescent="0.2">
      <c r="A115" s="4">
        <v>1114</v>
      </c>
      <c r="B115" s="4">
        <v>60</v>
      </c>
      <c r="C115" s="4" t="s">
        <v>8</v>
      </c>
      <c r="D115" s="4" t="s">
        <v>6</v>
      </c>
      <c r="E115" s="5">
        <v>45922</v>
      </c>
    </row>
    <row r="116" spans="1:5" x14ac:dyDescent="0.2">
      <c r="A116" s="4">
        <v>1115</v>
      </c>
      <c r="B116" s="4">
        <v>54</v>
      </c>
      <c r="C116" s="4" t="s">
        <v>8</v>
      </c>
      <c r="D116" s="4" t="s">
        <v>7</v>
      </c>
      <c r="E116" s="5">
        <v>45853</v>
      </c>
    </row>
    <row r="117" spans="1:5" x14ac:dyDescent="0.2">
      <c r="A117" s="4">
        <v>1116</v>
      </c>
      <c r="B117" s="4">
        <v>18</v>
      </c>
      <c r="C117" s="4" t="s">
        <v>8</v>
      </c>
      <c r="D117" s="4" t="s">
        <v>7</v>
      </c>
      <c r="E117" s="5">
        <v>45507</v>
      </c>
    </row>
    <row r="118" spans="1:5" x14ac:dyDescent="0.2">
      <c r="A118" s="4">
        <v>1117</v>
      </c>
      <c r="B118" s="4">
        <v>45</v>
      </c>
      <c r="C118" s="4" t="s">
        <v>8</v>
      </c>
      <c r="D118" s="4" t="s">
        <v>7</v>
      </c>
      <c r="E118" s="5">
        <v>45744</v>
      </c>
    </row>
    <row r="119" spans="1:5" x14ac:dyDescent="0.2">
      <c r="A119" s="4">
        <v>1118</v>
      </c>
      <c r="B119" s="4">
        <v>46</v>
      </c>
      <c r="C119" s="4" t="s">
        <v>5</v>
      </c>
      <c r="D119" s="4" t="s">
        <v>7</v>
      </c>
      <c r="E119" s="5">
        <v>45465</v>
      </c>
    </row>
    <row r="120" spans="1:5" x14ac:dyDescent="0.2">
      <c r="A120" s="4">
        <v>1119</v>
      </c>
      <c r="B120" s="4">
        <v>60</v>
      </c>
      <c r="C120" s="4" t="s">
        <v>5</v>
      </c>
      <c r="D120" s="4" t="s">
        <v>7</v>
      </c>
      <c r="E120" s="5">
        <v>45819</v>
      </c>
    </row>
    <row r="121" spans="1:5" x14ac:dyDescent="0.2">
      <c r="A121" s="4">
        <v>1120</v>
      </c>
      <c r="B121" s="4">
        <v>60</v>
      </c>
      <c r="C121" s="4" t="s">
        <v>8</v>
      </c>
      <c r="D121" s="4" t="s">
        <v>6</v>
      </c>
      <c r="E121" s="5">
        <v>45532</v>
      </c>
    </row>
    <row r="122" spans="1:5" x14ac:dyDescent="0.2">
      <c r="A122" s="4">
        <v>1121</v>
      </c>
      <c r="B122" s="4">
        <v>37</v>
      </c>
      <c r="C122" s="4" t="s">
        <v>5</v>
      </c>
      <c r="D122" s="4" t="s">
        <v>6</v>
      </c>
      <c r="E122" s="5">
        <v>45442</v>
      </c>
    </row>
    <row r="123" spans="1:5" x14ac:dyDescent="0.2">
      <c r="A123" s="4">
        <v>1122</v>
      </c>
      <c r="B123" s="4">
        <v>19</v>
      </c>
      <c r="C123" s="4" t="s">
        <v>5</v>
      </c>
      <c r="D123" s="4" t="s">
        <v>6</v>
      </c>
      <c r="E123" s="5">
        <v>45778</v>
      </c>
    </row>
    <row r="124" spans="1:5" x14ac:dyDescent="0.2">
      <c r="A124" s="4">
        <v>1123</v>
      </c>
      <c r="B124" s="4">
        <v>57</v>
      </c>
      <c r="C124" s="4" t="s">
        <v>5</v>
      </c>
      <c r="D124" s="4" t="s">
        <v>7</v>
      </c>
      <c r="E124" s="5">
        <v>45716</v>
      </c>
    </row>
    <row r="125" spans="1:5" x14ac:dyDescent="0.2">
      <c r="A125" s="4">
        <v>1124</v>
      </c>
      <c r="B125" s="4">
        <v>58</v>
      </c>
      <c r="C125" s="4" t="s">
        <v>5</v>
      </c>
      <c r="D125" s="4" t="s">
        <v>7</v>
      </c>
      <c r="E125" s="5">
        <v>45798</v>
      </c>
    </row>
    <row r="126" spans="1:5" x14ac:dyDescent="0.2">
      <c r="A126" s="4">
        <v>1125</v>
      </c>
      <c r="B126" s="4">
        <v>43</v>
      </c>
      <c r="C126" s="4" t="s">
        <v>5</v>
      </c>
      <c r="D126" s="4" t="s">
        <v>6</v>
      </c>
      <c r="E126" s="5">
        <v>45963</v>
      </c>
    </row>
    <row r="127" spans="1:5" x14ac:dyDescent="0.2">
      <c r="A127" s="4">
        <v>1126</v>
      </c>
      <c r="B127" s="4">
        <v>18</v>
      </c>
      <c r="C127" s="4" t="s">
        <v>5</v>
      </c>
      <c r="D127" s="4" t="s">
        <v>7</v>
      </c>
      <c r="E127" s="5">
        <v>45516</v>
      </c>
    </row>
    <row r="128" spans="1:5" x14ac:dyDescent="0.2">
      <c r="A128" s="4">
        <v>1127</v>
      </c>
      <c r="B128" s="4">
        <v>29</v>
      </c>
      <c r="C128" s="4" t="s">
        <v>8</v>
      </c>
      <c r="D128" s="4" t="s">
        <v>6</v>
      </c>
      <c r="E128" s="5">
        <v>45862</v>
      </c>
    </row>
    <row r="129" spans="1:5" x14ac:dyDescent="0.2">
      <c r="A129" s="4">
        <v>1128</v>
      </c>
      <c r="B129" s="4">
        <v>33</v>
      </c>
      <c r="C129" s="4" t="s">
        <v>5</v>
      </c>
      <c r="D129" s="4" t="s">
        <v>7</v>
      </c>
      <c r="E129" s="5">
        <v>45428</v>
      </c>
    </row>
    <row r="130" spans="1:5" x14ac:dyDescent="0.2">
      <c r="A130" s="4">
        <v>1129</v>
      </c>
      <c r="B130" s="4">
        <v>47</v>
      </c>
      <c r="C130" s="4" t="s">
        <v>8</v>
      </c>
      <c r="D130" s="4" t="s">
        <v>7</v>
      </c>
      <c r="E130" s="5">
        <v>45919</v>
      </c>
    </row>
    <row r="131" spans="1:5" x14ac:dyDescent="0.2">
      <c r="A131" s="4">
        <v>1130</v>
      </c>
      <c r="B131" s="4">
        <v>50</v>
      </c>
      <c r="C131" s="4" t="s">
        <v>8</v>
      </c>
      <c r="D131" s="4" t="s">
        <v>7</v>
      </c>
      <c r="E131" s="5">
        <v>45454</v>
      </c>
    </row>
    <row r="132" spans="1:5" x14ac:dyDescent="0.2">
      <c r="A132" s="4">
        <v>1131</v>
      </c>
      <c r="B132" s="4">
        <v>48</v>
      </c>
      <c r="C132" s="4" t="s">
        <v>8</v>
      </c>
      <c r="D132" s="4" t="s">
        <v>7</v>
      </c>
      <c r="E132" s="5">
        <v>45545</v>
      </c>
    </row>
    <row r="133" spans="1:5" x14ac:dyDescent="0.2">
      <c r="A133" s="4">
        <v>1132</v>
      </c>
      <c r="B133" s="4">
        <v>58</v>
      </c>
      <c r="C133" s="4" t="s">
        <v>8</v>
      </c>
      <c r="D133" s="4" t="s">
        <v>7</v>
      </c>
      <c r="E133" s="5">
        <v>45933</v>
      </c>
    </row>
    <row r="134" spans="1:5" x14ac:dyDescent="0.2">
      <c r="A134" s="4">
        <v>1133</v>
      </c>
      <c r="B134" s="4">
        <v>33</v>
      </c>
      <c r="C134" s="4" t="s">
        <v>8</v>
      </c>
      <c r="D134" s="4" t="s">
        <v>7</v>
      </c>
      <c r="E134" s="5">
        <v>45371</v>
      </c>
    </row>
    <row r="135" spans="1:5" x14ac:dyDescent="0.2">
      <c r="A135" s="4">
        <v>1134</v>
      </c>
      <c r="B135" s="4">
        <v>36</v>
      </c>
      <c r="C135" s="4" t="s">
        <v>5</v>
      </c>
      <c r="D135" s="4" t="s">
        <v>7</v>
      </c>
      <c r="E135" s="5">
        <v>45635</v>
      </c>
    </row>
    <row r="136" spans="1:5" x14ac:dyDescent="0.2">
      <c r="A136" s="4">
        <v>1135</v>
      </c>
      <c r="B136" s="4">
        <v>38</v>
      </c>
      <c r="C136" s="4" t="s">
        <v>5</v>
      </c>
      <c r="D136" s="4" t="s">
        <v>6</v>
      </c>
      <c r="E136" s="5">
        <v>45446</v>
      </c>
    </row>
    <row r="137" spans="1:5" x14ac:dyDescent="0.2">
      <c r="A137" s="4">
        <v>1136</v>
      </c>
      <c r="B137" s="4">
        <v>32</v>
      </c>
      <c r="C137" s="4" t="s">
        <v>8</v>
      </c>
      <c r="D137" s="4" t="s">
        <v>6</v>
      </c>
      <c r="E137" s="5">
        <v>45511</v>
      </c>
    </row>
    <row r="138" spans="1:5" x14ac:dyDescent="0.2">
      <c r="A138" s="4">
        <v>1137</v>
      </c>
      <c r="B138" s="4">
        <v>22</v>
      </c>
      <c r="C138" s="4" t="s">
        <v>8</v>
      </c>
      <c r="D138" s="4" t="s">
        <v>7</v>
      </c>
      <c r="E138" s="5">
        <v>45630</v>
      </c>
    </row>
    <row r="139" spans="1:5" x14ac:dyDescent="0.2">
      <c r="A139" s="4">
        <v>1138</v>
      </c>
      <c r="B139" s="4">
        <v>52</v>
      </c>
      <c r="C139" s="4" t="s">
        <v>8</v>
      </c>
      <c r="D139" s="4" t="s">
        <v>7</v>
      </c>
      <c r="E139" s="5">
        <v>45355</v>
      </c>
    </row>
    <row r="140" spans="1:5" x14ac:dyDescent="0.2">
      <c r="A140" s="4">
        <v>1139</v>
      </c>
      <c r="B140" s="4">
        <v>31</v>
      </c>
      <c r="C140" s="4" t="s">
        <v>8</v>
      </c>
      <c r="D140" s="4" t="s">
        <v>7</v>
      </c>
      <c r="E140" s="5">
        <v>45890</v>
      </c>
    </row>
    <row r="141" spans="1:5" x14ac:dyDescent="0.2">
      <c r="A141" s="4">
        <v>1140</v>
      </c>
      <c r="B141" s="4">
        <v>19</v>
      </c>
      <c r="C141" s="4" t="s">
        <v>8</v>
      </c>
      <c r="D141" s="4" t="s">
        <v>7</v>
      </c>
      <c r="E141" s="5">
        <v>45298</v>
      </c>
    </row>
    <row r="142" spans="1:5" x14ac:dyDescent="0.2">
      <c r="A142" s="4">
        <v>1141</v>
      </c>
      <c r="B142" s="4">
        <v>40</v>
      </c>
      <c r="C142" s="4" t="s">
        <v>8</v>
      </c>
      <c r="D142" s="4" t="s">
        <v>7</v>
      </c>
      <c r="E142" s="5">
        <v>45721</v>
      </c>
    </row>
    <row r="143" spans="1:5" x14ac:dyDescent="0.2">
      <c r="A143" s="4">
        <v>1142</v>
      </c>
      <c r="B143" s="4">
        <v>52</v>
      </c>
      <c r="C143" s="4" t="s">
        <v>5</v>
      </c>
      <c r="D143" s="4" t="s">
        <v>7</v>
      </c>
      <c r="E143" s="5">
        <v>45516</v>
      </c>
    </row>
    <row r="144" spans="1:5" x14ac:dyDescent="0.2">
      <c r="A144" s="4">
        <v>1143</v>
      </c>
      <c r="B144" s="4">
        <v>35</v>
      </c>
      <c r="C144" s="4" t="s">
        <v>8</v>
      </c>
      <c r="D144" s="4" t="s">
        <v>7</v>
      </c>
      <c r="E144" s="5">
        <v>45321</v>
      </c>
    </row>
    <row r="145" spans="1:5" x14ac:dyDescent="0.2">
      <c r="A145" s="4">
        <v>1144</v>
      </c>
      <c r="B145" s="4">
        <v>42</v>
      </c>
      <c r="C145" s="4" t="s">
        <v>8</v>
      </c>
      <c r="D145" s="4" t="s">
        <v>7</v>
      </c>
      <c r="E145" s="5">
        <v>45461</v>
      </c>
    </row>
    <row r="146" spans="1:5" x14ac:dyDescent="0.2">
      <c r="A146" s="4">
        <v>1145</v>
      </c>
      <c r="B146" s="4">
        <v>47</v>
      </c>
      <c r="C146" s="4" t="s">
        <v>5</v>
      </c>
      <c r="D146" s="4" t="s">
        <v>6</v>
      </c>
      <c r="E146" s="5">
        <v>45695</v>
      </c>
    </row>
    <row r="147" spans="1:5" x14ac:dyDescent="0.2">
      <c r="A147" s="4">
        <v>1146</v>
      </c>
      <c r="B147" s="4">
        <v>55</v>
      </c>
      <c r="C147" s="4" t="s">
        <v>5</v>
      </c>
      <c r="D147" s="4" t="s">
        <v>6</v>
      </c>
      <c r="E147" s="5">
        <v>45950</v>
      </c>
    </row>
    <row r="148" spans="1:5" x14ac:dyDescent="0.2">
      <c r="A148" s="4">
        <v>1147</v>
      </c>
      <c r="B148" s="4">
        <v>45</v>
      </c>
      <c r="C148" s="4" t="s">
        <v>5</v>
      </c>
      <c r="D148" s="4" t="s">
        <v>7</v>
      </c>
      <c r="E148" s="5">
        <v>45478</v>
      </c>
    </row>
    <row r="149" spans="1:5" x14ac:dyDescent="0.2">
      <c r="A149" s="4">
        <v>1148</v>
      </c>
      <c r="B149" s="4">
        <v>21</v>
      </c>
      <c r="C149" s="4" t="s">
        <v>8</v>
      </c>
      <c r="D149" s="4" t="s">
        <v>7</v>
      </c>
      <c r="E149" s="5">
        <v>45627</v>
      </c>
    </row>
    <row r="150" spans="1:5" x14ac:dyDescent="0.2">
      <c r="A150" s="4">
        <v>1149</v>
      </c>
      <c r="B150" s="4">
        <v>31</v>
      </c>
      <c r="C150" s="4" t="s">
        <v>8</v>
      </c>
      <c r="D150" s="4" t="s">
        <v>7</v>
      </c>
      <c r="E150" s="5">
        <v>45637</v>
      </c>
    </row>
    <row r="151" spans="1:5" x14ac:dyDescent="0.2">
      <c r="A151" s="4">
        <v>1150</v>
      </c>
      <c r="B151" s="4">
        <v>42</v>
      </c>
      <c r="C151" s="4" t="s">
        <v>8</v>
      </c>
      <c r="D151" s="4" t="s">
        <v>7</v>
      </c>
      <c r="E151" s="5">
        <v>45550</v>
      </c>
    </row>
    <row r="152" spans="1:5" x14ac:dyDescent="0.2">
      <c r="A152" s="4">
        <v>1151</v>
      </c>
      <c r="B152" s="4">
        <v>23</v>
      </c>
      <c r="C152" s="4" t="s">
        <v>8</v>
      </c>
      <c r="D152" s="4" t="s">
        <v>6</v>
      </c>
      <c r="E152" s="5">
        <v>45844</v>
      </c>
    </row>
    <row r="153" spans="1:5" x14ac:dyDescent="0.2">
      <c r="A153" s="4">
        <v>1152</v>
      </c>
      <c r="B153" s="4">
        <v>21</v>
      </c>
      <c r="C153" s="4" t="s">
        <v>8</v>
      </c>
      <c r="D153" s="4" t="s">
        <v>6</v>
      </c>
      <c r="E153" s="5">
        <v>45957</v>
      </c>
    </row>
    <row r="154" spans="1:5" x14ac:dyDescent="0.2">
      <c r="A154" s="4">
        <v>1153</v>
      </c>
      <c r="B154" s="4">
        <v>22</v>
      </c>
      <c r="C154" s="4" t="s">
        <v>5</v>
      </c>
      <c r="D154" s="4" t="s">
        <v>6</v>
      </c>
      <c r="E154" s="5">
        <v>45545</v>
      </c>
    </row>
    <row r="155" spans="1:5" x14ac:dyDescent="0.2">
      <c r="A155" s="4">
        <v>1154</v>
      </c>
      <c r="B155" s="4">
        <v>30</v>
      </c>
      <c r="C155" s="4" t="s">
        <v>5</v>
      </c>
      <c r="D155" s="4" t="s">
        <v>6</v>
      </c>
      <c r="E155" s="5">
        <v>45536</v>
      </c>
    </row>
    <row r="156" spans="1:5" x14ac:dyDescent="0.2">
      <c r="A156" s="4">
        <v>1155</v>
      </c>
      <c r="B156" s="4">
        <v>26</v>
      </c>
      <c r="C156" s="4" t="s">
        <v>8</v>
      </c>
      <c r="D156" s="4" t="s">
        <v>6</v>
      </c>
      <c r="E156" s="5">
        <v>45869</v>
      </c>
    </row>
    <row r="157" spans="1:5" x14ac:dyDescent="0.2">
      <c r="A157" s="4">
        <v>1156</v>
      </c>
      <c r="B157" s="4">
        <v>31</v>
      </c>
      <c r="C157" s="4" t="s">
        <v>8</v>
      </c>
      <c r="D157" s="4" t="s">
        <v>7</v>
      </c>
      <c r="E157" s="5">
        <v>45669</v>
      </c>
    </row>
    <row r="158" spans="1:5" x14ac:dyDescent="0.2">
      <c r="A158" s="4">
        <v>1157</v>
      </c>
      <c r="B158" s="4">
        <v>28</v>
      </c>
      <c r="C158" s="4" t="s">
        <v>5</v>
      </c>
      <c r="D158" s="4" t="s">
        <v>6</v>
      </c>
      <c r="E158" s="5">
        <v>45610</v>
      </c>
    </row>
    <row r="159" spans="1:5" x14ac:dyDescent="0.2">
      <c r="A159" s="4">
        <v>1158</v>
      </c>
      <c r="B159" s="4">
        <v>24</v>
      </c>
      <c r="C159" s="4" t="s">
        <v>5</v>
      </c>
      <c r="D159" s="4" t="s">
        <v>7</v>
      </c>
      <c r="E159" s="5">
        <v>45881</v>
      </c>
    </row>
    <row r="160" spans="1:5" x14ac:dyDescent="0.2">
      <c r="A160" s="4">
        <v>1159</v>
      </c>
      <c r="B160" s="4">
        <v>42</v>
      </c>
      <c r="C160" s="4" t="s">
        <v>8</v>
      </c>
      <c r="D160" s="4" t="s">
        <v>6</v>
      </c>
      <c r="E160" s="5">
        <v>45369</v>
      </c>
    </row>
    <row r="161" spans="1:5" x14ac:dyDescent="0.2">
      <c r="A161" s="4">
        <v>1160</v>
      </c>
      <c r="B161" s="4">
        <v>55</v>
      </c>
      <c r="C161" s="4" t="s">
        <v>5</v>
      </c>
      <c r="D161" s="4" t="s">
        <v>6</v>
      </c>
      <c r="E161" s="5">
        <v>45600</v>
      </c>
    </row>
    <row r="162" spans="1:5" x14ac:dyDescent="0.2">
      <c r="A162" s="4">
        <v>1161</v>
      </c>
      <c r="B162" s="4">
        <v>56</v>
      </c>
      <c r="C162" s="4" t="s">
        <v>5</v>
      </c>
      <c r="D162" s="4" t="s">
        <v>6</v>
      </c>
      <c r="E162" s="5">
        <v>45647</v>
      </c>
    </row>
    <row r="163" spans="1:5" x14ac:dyDescent="0.2">
      <c r="A163" s="4">
        <v>1162</v>
      </c>
      <c r="B163" s="4">
        <v>52</v>
      </c>
      <c r="C163" s="4" t="s">
        <v>8</v>
      </c>
      <c r="D163" s="4" t="s">
        <v>7</v>
      </c>
      <c r="E163" s="5">
        <v>45362</v>
      </c>
    </row>
    <row r="164" spans="1:5" x14ac:dyDescent="0.2">
      <c r="A164" s="4">
        <v>1163</v>
      </c>
      <c r="B164" s="4">
        <v>50</v>
      </c>
      <c r="C164" s="4" t="s">
        <v>8</v>
      </c>
      <c r="D164" s="4" t="s">
        <v>6</v>
      </c>
      <c r="E164" s="5">
        <v>45722</v>
      </c>
    </row>
    <row r="165" spans="1:5" x14ac:dyDescent="0.2">
      <c r="A165" s="4">
        <v>1164</v>
      </c>
      <c r="B165" s="4">
        <v>49</v>
      </c>
      <c r="C165" s="4" t="s">
        <v>5</v>
      </c>
      <c r="D165" s="4" t="s">
        <v>7</v>
      </c>
      <c r="E165" s="5">
        <v>45662</v>
      </c>
    </row>
    <row r="166" spans="1:5" x14ac:dyDescent="0.2">
      <c r="A166" s="4">
        <v>1165</v>
      </c>
      <c r="B166" s="4">
        <v>58</v>
      </c>
      <c r="C166" s="4" t="s">
        <v>8</v>
      </c>
      <c r="D166" s="4" t="s">
        <v>6</v>
      </c>
      <c r="E166" s="5">
        <v>45737</v>
      </c>
    </row>
    <row r="167" spans="1:5" x14ac:dyDescent="0.2">
      <c r="A167" s="4">
        <v>1166</v>
      </c>
      <c r="B167" s="4">
        <v>29</v>
      </c>
      <c r="C167" s="4" t="s">
        <v>8</v>
      </c>
      <c r="D167" s="4" t="s">
        <v>7</v>
      </c>
      <c r="E167" s="5">
        <v>45768</v>
      </c>
    </row>
    <row r="168" spans="1:5" x14ac:dyDescent="0.2">
      <c r="A168" s="4">
        <v>1167</v>
      </c>
      <c r="B168" s="4">
        <v>45</v>
      </c>
      <c r="C168" s="4" t="s">
        <v>8</v>
      </c>
      <c r="D168" s="4" t="s">
        <v>7</v>
      </c>
      <c r="E168" s="5">
        <v>45543</v>
      </c>
    </row>
    <row r="169" spans="1:5" x14ac:dyDescent="0.2">
      <c r="A169" s="4">
        <v>1168</v>
      </c>
      <c r="B169" s="4">
        <v>23</v>
      </c>
      <c r="C169" s="4" t="s">
        <v>8</v>
      </c>
      <c r="D169" s="4" t="s">
        <v>7</v>
      </c>
      <c r="E169" s="5">
        <v>45541</v>
      </c>
    </row>
    <row r="170" spans="1:5" x14ac:dyDescent="0.2">
      <c r="A170" s="4">
        <v>1169</v>
      </c>
      <c r="B170" s="4">
        <v>47</v>
      </c>
      <c r="C170" s="4" t="s">
        <v>8</v>
      </c>
      <c r="D170" s="4" t="s">
        <v>7</v>
      </c>
      <c r="E170" s="5">
        <v>45321</v>
      </c>
    </row>
    <row r="171" spans="1:5" x14ac:dyDescent="0.2">
      <c r="A171" s="4">
        <v>1170</v>
      </c>
      <c r="B171" s="4">
        <v>49</v>
      </c>
      <c r="C171" s="4" t="s">
        <v>8</v>
      </c>
      <c r="D171" s="4" t="s">
        <v>6</v>
      </c>
      <c r="E171" s="5">
        <v>45791</v>
      </c>
    </row>
    <row r="172" spans="1:5" x14ac:dyDescent="0.2">
      <c r="A172" s="4">
        <v>1171</v>
      </c>
      <c r="B172" s="4">
        <v>31</v>
      </c>
      <c r="C172" s="4" t="s">
        <v>8</v>
      </c>
      <c r="D172" s="4" t="s">
        <v>7</v>
      </c>
      <c r="E172" s="5">
        <v>45640</v>
      </c>
    </row>
    <row r="173" spans="1:5" x14ac:dyDescent="0.2">
      <c r="A173" s="4">
        <v>1172</v>
      </c>
      <c r="B173" s="4">
        <v>35</v>
      </c>
      <c r="C173" s="4" t="s">
        <v>8</v>
      </c>
      <c r="D173" s="4" t="s">
        <v>6</v>
      </c>
      <c r="E173" s="5">
        <v>45821</v>
      </c>
    </row>
    <row r="174" spans="1:5" x14ac:dyDescent="0.2">
      <c r="A174" s="4">
        <v>1173</v>
      </c>
      <c r="B174" s="4">
        <v>30</v>
      </c>
      <c r="C174" s="4" t="s">
        <v>5</v>
      </c>
      <c r="D174" s="4" t="s">
        <v>6</v>
      </c>
      <c r="E174" s="5">
        <v>45708</v>
      </c>
    </row>
    <row r="175" spans="1:5" x14ac:dyDescent="0.2">
      <c r="A175" s="4">
        <v>1174</v>
      </c>
      <c r="B175" s="4">
        <v>49</v>
      </c>
      <c r="C175" s="4" t="s">
        <v>5</v>
      </c>
      <c r="D175" s="4" t="s">
        <v>7</v>
      </c>
      <c r="E175" s="5">
        <v>45953</v>
      </c>
    </row>
    <row r="176" spans="1:5" x14ac:dyDescent="0.2">
      <c r="A176" s="4">
        <v>1175</v>
      </c>
      <c r="B176" s="4">
        <v>49</v>
      </c>
      <c r="C176" s="4" t="s">
        <v>8</v>
      </c>
      <c r="D176" s="4" t="s">
        <v>6</v>
      </c>
      <c r="E176" s="5">
        <v>45387</v>
      </c>
    </row>
    <row r="177" spans="1:5" x14ac:dyDescent="0.2">
      <c r="A177" s="4">
        <v>1176</v>
      </c>
      <c r="B177" s="4">
        <v>36</v>
      </c>
      <c r="C177" s="4" t="s">
        <v>5</v>
      </c>
      <c r="D177" s="4" t="s">
        <v>7</v>
      </c>
      <c r="E177" s="5">
        <v>45541</v>
      </c>
    </row>
    <row r="178" spans="1:5" x14ac:dyDescent="0.2">
      <c r="A178" s="4">
        <v>1177</v>
      </c>
      <c r="B178" s="4">
        <v>37</v>
      </c>
      <c r="C178" s="4" t="s">
        <v>8</v>
      </c>
      <c r="D178" s="4" t="s">
        <v>7</v>
      </c>
      <c r="E178" s="5">
        <v>45858</v>
      </c>
    </row>
    <row r="179" spans="1:5" x14ac:dyDescent="0.2">
      <c r="A179" s="4">
        <v>1178</v>
      </c>
      <c r="B179" s="4">
        <v>51</v>
      </c>
      <c r="C179" s="4" t="s">
        <v>8</v>
      </c>
      <c r="D179" s="4" t="s">
        <v>7</v>
      </c>
      <c r="E179" s="5">
        <v>45855</v>
      </c>
    </row>
    <row r="180" spans="1:5" x14ac:dyDescent="0.2">
      <c r="A180" s="4">
        <v>1179</v>
      </c>
      <c r="B180" s="4">
        <v>39</v>
      </c>
      <c r="C180" s="4" t="s">
        <v>8</v>
      </c>
      <c r="D180" s="4" t="s">
        <v>7</v>
      </c>
      <c r="E180" s="5">
        <v>45569</v>
      </c>
    </row>
    <row r="181" spans="1:5" x14ac:dyDescent="0.2">
      <c r="A181" s="4">
        <v>1180</v>
      </c>
      <c r="B181" s="4">
        <v>37</v>
      </c>
      <c r="C181" s="4" t="s">
        <v>8</v>
      </c>
      <c r="D181" s="4" t="s">
        <v>6</v>
      </c>
      <c r="E181" s="5">
        <v>45415</v>
      </c>
    </row>
    <row r="182" spans="1:5" x14ac:dyDescent="0.2">
      <c r="A182" s="4">
        <v>1181</v>
      </c>
      <c r="B182" s="4">
        <v>30</v>
      </c>
      <c r="C182" s="4" t="s">
        <v>8</v>
      </c>
      <c r="D182" s="4" t="s">
        <v>6</v>
      </c>
      <c r="E182" s="5">
        <v>45840</v>
      </c>
    </row>
    <row r="183" spans="1:5" x14ac:dyDescent="0.2">
      <c r="A183" s="4">
        <v>1182</v>
      </c>
      <c r="B183" s="4">
        <v>29</v>
      </c>
      <c r="C183" s="4" t="s">
        <v>5</v>
      </c>
      <c r="D183" s="4" t="s">
        <v>6</v>
      </c>
      <c r="E183" s="5">
        <v>45787</v>
      </c>
    </row>
    <row r="184" spans="1:5" x14ac:dyDescent="0.2">
      <c r="A184" s="4">
        <v>1183</v>
      </c>
      <c r="B184" s="4">
        <v>35</v>
      </c>
      <c r="C184" s="4" t="s">
        <v>8</v>
      </c>
      <c r="D184" s="4" t="s">
        <v>6</v>
      </c>
      <c r="E184" s="5">
        <v>45490</v>
      </c>
    </row>
    <row r="185" spans="1:5" x14ac:dyDescent="0.2">
      <c r="A185" s="4">
        <v>1184</v>
      </c>
      <c r="B185" s="4">
        <v>36</v>
      </c>
      <c r="C185" s="4" t="s">
        <v>5</v>
      </c>
      <c r="D185" s="4" t="s">
        <v>7</v>
      </c>
      <c r="E185" s="5">
        <v>45475</v>
      </c>
    </row>
    <row r="186" spans="1:5" x14ac:dyDescent="0.2">
      <c r="A186" s="4">
        <v>1185</v>
      </c>
      <c r="B186" s="4">
        <v>37</v>
      </c>
      <c r="C186" s="4" t="s">
        <v>5</v>
      </c>
      <c r="D186" s="4" t="s">
        <v>6</v>
      </c>
      <c r="E186" s="5">
        <v>45572</v>
      </c>
    </row>
    <row r="187" spans="1:5" x14ac:dyDescent="0.2">
      <c r="A187" s="4">
        <v>1186</v>
      </c>
      <c r="B187" s="4">
        <v>20</v>
      </c>
      <c r="C187" s="4" t="s">
        <v>5</v>
      </c>
      <c r="D187" s="4" t="s">
        <v>7</v>
      </c>
      <c r="E187" s="5">
        <v>45421</v>
      </c>
    </row>
    <row r="188" spans="1:5" x14ac:dyDescent="0.2">
      <c r="A188" s="4">
        <v>1187</v>
      </c>
      <c r="B188" s="4">
        <v>58</v>
      </c>
      <c r="C188" s="4" t="s">
        <v>8</v>
      </c>
      <c r="D188" s="4" t="s">
        <v>6</v>
      </c>
      <c r="E188" s="5">
        <v>45304</v>
      </c>
    </row>
    <row r="189" spans="1:5" x14ac:dyDescent="0.2">
      <c r="A189" s="4">
        <v>1188</v>
      </c>
      <c r="B189" s="4">
        <v>54</v>
      </c>
      <c r="C189" s="4" t="s">
        <v>8</v>
      </c>
      <c r="D189" s="4" t="s">
        <v>7</v>
      </c>
      <c r="E189" s="5">
        <v>45782</v>
      </c>
    </row>
    <row r="190" spans="1:5" x14ac:dyDescent="0.2">
      <c r="A190" s="4">
        <v>1189</v>
      </c>
      <c r="B190" s="4">
        <v>46</v>
      </c>
      <c r="C190" s="4" t="s">
        <v>8</v>
      </c>
      <c r="D190" s="4" t="s">
        <v>6</v>
      </c>
      <c r="E190" s="5">
        <v>45344</v>
      </c>
    </row>
    <row r="191" spans="1:5" x14ac:dyDescent="0.2">
      <c r="A191" s="4">
        <v>1190</v>
      </c>
      <c r="B191" s="4">
        <v>34</v>
      </c>
      <c r="C191" s="4" t="s">
        <v>8</v>
      </c>
      <c r="D191" s="4" t="s">
        <v>6</v>
      </c>
      <c r="E191" s="5">
        <v>45358</v>
      </c>
    </row>
    <row r="192" spans="1:5" x14ac:dyDescent="0.2">
      <c r="A192" s="4">
        <v>1191</v>
      </c>
      <c r="B192" s="4">
        <v>43</v>
      </c>
      <c r="C192" s="4" t="s">
        <v>8</v>
      </c>
      <c r="D192" s="4" t="s">
        <v>6</v>
      </c>
      <c r="E192" s="5">
        <v>45882</v>
      </c>
    </row>
    <row r="193" spans="1:5" x14ac:dyDescent="0.2">
      <c r="A193" s="4">
        <v>1192</v>
      </c>
      <c r="B193" s="4">
        <v>58</v>
      </c>
      <c r="C193" s="4" t="s">
        <v>5</v>
      </c>
      <c r="D193" s="4" t="s">
        <v>6</v>
      </c>
      <c r="E193" s="5">
        <v>45444</v>
      </c>
    </row>
    <row r="194" spans="1:5" x14ac:dyDescent="0.2">
      <c r="A194" s="4">
        <v>1193</v>
      </c>
      <c r="B194" s="4">
        <v>54</v>
      </c>
      <c r="C194" s="4" t="s">
        <v>8</v>
      </c>
      <c r="D194" s="4" t="s">
        <v>6</v>
      </c>
      <c r="E194" s="5">
        <v>45546</v>
      </c>
    </row>
    <row r="195" spans="1:5" x14ac:dyDescent="0.2">
      <c r="A195" s="4">
        <v>1194</v>
      </c>
      <c r="B195" s="4">
        <v>25</v>
      </c>
      <c r="C195" s="4" t="s">
        <v>8</v>
      </c>
      <c r="D195" s="4" t="s">
        <v>6</v>
      </c>
      <c r="E195" s="5">
        <v>45827</v>
      </c>
    </row>
    <row r="196" spans="1:5" x14ac:dyDescent="0.2">
      <c r="A196" s="4">
        <v>1195</v>
      </c>
      <c r="B196" s="4">
        <v>42</v>
      </c>
      <c r="C196" s="4" t="s">
        <v>8</v>
      </c>
      <c r="D196" s="4" t="s">
        <v>7</v>
      </c>
      <c r="E196" s="5">
        <v>45596</v>
      </c>
    </row>
    <row r="197" spans="1:5" x14ac:dyDescent="0.2">
      <c r="A197" s="4">
        <v>1196</v>
      </c>
      <c r="B197" s="4">
        <v>55</v>
      </c>
      <c r="C197" s="4" t="s">
        <v>8</v>
      </c>
      <c r="D197" s="4" t="s">
        <v>7</v>
      </c>
      <c r="E197" s="5">
        <v>45874</v>
      </c>
    </row>
    <row r="198" spans="1:5" x14ac:dyDescent="0.2">
      <c r="A198" s="4">
        <v>1197</v>
      </c>
      <c r="B198" s="4">
        <v>57</v>
      </c>
      <c r="C198" s="4" t="s">
        <v>5</v>
      </c>
      <c r="D198" s="4" t="s">
        <v>6</v>
      </c>
      <c r="E198" s="5">
        <v>45504</v>
      </c>
    </row>
    <row r="199" spans="1:5" x14ac:dyDescent="0.2">
      <c r="A199" s="4">
        <v>1198</v>
      </c>
      <c r="B199" s="4">
        <v>58</v>
      </c>
      <c r="C199" s="4" t="s">
        <v>5</v>
      </c>
      <c r="D199" s="4" t="s">
        <v>7</v>
      </c>
      <c r="E199" s="5">
        <v>45968</v>
      </c>
    </row>
    <row r="200" spans="1:5" x14ac:dyDescent="0.2">
      <c r="A200" s="4">
        <v>1199</v>
      </c>
      <c r="B200" s="4">
        <v>23</v>
      </c>
      <c r="C200" s="4" t="s">
        <v>5</v>
      </c>
      <c r="D200" s="4" t="s">
        <v>6</v>
      </c>
      <c r="E200" s="5">
        <v>45469</v>
      </c>
    </row>
    <row r="201" spans="1:5" x14ac:dyDescent="0.2">
      <c r="A201" s="4">
        <v>1200</v>
      </c>
      <c r="B201" s="4">
        <v>53</v>
      </c>
      <c r="C201" s="4" t="s">
        <v>5</v>
      </c>
      <c r="D201" s="4" t="s">
        <v>6</v>
      </c>
      <c r="E201" s="5">
        <v>45294</v>
      </c>
    </row>
    <row r="202" spans="1:5" x14ac:dyDescent="0.2">
      <c r="A202" s="4">
        <v>1201</v>
      </c>
      <c r="B202" s="4">
        <v>44</v>
      </c>
      <c r="C202" s="4" t="s">
        <v>8</v>
      </c>
      <c r="D202" s="4" t="s">
        <v>7</v>
      </c>
      <c r="E202" s="5">
        <v>45590</v>
      </c>
    </row>
    <row r="203" spans="1:5" x14ac:dyDescent="0.2">
      <c r="A203" s="4">
        <v>1202</v>
      </c>
      <c r="B203" s="4">
        <v>20</v>
      </c>
      <c r="C203" s="4" t="s">
        <v>5</v>
      </c>
      <c r="D203" s="4" t="s">
        <v>7</v>
      </c>
      <c r="E203" s="5">
        <v>45581</v>
      </c>
    </row>
    <row r="204" spans="1:5" x14ac:dyDescent="0.2">
      <c r="A204" s="4">
        <v>1203</v>
      </c>
      <c r="B204" s="4">
        <v>47</v>
      </c>
      <c r="C204" s="4" t="s">
        <v>5</v>
      </c>
      <c r="D204" s="4" t="s">
        <v>6</v>
      </c>
      <c r="E204" s="5">
        <v>45562</v>
      </c>
    </row>
    <row r="205" spans="1:5" x14ac:dyDescent="0.2">
      <c r="A205" s="4">
        <v>1204</v>
      </c>
      <c r="B205" s="4">
        <v>58</v>
      </c>
      <c r="C205" s="4" t="s">
        <v>5</v>
      </c>
      <c r="D205" s="4" t="s">
        <v>7</v>
      </c>
      <c r="E205" s="5">
        <v>45409</v>
      </c>
    </row>
    <row r="206" spans="1:5" x14ac:dyDescent="0.2">
      <c r="A206" s="4">
        <v>1205</v>
      </c>
      <c r="B206" s="4">
        <v>52</v>
      </c>
      <c r="C206" s="4" t="s">
        <v>5</v>
      </c>
      <c r="D206" s="4" t="s">
        <v>6</v>
      </c>
      <c r="E206" s="5">
        <v>45564</v>
      </c>
    </row>
    <row r="207" spans="1:5" x14ac:dyDescent="0.2">
      <c r="A207" s="4">
        <v>1206</v>
      </c>
      <c r="B207" s="4">
        <v>27</v>
      </c>
      <c r="C207" s="4" t="s">
        <v>5</v>
      </c>
      <c r="D207" s="4" t="s">
        <v>6</v>
      </c>
      <c r="E207" s="5">
        <v>45461</v>
      </c>
    </row>
    <row r="208" spans="1:5" x14ac:dyDescent="0.2">
      <c r="A208" s="4">
        <v>1207</v>
      </c>
      <c r="B208" s="4">
        <v>37</v>
      </c>
      <c r="C208" s="4" t="s">
        <v>8</v>
      </c>
      <c r="D208" s="4" t="s">
        <v>7</v>
      </c>
      <c r="E208" s="5">
        <v>45419</v>
      </c>
    </row>
    <row r="209" spans="1:5" x14ac:dyDescent="0.2">
      <c r="A209" s="4">
        <v>1208</v>
      </c>
      <c r="B209" s="4">
        <v>47</v>
      </c>
      <c r="C209" s="4" t="s">
        <v>8</v>
      </c>
      <c r="D209" s="4" t="s">
        <v>7</v>
      </c>
      <c r="E209" s="5">
        <v>45570</v>
      </c>
    </row>
    <row r="210" spans="1:5" x14ac:dyDescent="0.2">
      <c r="A210" s="4">
        <v>1209</v>
      </c>
      <c r="B210" s="4">
        <v>50</v>
      </c>
      <c r="C210" s="4" t="s">
        <v>8</v>
      </c>
      <c r="D210" s="4" t="s">
        <v>7</v>
      </c>
      <c r="E210" s="5">
        <v>45374</v>
      </c>
    </row>
    <row r="211" spans="1:5" x14ac:dyDescent="0.2">
      <c r="A211" s="4">
        <v>1210</v>
      </c>
      <c r="B211" s="4">
        <v>56</v>
      </c>
      <c r="C211" s="4" t="s">
        <v>5</v>
      </c>
      <c r="D211" s="4" t="s">
        <v>7</v>
      </c>
      <c r="E211" s="5">
        <v>45622</v>
      </c>
    </row>
    <row r="212" spans="1:5" x14ac:dyDescent="0.2">
      <c r="A212" s="4">
        <v>1211</v>
      </c>
      <c r="B212" s="4">
        <v>56</v>
      </c>
      <c r="C212" s="4" t="s">
        <v>8</v>
      </c>
      <c r="D212" s="4" t="s">
        <v>6</v>
      </c>
      <c r="E212" s="5">
        <v>45385</v>
      </c>
    </row>
    <row r="213" spans="1:5" x14ac:dyDescent="0.2">
      <c r="A213" s="4">
        <v>1212</v>
      </c>
      <c r="B213" s="4">
        <v>32</v>
      </c>
      <c r="C213" s="4" t="s">
        <v>5</v>
      </c>
      <c r="D213" s="4" t="s">
        <v>7</v>
      </c>
      <c r="E213" s="5">
        <v>45882</v>
      </c>
    </row>
    <row r="214" spans="1:5" x14ac:dyDescent="0.2">
      <c r="A214" s="4">
        <v>1213</v>
      </c>
      <c r="B214" s="4">
        <v>20</v>
      </c>
      <c r="C214" s="4" t="s">
        <v>5</v>
      </c>
      <c r="D214" s="4" t="s">
        <v>7</v>
      </c>
      <c r="E214" s="5">
        <v>45823</v>
      </c>
    </row>
    <row r="215" spans="1:5" x14ac:dyDescent="0.2">
      <c r="A215" s="4">
        <v>1214</v>
      </c>
      <c r="B215" s="4">
        <v>59</v>
      </c>
      <c r="C215" s="4" t="s">
        <v>8</v>
      </c>
      <c r="D215" s="4" t="s">
        <v>7</v>
      </c>
      <c r="E215" s="5">
        <v>45477</v>
      </c>
    </row>
    <row r="216" spans="1:5" x14ac:dyDescent="0.2">
      <c r="A216" s="4">
        <v>1215</v>
      </c>
      <c r="B216" s="4">
        <v>55</v>
      </c>
      <c r="C216" s="4" t="s">
        <v>8</v>
      </c>
      <c r="D216" s="4" t="s">
        <v>7</v>
      </c>
      <c r="E216" s="5">
        <v>45385</v>
      </c>
    </row>
    <row r="217" spans="1:5" x14ac:dyDescent="0.2">
      <c r="A217" s="4">
        <v>1216</v>
      </c>
      <c r="B217" s="4">
        <v>48</v>
      </c>
      <c r="C217" s="4" t="s">
        <v>8</v>
      </c>
      <c r="D217" s="4" t="s">
        <v>7</v>
      </c>
      <c r="E217" s="5">
        <v>45633</v>
      </c>
    </row>
    <row r="218" spans="1:5" x14ac:dyDescent="0.2">
      <c r="A218" s="4">
        <v>1217</v>
      </c>
      <c r="B218" s="4">
        <v>38</v>
      </c>
      <c r="C218" s="4" t="s">
        <v>5</v>
      </c>
      <c r="D218" s="4" t="s">
        <v>6</v>
      </c>
      <c r="E218" s="5">
        <v>45629</v>
      </c>
    </row>
    <row r="219" spans="1:5" x14ac:dyDescent="0.2">
      <c r="A219" s="4">
        <v>1218</v>
      </c>
      <c r="B219" s="4">
        <v>44</v>
      </c>
      <c r="C219" s="4" t="s">
        <v>8</v>
      </c>
      <c r="D219" s="4" t="s">
        <v>7</v>
      </c>
      <c r="E219" s="5">
        <v>45970</v>
      </c>
    </row>
    <row r="220" spans="1:5" x14ac:dyDescent="0.2">
      <c r="A220" s="4">
        <v>1219</v>
      </c>
      <c r="B220" s="4">
        <v>43</v>
      </c>
      <c r="C220" s="4" t="s">
        <v>5</v>
      </c>
      <c r="D220" s="4" t="s">
        <v>7</v>
      </c>
      <c r="E220" s="5">
        <v>45382</v>
      </c>
    </row>
    <row r="221" spans="1:5" x14ac:dyDescent="0.2">
      <c r="A221" s="4">
        <v>1220</v>
      </c>
      <c r="B221" s="4">
        <v>38</v>
      </c>
      <c r="C221" s="4" t="s">
        <v>8</v>
      </c>
      <c r="D221" s="4" t="s">
        <v>7</v>
      </c>
      <c r="E221" s="5">
        <v>45410</v>
      </c>
    </row>
    <row r="222" spans="1:5" x14ac:dyDescent="0.2">
      <c r="A222" s="4">
        <v>1221</v>
      </c>
      <c r="B222" s="4">
        <v>43</v>
      </c>
      <c r="C222" s="4" t="s">
        <v>5</v>
      </c>
      <c r="D222" s="4" t="s">
        <v>7</v>
      </c>
      <c r="E222" s="5">
        <v>45715</v>
      </c>
    </row>
    <row r="223" spans="1:5" x14ac:dyDescent="0.2">
      <c r="A223" s="4">
        <v>1222</v>
      </c>
      <c r="B223" s="4">
        <v>21</v>
      </c>
      <c r="C223" s="4" t="s">
        <v>5</v>
      </c>
      <c r="D223" s="4" t="s">
        <v>7</v>
      </c>
      <c r="E223" s="5">
        <v>45929</v>
      </c>
    </row>
    <row r="224" spans="1:5" x14ac:dyDescent="0.2">
      <c r="A224" s="4">
        <v>1223</v>
      </c>
      <c r="B224" s="4">
        <v>49</v>
      </c>
      <c r="C224" s="4" t="s">
        <v>8</v>
      </c>
      <c r="D224" s="4" t="s">
        <v>6</v>
      </c>
      <c r="E224" s="5">
        <v>45500</v>
      </c>
    </row>
    <row r="225" spans="1:5" x14ac:dyDescent="0.2">
      <c r="A225" s="4">
        <v>1224</v>
      </c>
      <c r="B225" s="4">
        <v>35</v>
      </c>
      <c r="C225" s="4" t="s">
        <v>5</v>
      </c>
      <c r="D225" s="4" t="s">
        <v>7</v>
      </c>
      <c r="E225" s="5">
        <v>45740</v>
      </c>
    </row>
    <row r="226" spans="1:5" x14ac:dyDescent="0.2">
      <c r="A226" s="4">
        <v>1225</v>
      </c>
      <c r="B226" s="4">
        <v>49</v>
      </c>
      <c r="C226" s="4" t="s">
        <v>5</v>
      </c>
      <c r="D226" s="4" t="s">
        <v>6</v>
      </c>
      <c r="E226" s="5">
        <v>45937</v>
      </c>
    </row>
    <row r="227" spans="1:5" x14ac:dyDescent="0.2">
      <c r="A227" s="4">
        <v>1226</v>
      </c>
      <c r="B227" s="4">
        <v>56</v>
      </c>
      <c r="C227" s="4" t="s">
        <v>5</v>
      </c>
      <c r="D227" s="4" t="s">
        <v>6</v>
      </c>
      <c r="E227" s="5">
        <v>45610</v>
      </c>
    </row>
    <row r="228" spans="1:5" x14ac:dyDescent="0.2">
      <c r="A228" s="4">
        <v>1227</v>
      </c>
      <c r="B228" s="4">
        <v>53</v>
      </c>
      <c r="C228" s="4" t="s">
        <v>5</v>
      </c>
      <c r="D228" s="4" t="s">
        <v>7</v>
      </c>
      <c r="E228" s="5">
        <v>45387</v>
      </c>
    </row>
    <row r="229" spans="1:5" x14ac:dyDescent="0.2">
      <c r="A229" s="4">
        <v>1228</v>
      </c>
      <c r="B229" s="4">
        <v>32</v>
      </c>
      <c r="C229" s="4" t="s">
        <v>5</v>
      </c>
      <c r="D229" s="4" t="s">
        <v>7</v>
      </c>
      <c r="E229" s="5">
        <v>45412</v>
      </c>
    </row>
    <row r="230" spans="1:5" x14ac:dyDescent="0.2">
      <c r="A230" s="4">
        <v>1229</v>
      </c>
      <c r="B230" s="4">
        <v>59</v>
      </c>
      <c r="C230" s="4" t="s">
        <v>5</v>
      </c>
      <c r="D230" s="4" t="s">
        <v>7</v>
      </c>
      <c r="E230" s="5">
        <v>45590</v>
      </c>
    </row>
    <row r="231" spans="1:5" x14ac:dyDescent="0.2">
      <c r="A231" s="4">
        <v>1230</v>
      </c>
      <c r="B231" s="4">
        <v>50</v>
      </c>
      <c r="C231" s="4" t="s">
        <v>8</v>
      </c>
      <c r="D231" s="4" t="s">
        <v>7</v>
      </c>
      <c r="E231" s="5">
        <v>45786</v>
      </c>
    </row>
    <row r="232" spans="1:5" x14ac:dyDescent="0.2">
      <c r="A232" s="4">
        <v>1231</v>
      </c>
      <c r="B232" s="4">
        <v>48</v>
      </c>
      <c r="C232" s="4" t="s">
        <v>5</v>
      </c>
      <c r="D232" s="4" t="s">
        <v>7</v>
      </c>
      <c r="E232" s="5">
        <v>45856</v>
      </c>
    </row>
    <row r="233" spans="1:5" x14ac:dyDescent="0.2">
      <c r="A233" s="4">
        <v>1232</v>
      </c>
      <c r="B233" s="4">
        <v>27</v>
      </c>
      <c r="C233" s="4" t="s">
        <v>8</v>
      </c>
      <c r="D233" s="4" t="s">
        <v>6</v>
      </c>
      <c r="E233" s="5">
        <v>45905</v>
      </c>
    </row>
    <row r="234" spans="1:5" x14ac:dyDescent="0.2">
      <c r="A234" s="4">
        <v>1233</v>
      </c>
      <c r="B234" s="4">
        <v>50</v>
      </c>
      <c r="C234" s="4" t="s">
        <v>5</v>
      </c>
      <c r="D234" s="4" t="s">
        <v>6</v>
      </c>
      <c r="E234" s="5">
        <v>45574</v>
      </c>
    </row>
    <row r="235" spans="1:5" x14ac:dyDescent="0.2">
      <c r="A235" s="4">
        <v>1234</v>
      </c>
      <c r="B235" s="4">
        <v>44</v>
      </c>
      <c r="C235" s="4" t="s">
        <v>8</v>
      </c>
      <c r="D235" s="4" t="s">
        <v>7</v>
      </c>
      <c r="E235" s="5">
        <v>45294</v>
      </c>
    </row>
    <row r="236" spans="1:5" x14ac:dyDescent="0.2">
      <c r="A236" s="4">
        <v>1235</v>
      </c>
      <c r="B236" s="4">
        <v>36</v>
      </c>
      <c r="C236" s="4" t="s">
        <v>8</v>
      </c>
      <c r="D236" s="4" t="s">
        <v>7</v>
      </c>
      <c r="E236" s="5">
        <v>45444</v>
      </c>
    </row>
    <row r="237" spans="1:5" x14ac:dyDescent="0.2">
      <c r="A237" s="4">
        <v>1236</v>
      </c>
      <c r="B237" s="4">
        <v>46</v>
      </c>
      <c r="C237" s="4" t="s">
        <v>8</v>
      </c>
      <c r="D237" s="4" t="s">
        <v>7</v>
      </c>
      <c r="E237" s="5">
        <v>45632</v>
      </c>
    </row>
    <row r="238" spans="1:5" x14ac:dyDescent="0.2">
      <c r="A238" s="4">
        <v>1237</v>
      </c>
      <c r="B238" s="4">
        <v>53</v>
      </c>
      <c r="C238" s="4" t="s">
        <v>8</v>
      </c>
      <c r="D238" s="4" t="s">
        <v>7</v>
      </c>
      <c r="E238" s="5">
        <v>45621</v>
      </c>
    </row>
    <row r="239" spans="1:5" x14ac:dyDescent="0.2">
      <c r="A239" s="4">
        <v>1238</v>
      </c>
      <c r="B239" s="4">
        <v>30</v>
      </c>
      <c r="C239" s="4" t="s">
        <v>5</v>
      </c>
      <c r="D239" s="4" t="s">
        <v>7</v>
      </c>
      <c r="E239" s="5">
        <v>45531</v>
      </c>
    </row>
    <row r="240" spans="1:5" x14ac:dyDescent="0.2">
      <c r="A240" s="4">
        <v>1239</v>
      </c>
      <c r="B240" s="4">
        <v>44</v>
      </c>
      <c r="C240" s="4" t="s">
        <v>5</v>
      </c>
      <c r="D240" s="4" t="s">
        <v>7</v>
      </c>
      <c r="E240" s="5">
        <v>45776</v>
      </c>
    </row>
    <row r="241" spans="1:5" x14ac:dyDescent="0.2">
      <c r="A241" s="4">
        <v>1240</v>
      </c>
      <c r="B241" s="4">
        <v>42</v>
      </c>
      <c r="C241" s="4" t="s">
        <v>8</v>
      </c>
      <c r="D241" s="4" t="s">
        <v>6</v>
      </c>
      <c r="E241" s="5">
        <v>45799</v>
      </c>
    </row>
    <row r="242" spans="1:5" x14ac:dyDescent="0.2">
      <c r="A242" s="4">
        <v>1241</v>
      </c>
      <c r="B242" s="4">
        <v>20</v>
      </c>
      <c r="C242" s="4" t="s">
        <v>5</v>
      </c>
      <c r="D242" s="4" t="s">
        <v>7</v>
      </c>
      <c r="E242" s="5">
        <v>45394</v>
      </c>
    </row>
    <row r="243" spans="1:5" x14ac:dyDescent="0.2">
      <c r="A243" s="4">
        <v>1242</v>
      </c>
      <c r="B243" s="4">
        <v>46</v>
      </c>
      <c r="C243" s="4" t="s">
        <v>5</v>
      </c>
      <c r="D243" s="4" t="s">
        <v>7</v>
      </c>
      <c r="E243" s="5">
        <v>45307</v>
      </c>
    </row>
    <row r="244" spans="1:5" x14ac:dyDescent="0.2">
      <c r="A244" s="4">
        <v>1243</v>
      </c>
      <c r="B244" s="4">
        <v>27</v>
      </c>
      <c r="C244" s="4" t="s">
        <v>8</v>
      </c>
      <c r="D244" s="4" t="s">
        <v>6</v>
      </c>
      <c r="E244" s="5">
        <v>45368</v>
      </c>
    </row>
    <row r="245" spans="1:5" x14ac:dyDescent="0.2">
      <c r="A245" s="4">
        <v>1244</v>
      </c>
      <c r="B245" s="4">
        <v>48</v>
      </c>
      <c r="C245" s="4" t="s">
        <v>8</v>
      </c>
      <c r="D245" s="4" t="s">
        <v>7</v>
      </c>
      <c r="E245" s="5">
        <v>45930</v>
      </c>
    </row>
    <row r="246" spans="1:5" x14ac:dyDescent="0.2">
      <c r="A246" s="4">
        <v>1245</v>
      </c>
      <c r="B246" s="4">
        <v>43</v>
      </c>
      <c r="C246" s="4" t="s">
        <v>5</v>
      </c>
      <c r="D246" s="4" t="s">
        <v>7</v>
      </c>
      <c r="E246" s="5">
        <v>45982</v>
      </c>
    </row>
    <row r="247" spans="1:5" x14ac:dyDescent="0.2">
      <c r="A247" s="4">
        <v>1246</v>
      </c>
      <c r="B247" s="4">
        <v>52</v>
      </c>
      <c r="C247" s="4" t="s">
        <v>8</v>
      </c>
      <c r="D247" s="4" t="s">
        <v>7</v>
      </c>
      <c r="E247" s="5">
        <v>45933</v>
      </c>
    </row>
    <row r="248" spans="1:5" x14ac:dyDescent="0.2">
      <c r="A248" s="4">
        <v>1247</v>
      </c>
      <c r="B248" s="4">
        <v>49</v>
      </c>
      <c r="C248" s="4" t="s">
        <v>5</v>
      </c>
      <c r="D248" s="4" t="s">
        <v>6</v>
      </c>
      <c r="E248" s="5">
        <v>45532</v>
      </c>
    </row>
    <row r="249" spans="1:5" x14ac:dyDescent="0.2">
      <c r="A249" s="4">
        <v>1248</v>
      </c>
      <c r="B249" s="4">
        <v>58</v>
      </c>
      <c r="C249" s="4" t="s">
        <v>8</v>
      </c>
      <c r="D249" s="4" t="s">
        <v>6</v>
      </c>
      <c r="E249" s="5">
        <v>45384</v>
      </c>
    </row>
    <row r="250" spans="1:5" x14ac:dyDescent="0.2">
      <c r="A250" s="4">
        <v>1249</v>
      </c>
      <c r="B250" s="4">
        <v>45</v>
      </c>
      <c r="C250" s="4" t="s">
        <v>5</v>
      </c>
      <c r="D250" s="4" t="s">
        <v>6</v>
      </c>
      <c r="E250" s="5">
        <v>45746</v>
      </c>
    </row>
    <row r="251" spans="1:5" x14ac:dyDescent="0.2">
      <c r="A251" s="4">
        <v>1250</v>
      </c>
      <c r="B251" s="4">
        <v>28</v>
      </c>
      <c r="C251" s="4" t="s">
        <v>8</v>
      </c>
      <c r="D251" s="4" t="s">
        <v>6</v>
      </c>
      <c r="E251" s="5">
        <v>45339</v>
      </c>
    </row>
    <row r="252" spans="1:5" x14ac:dyDescent="0.2">
      <c r="A252" s="4">
        <v>1251</v>
      </c>
      <c r="B252" s="4">
        <v>38</v>
      </c>
      <c r="C252" s="4" t="s">
        <v>5</v>
      </c>
      <c r="D252" s="4" t="s">
        <v>7</v>
      </c>
      <c r="E252" s="5">
        <v>45659</v>
      </c>
    </row>
    <row r="253" spans="1:5" x14ac:dyDescent="0.2">
      <c r="A253" s="4">
        <v>1252</v>
      </c>
      <c r="B253" s="4">
        <v>41</v>
      </c>
      <c r="C253" s="4" t="s">
        <v>8</v>
      </c>
      <c r="D253" s="4" t="s">
        <v>6</v>
      </c>
      <c r="E253" s="5">
        <v>45542</v>
      </c>
    </row>
    <row r="254" spans="1:5" x14ac:dyDescent="0.2">
      <c r="A254" s="4">
        <v>1253</v>
      </c>
      <c r="B254" s="4">
        <v>51</v>
      </c>
      <c r="C254" s="4" t="s">
        <v>8</v>
      </c>
      <c r="D254" s="4" t="s">
        <v>6</v>
      </c>
      <c r="E254" s="5">
        <v>45466</v>
      </c>
    </row>
    <row r="255" spans="1:5" x14ac:dyDescent="0.2">
      <c r="A255" s="4">
        <v>1254</v>
      </c>
      <c r="B255" s="4">
        <v>29</v>
      </c>
      <c r="C255" s="4" t="s">
        <v>5</v>
      </c>
      <c r="D255" s="4" t="s">
        <v>7</v>
      </c>
      <c r="E255" s="5">
        <v>45926</v>
      </c>
    </row>
    <row r="256" spans="1:5" x14ac:dyDescent="0.2">
      <c r="A256" s="4">
        <v>1255</v>
      </c>
      <c r="B256" s="4">
        <v>33</v>
      </c>
      <c r="C256" s="4" t="s">
        <v>8</v>
      </c>
      <c r="D256" s="4" t="s">
        <v>6</v>
      </c>
      <c r="E256" s="5">
        <v>45529</v>
      </c>
    </row>
    <row r="257" spans="1:5" x14ac:dyDescent="0.2">
      <c r="A257" s="4">
        <v>1256</v>
      </c>
      <c r="B257" s="4">
        <v>47</v>
      </c>
      <c r="C257" s="4" t="s">
        <v>8</v>
      </c>
      <c r="D257" s="4" t="s">
        <v>7</v>
      </c>
      <c r="E257" s="5">
        <v>45553</v>
      </c>
    </row>
    <row r="258" spans="1:5" x14ac:dyDescent="0.2">
      <c r="A258" s="4">
        <v>1257</v>
      </c>
      <c r="B258" s="4">
        <v>60</v>
      </c>
      <c r="C258" s="4" t="s">
        <v>5</v>
      </c>
      <c r="D258" s="4" t="s">
        <v>7</v>
      </c>
      <c r="E258" s="5">
        <v>45586</v>
      </c>
    </row>
    <row r="259" spans="1:5" x14ac:dyDescent="0.2">
      <c r="A259" s="4">
        <v>1258</v>
      </c>
      <c r="B259" s="4">
        <v>52</v>
      </c>
      <c r="C259" s="4" t="s">
        <v>5</v>
      </c>
      <c r="D259" s="4" t="s">
        <v>6</v>
      </c>
      <c r="E259" s="5">
        <v>45744</v>
      </c>
    </row>
    <row r="260" spans="1:5" x14ac:dyDescent="0.2">
      <c r="A260" s="4">
        <v>1259</v>
      </c>
      <c r="B260" s="4">
        <v>40</v>
      </c>
      <c r="C260" s="4" t="s">
        <v>8</v>
      </c>
      <c r="D260" s="4" t="s">
        <v>7</v>
      </c>
      <c r="E260" s="5">
        <v>45548</v>
      </c>
    </row>
    <row r="261" spans="1:5" x14ac:dyDescent="0.2">
      <c r="A261" s="4">
        <v>1260</v>
      </c>
      <c r="B261" s="4">
        <v>47</v>
      </c>
      <c r="C261" s="4" t="s">
        <v>8</v>
      </c>
      <c r="D261" s="4" t="s">
        <v>6</v>
      </c>
      <c r="E261" s="5">
        <v>45685</v>
      </c>
    </row>
    <row r="262" spans="1:5" x14ac:dyDescent="0.2">
      <c r="A262" s="4">
        <v>1261</v>
      </c>
      <c r="B262" s="4">
        <v>48</v>
      </c>
      <c r="C262" s="4" t="s">
        <v>5</v>
      </c>
      <c r="D262" s="4" t="s">
        <v>6</v>
      </c>
      <c r="E262" s="5">
        <v>45682</v>
      </c>
    </row>
    <row r="263" spans="1:5" x14ac:dyDescent="0.2">
      <c r="A263" s="4">
        <v>1262</v>
      </c>
      <c r="B263" s="4">
        <v>54</v>
      </c>
      <c r="C263" s="4" t="s">
        <v>8</v>
      </c>
      <c r="D263" s="4" t="s">
        <v>7</v>
      </c>
      <c r="E263" s="5">
        <v>45594</v>
      </c>
    </row>
    <row r="264" spans="1:5" x14ac:dyDescent="0.2">
      <c r="A264" s="4">
        <v>1263</v>
      </c>
      <c r="B264" s="4">
        <v>19</v>
      </c>
      <c r="C264" s="4" t="s">
        <v>8</v>
      </c>
      <c r="D264" s="4" t="s">
        <v>7</v>
      </c>
      <c r="E264" s="5">
        <v>45300</v>
      </c>
    </row>
    <row r="265" spans="1:5" x14ac:dyDescent="0.2">
      <c r="A265" s="4">
        <v>1264</v>
      </c>
      <c r="B265" s="4">
        <v>54</v>
      </c>
      <c r="C265" s="4" t="s">
        <v>5</v>
      </c>
      <c r="D265" s="4" t="s">
        <v>7</v>
      </c>
      <c r="E265" s="5">
        <v>45585</v>
      </c>
    </row>
    <row r="266" spans="1:5" x14ac:dyDescent="0.2">
      <c r="A266" s="4">
        <v>1265</v>
      </c>
      <c r="B266" s="4">
        <v>32</v>
      </c>
      <c r="C266" s="4" t="s">
        <v>8</v>
      </c>
      <c r="D266" s="4" t="s">
        <v>6</v>
      </c>
      <c r="E266" s="5">
        <v>45943</v>
      </c>
    </row>
    <row r="267" spans="1:5" x14ac:dyDescent="0.2">
      <c r="A267" s="4">
        <v>1266</v>
      </c>
      <c r="B267" s="4">
        <v>30</v>
      </c>
      <c r="C267" s="4" t="s">
        <v>8</v>
      </c>
      <c r="D267" s="4" t="s">
        <v>6</v>
      </c>
      <c r="E267" s="5">
        <v>45935</v>
      </c>
    </row>
    <row r="268" spans="1:5" x14ac:dyDescent="0.2">
      <c r="A268" s="4">
        <v>1267</v>
      </c>
      <c r="B268" s="4">
        <v>24</v>
      </c>
      <c r="C268" s="4" t="s">
        <v>5</v>
      </c>
      <c r="D268" s="4" t="s">
        <v>7</v>
      </c>
      <c r="E268" s="5">
        <v>45743</v>
      </c>
    </row>
    <row r="269" spans="1:5" x14ac:dyDescent="0.2">
      <c r="A269" s="4">
        <v>1268</v>
      </c>
      <c r="B269" s="4">
        <v>20</v>
      </c>
      <c r="C269" s="4" t="s">
        <v>8</v>
      </c>
      <c r="D269" s="4" t="s">
        <v>6</v>
      </c>
      <c r="E269" s="5">
        <v>45384</v>
      </c>
    </row>
    <row r="270" spans="1:5" x14ac:dyDescent="0.2">
      <c r="A270" s="4">
        <v>1269</v>
      </c>
      <c r="B270" s="4">
        <v>36</v>
      </c>
      <c r="C270" s="4" t="s">
        <v>8</v>
      </c>
      <c r="D270" s="4" t="s">
        <v>7</v>
      </c>
      <c r="E270" s="5">
        <v>45471</v>
      </c>
    </row>
    <row r="271" spans="1:5" x14ac:dyDescent="0.2">
      <c r="A271" s="4">
        <v>1270</v>
      </c>
      <c r="B271" s="4">
        <v>30</v>
      </c>
      <c r="C271" s="4" t="s">
        <v>5</v>
      </c>
      <c r="D271" s="4" t="s">
        <v>7</v>
      </c>
      <c r="E271" s="5">
        <v>45835</v>
      </c>
    </row>
    <row r="272" spans="1:5" x14ac:dyDescent="0.2">
      <c r="A272" s="4">
        <v>1271</v>
      </c>
      <c r="B272" s="4">
        <v>50</v>
      </c>
      <c r="C272" s="4" t="s">
        <v>8</v>
      </c>
      <c r="D272" s="4" t="s">
        <v>6</v>
      </c>
      <c r="E272" s="5">
        <v>45555</v>
      </c>
    </row>
    <row r="273" spans="1:5" x14ac:dyDescent="0.2">
      <c r="A273" s="4">
        <v>1272</v>
      </c>
      <c r="B273" s="4">
        <v>48</v>
      </c>
      <c r="C273" s="4" t="s">
        <v>8</v>
      </c>
      <c r="D273" s="4" t="s">
        <v>7</v>
      </c>
      <c r="E273" s="5">
        <v>45409</v>
      </c>
    </row>
    <row r="274" spans="1:5" x14ac:dyDescent="0.2">
      <c r="A274" s="4">
        <v>1273</v>
      </c>
      <c r="B274" s="4">
        <v>47</v>
      </c>
      <c r="C274" s="4" t="s">
        <v>5</v>
      </c>
      <c r="D274" s="4" t="s">
        <v>6</v>
      </c>
      <c r="E274" s="5">
        <v>45523</v>
      </c>
    </row>
    <row r="275" spans="1:5" x14ac:dyDescent="0.2">
      <c r="A275" s="4">
        <v>1274</v>
      </c>
      <c r="B275" s="4">
        <v>43</v>
      </c>
      <c r="C275" s="4" t="s">
        <v>8</v>
      </c>
      <c r="D275" s="4" t="s">
        <v>6</v>
      </c>
      <c r="E275" s="5">
        <v>45696</v>
      </c>
    </row>
    <row r="276" spans="1:5" x14ac:dyDescent="0.2">
      <c r="A276" s="4">
        <v>1275</v>
      </c>
      <c r="B276" s="4">
        <v>18</v>
      </c>
      <c r="C276" s="4" t="s">
        <v>8</v>
      </c>
      <c r="D276" s="4" t="s">
        <v>6</v>
      </c>
      <c r="E276" s="5">
        <v>45757</v>
      </c>
    </row>
    <row r="277" spans="1:5" x14ac:dyDescent="0.2">
      <c r="A277" s="4">
        <v>1276</v>
      </c>
      <c r="B277" s="4">
        <v>41</v>
      </c>
      <c r="C277" s="4" t="s">
        <v>8</v>
      </c>
      <c r="D277" s="4" t="s">
        <v>7</v>
      </c>
      <c r="E277" s="5">
        <v>45945</v>
      </c>
    </row>
    <row r="278" spans="1:5" x14ac:dyDescent="0.2">
      <c r="A278" s="4">
        <v>1277</v>
      </c>
      <c r="B278" s="4">
        <v>41</v>
      </c>
      <c r="C278" s="4" t="s">
        <v>5</v>
      </c>
      <c r="D278" s="4" t="s">
        <v>6</v>
      </c>
      <c r="E278" s="5">
        <v>45774</v>
      </c>
    </row>
    <row r="279" spans="1:5" x14ac:dyDescent="0.2">
      <c r="A279" s="4">
        <v>1278</v>
      </c>
      <c r="B279" s="4">
        <v>19</v>
      </c>
      <c r="C279" s="4" t="s">
        <v>8</v>
      </c>
      <c r="D279" s="4" t="s">
        <v>6</v>
      </c>
      <c r="E279" s="5">
        <v>45955</v>
      </c>
    </row>
    <row r="280" spans="1:5" x14ac:dyDescent="0.2">
      <c r="A280" s="4">
        <v>1279</v>
      </c>
      <c r="B280" s="4">
        <v>22</v>
      </c>
      <c r="C280" s="4" t="s">
        <v>8</v>
      </c>
      <c r="D280" s="4" t="s">
        <v>7</v>
      </c>
      <c r="E280" s="5">
        <v>45956</v>
      </c>
    </row>
    <row r="281" spans="1:5" x14ac:dyDescent="0.2">
      <c r="A281" s="4">
        <v>1280</v>
      </c>
      <c r="B281" s="4">
        <v>44</v>
      </c>
      <c r="C281" s="4" t="s">
        <v>5</v>
      </c>
      <c r="D281" s="4" t="s">
        <v>6</v>
      </c>
      <c r="E281" s="5">
        <v>45338</v>
      </c>
    </row>
    <row r="282" spans="1:5" x14ac:dyDescent="0.2">
      <c r="A282" s="4">
        <v>1281</v>
      </c>
      <c r="B282" s="4">
        <v>20</v>
      </c>
      <c r="C282" s="4" t="s">
        <v>8</v>
      </c>
      <c r="D282" s="4" t="s">
        <v>7</v>
      </c>
      <c r="E282" s="5">
        <v>45410</v>
      </c>
    </row>
    <row r="283" spans="1:5" x14ac:dyDescent="0.2">
      <c r="A283" s="4">
        <v>1282</v>
      </c>
      <c r="B283" s="4">
        <v>24</v>
      </c>
      <c r="C283" s="4" t="s">
        <v>5</v>
      </c>
      <c r="D283" s="4" t="s">
        <v>6</v>
      </c>
      <c r="E283" s="5">
        <v>45689</v>
      </c>
    </row>
    <row r="284" spans="1:5" x14ac:dyDescent="0.2">
      <c r="A284" s="4">
        <v>1283</v>
      </c>
      <c r="B284" s="4">
        <v>47</v>
      </c>
      <c r="C284" s="4" t="s">
        <v>8</v>
      </c>
      <c r="D284" s="4" t="s">
        <v>7</v>
      </c>
      <c r="E284" s="5">
        <v>45893</v>
      </c>
    </row>
    <row r="285" spans="1:5" x14ac:dyDescent="0.2">
      <c r="A285" s="4">
        <v>1284</v>
      </c>
      <c r="B285" s="4">
        <v>27</v>
      </c>
      <c r="C285" s="4" t="s">
        <v>8</v>
      </c>
      <c r="D285" s="4" t="s">
        <v>6</v>
      </c>
      <c r="E285" s="5">
        <v>45793</v>
      </c>
    </row>
    <row r="286" spans="1:5" x14ac:dyDescent="0.2">
      <c r="A286" s="4">
        <v>1285</v>
      </c>
      <c r="B286" s="4">
        <v>57</v>
      </c>
      <c r="C286" s="4" t="s">
        <v>8</v>
      </c>
      <c r="D286" s="4" t="s">
        <v>7</v>
      </c>
      <c r="E286" s="5">
        <v>45325</v>
      </c>
    </row>
    <row r="287" spans="1:5" x14ac:dyDescent="0.2">
      <c r="A287" s="4">
        <v>1286</v>
      </c>
      <c r="B287" s="4">
        <v>41</v>
      </c>
      <c r="C287" s="4" t="s">
        <v>5</v>
      </c>
      <c r="D287" s="4" t="s">
        <v>7</v>
      </c>
      <c r="E287" s="5">
        <v>45747</v>
      </c>
    </row>
    <row r="288" spans="1:5" x14ac:dyDescent="0.2">
      <c r="A288" s="4">
        <v>1287</v>
      </c>
      <c r="B288" s="4">
        <v>33</v>
      </c>
      <c r="C288" s="4" t="s">
        <v>8</v>
      </c>
      <c r="D288" s="4" t="s">
        <v>6</v>
      </c>
      <c r="E288" s="5">
        <v>45668</v>
      </c>
    </row>
    <row r="289" spans="1:5" x14ac:dyDescent="0.2">
      <c r="A289" s="4">
        <v>1288</v>
      </c>
      <c r="B289" s="4">
        <v>52</v>
      </c>
      <c r="C289" s="4" t="s">
        <v>8</v>
      </c>
      <c r="D289" s="4" t="s">
        <v>6</v>
      </c>
      <c r="E289" s="5">
        <v>45699</v>
      </c>
    </row>
    <row r="290" spans="1:5" x14ac:dyDescent="0.2">
      <c r="A290" s="4">
        <v>1289</v>
      </c>
      <c r="B290" s="4">
        <v>35</v>
      </c>
      <c r="C290" s="4" t="s">
        <v>5</v>
      </c>
      <c r="D290" s="4" t="s">
        <v>6</v>
      </c>
      <c r="E290" s="5">
        <v>45757</v>
      </c>
    </row>
    <row r="291" spans="1:5" x14ac:dyDescent="0.2">
      <c r="A291" s="4">
        <v>1290</v>
      </c>
      <c r="B291" s="4">
        <v>23</v>
      </c>
      <c r="C291" s="4" t="s">
        <v>5</v>
      </c>
      <c r="D291" s="4" t="s">
        <v>6</v>
      </c>
      <c r="E291" s="5">
        <v>45343</v>
      </c>
    </row>
    <row r="292" spans="1:5" x14ac:dyDescent="0.2">
      <c r="A292" s="4">
        <v>1291</v>
      </c>
      <c r="B292" s="4">
        <v>39</v>
      </c>
      <c r="C292" s="4" t="s">
        <v>5</v>
      </c>
      <c r="D292" s="4" t="s">
        <v>6</v>
      </c>
      <c r="E292" s="5">
        <v>45870</v>
      </c>
    </row>
    <row r="293" spans="1:5" x14ac:dyDescent="0.2">
      <c r="A293" s="4">
        <v>1292</v>
      </c>
      <c r="B293" s="4">
        <v>31</v>
      </c>
      <c r="C293" s="4" t="s">
        <v>5</v>
      </c>
      <c r="D293" s="4" t="s">
        <v>6</v>
      </c>
      <c r="E293" s="5">
        <v>45892</v>
      </c>
    </row>
    <row r="294" spans="1:5" x14ac:dyDescent="0.2">
      <c r="A294" s="4">
        <v>1293</v>
      </c>
      <c r="B294" s="4">
        <v>31</v>
      </c>
      <c r="C294" s="4" t="s">
        <v>5</v>
      </c>
      <c r="D294" s="4" t="s">
        <v>7</v>
      </c>
      <c r="E294" s="5">
        <v>45443</v>
      </c>
    </row>
    <row r="295" spans="1:5" x14ac:dyDescent="0.2">
      <c r="A295" s="4">
        <v>1294</v>
      </c>
      <c r="B295" s="4">
        <v>56</v>
      </c>
      <c r="C295" s="4" t="s">
        <v>5</v>
      </c>
      <c r="D295" s="4" t="s">
        <v>7</v>
      </c>
      <c r="E295" s="5">
        <v>45440</v>
      </c>
    </row>
    <row r="296" spans="1:5" x14ac:dyDescent="0.2">
      <c r="A296" s="4">
        <v>1295</v>
      </c>
      <c r="B296" s="4">
        <v>26</v>
      </c>
      <c r="C296" s="4" t="s">
        <v>8</v>
      </c>
      <c r="D296" s="4" t="s">
        <v>6</v>
      </c>
      <c r="E296" s="5">
        <v>45404</v>
      </c>
    </row>
    <row r="297" spans="1:5" x14ac:dyDescent="0.2">
      <c r="A297" s="4">
        <v>1296</v>
      </c>
      <c r="B297" s="4">
        <v>60</v>
      </c>
      <c r="C297" s="4" t="s">
        <v>5</v>
      </c>
      <c r="D297" s="4" t="s">
        <v>6</v>
      </c>
      <c r="E297" s="5">
        <v>45307</v>
      </c>
    </row>
    <row r="298" spans="1:5" x14ac:dyDescent="0.2">
      <c r="A298" s="4">
        <v>1297</v>
      </c>
      <c r="B298" s="4">
        <v>40</v>
      </c>
      <c r="C298" s="4" t="s">
        <v>5</v>
      </c>
      <c r="D298" s="4" t="s">
        <v>7</v>
      </c>
      <c r="E298" s="5">
        <v>45308</v>
      </c>
    </row>
    <row r="299" spans="1:5" x14ac:dyDescent="0.2">
      <c r="A299" s="4">
        <v>1298</v>
      </c>
      <c r="B299" s="4">
        <v>29</v>
      </c>
      <c r="C299" s="4" t="s">
        <v>8</v>
      </c>
      <c r="D299" s="4" t="s">
        <v>6</v>
      </c>
      <c r="E299" s="5">
        <v>45421</v>
      </c>
    </row>
    <row r="300" spans="1:5" x14ac:dyDescent="0.2">
      <c r="A300" s="4">
        <v>1299</v>
      </c>
      <c r="B300" s="4">
        <v>44</v>
      </c>
      <c r="C300" s="4" t="s">
        <v>5</v>
      </c>
      <c r="D300" s="4" t="s">
        <v>6</v>
      </c>
      <c r="E300" s="5">
        <v>45779</v>
      </c>
    </row>
    <row r="301" spans="1:5" x14ac:dyDescent="0.2">
      <c r="A301" s="4">
        <v>1300</v>
      </c>
      <c r="B301" s="4">
        <v>46</v>
      </c>
      <c r="C301" s="4" t="s">
        <v>8</v>
      </c>
      <c r="D301" s="4" t="s">
        <v>6</v>
      </c>
      <c r="E301" s="5">
        <v>45754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9002-C663-43EE-9910-E6F8D8A9746E}">
  <dimension ref="A3:B8"/>
  <sheetViews>
    <sheetView workbookViewId="0">
      <selection activeCell="A3" sqref="A3:B8"/>
    </sheetView>
  </sheetViews>
  <sheetFormatPr defaultRowHeight="15" x14ac:dyDescent="0.2"/>
  <cols>
    <col min="1" max="2" width="20.04296875" bestFit="1" customWidth="1"/>
  </cols>
  <sheetData>
    <row r="3" spans="1:2" x14ac:dyDescent="0.2">
      <c r="A3" s="14" t="s">
        <v>9</v>
      </c>
      <c r="B3" t="s">
        <v>10</v>
      </c>
    </row>
    <row r="4" spans="1:2" x14ac:dyDescent="0.2">
      <c r="A4" t="s">
        <v>11</v>
      </c>
      <c r="B4" s="20">
        <v>0.20189926800768165</v>
      </c>
    </row>
    <row r="5" spans="1:2" x14ac:dyDescent="0.2">
      <c r="A5" t="s">
        <v>12</v>
      </c>
      <c r="B5" s="20">
        <v>0.20401125411813131</v>
      </c>
    </row>
    <row r="6" spans="1:2" x14ac:dyDescent="0.2">
      <c r="A6" t="s">
        <v>13</v>
      </c>
      <c r="B6" s="20">
        <v>0.20234942414216772</v>
      </c>
    </row>
    <row r="7" spans="1:2" x14ac:dyDescent="0.2">
      <c r="A7" t="s">
        <v>14</v>
      </c>
      <c r="B7" s="20">
        <v>0.18709332455070696</v>
      </c>
    </row>
    <row r="8" spans="1:2" x14ac:dyDescent="0.2">
      <c r="A8" t="s">
        <v>15</v>
      </c>
      <c r="B8" s="20">
        <v>0.20464672918131235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3B5A-F5A4-47B9-A149-02E26624C379}">
  <dimension ref="A3:B11"/>
  <sheetViews>
    <sheetView workbookViewId="0">
      <selection activeCell="M7" sqref="M7"/>
    </sheetView>
  </sheetViews>
  <sheetFormatPr defaultRowHeight="15" x14ac:dyDescent="0.2"/>
  <cols>
    <col min="1" max="1" width="10.35546875" bestFit="1" customWidth="1"/>
    <col min="2" max="2" width="18.83203125" bestFit="1" customWidth="1"/>
  </cols>
  <sheetData>
    <row r="3" spans="1:2" x14ac:dyDescent="0.2">
      <c r="A3" s="14" t="s">
        <v>16</v>
      </c>
      <c r="B3" t="s">
        <v>17</v>
      </c>
    </row>
    <row r="4" spans="1:2" x14ac:dyDescent="0.2">
      <c r="A4" t="s">
        <v>18</v>
      </c>
      <c r="B4" s="20">
        <v>0.14245001342038716</v>
      </c>
    </row>
    <row r="5" spans="1:2" x14ac:dyDescent="0.2">
      <c r="A5" t="s">
        <v>19</v>
      </c>
      <c r="B5" s="20">
        <v>0.1284800588725189</v>
      </c>
    </row>
    <row r="6" spans="1:2" x14ac:dyDescent="0.2">
      <c r="A6" t="s">
        <v>20</v>
      </c>
      <c r="B6" s="20">
        <v>0.12815908638063461</v>
      </c>
    </row>
    <row r="7" spans="1:2" x14ac:dyDescent="0.2">
      <c r="A7" t="s">
        <v>21</v>
      </c>
      <c r="B7" s="20">
        <v>0.11536770437928789</v>
      </c>
    </row>
    <row r="8" spans="1:2" x14ac:dyDescent="0.2">
      <c r="A8" t="s">
        <v>22</v>
      </c>
      <c r="B8" s="20">
        <v>0.11677213353121446</v>
      </c>
    </row>
    <row r="9" spans="1:2" x14ac:dyDescent="0.2">
      <c r="A9" t="s">
        <v>23</v>
      </c>
      <c r="B9" s="20">
        <v>0.12385763618954644</v>
      </c>
    </row>
    <row r="10" spans="1:2" x14ac:dyDescent="0.2">
      <c r="A10" t="s">
        <v>24</v>
      </c>
      <c r="B10" s="20">
        <v>0.10457850776140801</v>
      </c>
    </row>
    <row r="11" spans="1:2" x14ac:dyDescent="0.2">
      <c r="A11" t="s">
        <v>25</v>
      </c>
      <c r="B11" s="20">
        <v>0.14033485946500254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4E6B7-565C-48EE-A4A0-764032D85598}">
  <dimension ref="A3:B5"/>
  <sheetViews>
    <sheetView workbookViewId="0">
      <selection activeCell="K9" sqref="K9"/>
    </sheetView>
  </sheetViews>
  <sheetFormatPr defaultRowHeight="15" x14ac:dyDescent="0.2"/>
  <cols>
    <col min="1" max="1" width="21.25390625" bestFit="1" customWidth="1"/>
    <col min="2" max="2" width="18.83203125" bestFit="1" customWidth="1"/>
  </cols>
  <sheetData>
    <row r="3" spans="1:2" x14ac:dyDescent="0.2">
      <c r="A3" s="14" t="s">
        <v>26</v>
      </c>
      <c r="B3" t="s">
        <v>17</v>
      </c>
    </row>
    <row r="4" spans="1:2" x14ac:dyDescent="0.2">
      <c r="A4" t="s">
        <v>7</v>
      </c>
      <c r="B4" s="20">
        <v>0.53083419182825942</v>
      </c>
    </row>
    <row r="5" spans="1:2" x14ac:dyDescent="0.2">
      <c r="A5" t="s">
        <v>6</v>
      </c>
      <c r="B5" s="20">
        <v>0.46916580817174058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01"/>
  <sheetViews>
    <sheetView workbookViewId="0">
      <selection activeCell="H1" sqref="H1:I1048576"/>
    </sheetView>
  </sheetViews>
  <sheetFormatPr defaultRowHeight="15" x14ac:dyDescent="0.2"/>
  <cols>
    <col min="1" max="1" width="9.01171875" style="4" bestFit="1" customWidth="1"/>
    <col min="2" max="2" width="12.375" style="4" bestFit="1" customWidth="1"/>
    <col min="3" max="3" width="11.296875" style="8" bestFit="1" customWidth="1"/>
    <col min="4" max="4" width="13.5859375" style="8" bestFit="1" customWidth="1"/>
    <col min="5" max="5" width="18.16015625" style="10" bestFit="1" customWidth="1"/>
    <col min="6" max="6" width="10.35546875" style="4" bestFit="1" customWidth="1"/>
    <col min="7" max="7" width="16.8125" style="4" bestFit="1" customWidth="1"/>
    <col min="8" max="8" width="12.10546875" style="4" bestFit="1" customWidth="1"/>
    <col min="9" max="9" width="16.6796875" style="4" bestFit="1" customWidth="1"/>
    <col min="10" max="10" width="15.19921875" style="4" bestFit="1" customWidth="1"/>
    <col min="11" max="11" width="12.64453125" style="4" bestFit="1" customWidth="1"/>
    <col min="12" max="15" width="9.14453125" style="4"/>
    <col min="16" max="16" width="9.14453125" style="2"/>
  </cols>
  <sheetData>
    <row r="1" spans="1:11" ht="25.5" x14ac:dyDescent="0.2">
      <c r="A1" s="6" t="s">
        <v>27</v>
      </c>
      <c r="B1" s="6" t="s">
        <v>28</v>
      </c>
      <c r="C1" s="7" t="s">
        <v>29</v>
      </c>
      <c r="D1" s="7" t="s">
        <v>30</v>
      </c>
      <c r="E1" s="9" t="s">
        <v>31</v>
      </c>
      <c r="F1" s="6" t="s">
        <v>16</v>
      </c>
      <c r="G1" s="6" t="s">
        <v>9</v>
      </c>
      <c r="H1" s="6" t="s">
        <v>32</v>
      </c>
      <c r="I1" s="21" t="s">
        <v>26</v>
      </c>
      <c r="J1" s="6" t="s">
        <v>33</v>
      </c>
      <c r="K1" s="6" t="s">
        <v>34</v>
      </c>
    </row>
    <row r="2" spans="1:11" x14ac:dyDescent="0.2">
      <c r="A2" s="4">
        <v>5001</v>
      </c>
      <c r="B2" s="4">
        <v>1023</v>
      </c>
      <c r="C2" s="8">
        <v>46151</v>
      </c>
      <c r="D2" s="8">
        <v>46156</v>
      </c>
      <c r="E2" s="10">
        <f>D2-C2</f>
        <v>5</v>
      </c>
      <c r="F2" s="4" t="s">
        <v>22</v>
      </c>
      <c r="G2" s="4" t="s">
        <v>15</v>
      </c>
      <c r="H2" s="4">
        <v>42461</v>
      </c>
      <c r="I2" s="4" t="str">
        <f>VLOOKUP(B2,Customers!$A:$D,4,FALSE)</f>
        <v>Regular</v>
      </c>
      <c r="J2" s="4" t="s">
        <v>35</v>
      </c>
      <c r="K2" s="4" t="s">
        <v>36</v>
      </c>
    </row>
    <row r="3" spans="1:11" x14ac:dyDescent="0.2">
      <c r="A3" s="4">
        <v>5002</v>
      </c>
      <c r="B3" s="4">
        <v>1206</v>
      </c>
      <c r="C3" s="8">
        <v>46038</v>
      </c>
      <c r="D3" s="8">
        <v>46047</v>
      </c>
      <c r="E3" s="10">
        <f t="shared" ref="E3:E66" si="0">D3-C3</f>
        <v>9</v>
      </c>
      <c r="F3" s="4" t="s">
        <v>21</v>
      </c>
      <c r="G3" s="4" t="s">
        <v>12</v>
      </c>
      <c r="H3" s="4">
        <v>32430</v>
      </c>
      <c r="I3" s="4" t="str">
        <f>VLOOKUP(B3,Customers!$A:$D,4,FALSE)</f>
        <v>Regular</v>
      </c>
      <c r="J3" s="4" t="s">
        <v>37</v>
      </c>
      <c r="K3" s="4" t="s">
        <v>36</v>
      </c>
    </row>
    <row r="4" spans="1:11" x14ac:dyDescent="0.2">
      <c r="A4" s="4">
        <v>5003</v>
      </c>
      <c r="B4" s="4">
        <v>1165</v>
      </c>
      <c r="C4" s="8">
        <v>46041</v>
      </c>
      <c r="D4" s="8">
        <v>46044</v>
      </c>
      <c r="E4" s="10">
        <f t="shared" si="0"/>
        <v>3</v>
      </c>
      <c r="F4" s="4" t="s">
        <v>18</v>
      </c>
      <c r="G4" s="4" t="s">
        <v>12</v>
      </c>
      <c r="H4" s="4">
        <v>8570</v>
      </c>
      <c r="I4" s="4" t="str">
        <f>VLOOKUP(B4,Customers!$A:$D,4,FALSE)</f>
        <v>Regular</v>
      </c>
      <c r="J4" s="4" t="s">
        <v>37</v>
      </c>
      <c r="K4" s="4" t="s">
        <v>36</v>
      </c>
    </row>
    <row r="5" spans="1:11" x14ac:dyDescent="0.2">
      <c r="A5" s="4">
        <v>5004</v>
      </c>
      <c r="B5" s="4">
        <v>1167</v>
      </c>
      <c r="C5" s="8">
        <v>46172</v>
      </c>
      <c r="D5" s="8">
        <v>46182</v>
      </c>
      <c r="E5" s="10">
        <f t="shared" si="0"/>
        <v>10</v>
      </c>
      <c r="F5" s="4" t="s">
        <v>21</v>
      </c>
      <c r="G5" s="4" t="s">
        <v>11</v>
      </c>
      <c r="H5" s="4">
        <v>35070</v>
      </c>
      <c r="I5" s="4" t="str">
        <f>VLOOKUP(B5,Customers!$A:$D,4,FALSE)</f>
        <v>Premium</v>
      </c>
      <c r="J5" s="4" t="s">
        <v>37</v>
      </c>
      <c r="K5" s="4" t="s">
        <v>36</v>
      </c>
    </row>
    <row r="6" spans="1:11" x14ac:dyDescent="0.2">
      <c r="A6" s="4">
        <v>5005</v>
      </c>
      <c r="B6" s="4">
        <v>1221</v>
      </c>
      <c r="C6" s="8">
        <v>46139</v>
      </c>
      <c r="D6" s="8">
        <v>46149</v>
      </c>
      <c r="E6" s="10">
        <f t="shared" si="0"/>
        <v>10</v>
      </c>
      <c r="F6" s="4" t="s">
        <v>23</v>
      </c>
      <c r="G6" s="4" t="s">
        <v>12</v>
      </c>
      <c r="H6" s="4">
        <v>43207</v>
      </c>
      <c r="I6" s="4" t="str">
        <f>VLOOKUP(B6,Customers!$A:$D,4,FALSE)</f>
        <v>Premium</v>
      </c>
      <c r="J6" s="4" t="s">
        <v>35</v>
      </c>
      <c r="K6" s="4" t="s">
        <v>36</v>
      </c>
    </row>
    <row r="7" spans="1:11" x14ac:dyDescent="0.2">
      <c r="A7" s="4">
        <v>5006</v>
      </c>
      <c r="B7" s="4">
        <v>1117</v>
      </c>
      <c r="C7" s="8">
        <v>46133</v>
      </c>
      <c r="D7" s="8">
        <v>46142</v>
      </c>
      <c r="E7" s="10">
        <f t="shared" si="0"/>
        <v>9</v>
      </c>
      <c r="F7" s="4" t="s">
        <v>21</v>
      </c>
      <c r="G7" s="4" t="s">
        <v>14</v>
      </c>
      <c r="H7" s="4">
        <v>30020</v>
      </c>
      <c r="I7" s="4" t="str">
        <f>VLOOKUP(B7,Customers!$A:$D,4,FALSE)</f>
        <v>Premium</v>
      </c>
      <c r="J7" s="4" t="s">
        <v>37</v>
      </c>
      <c r="K7" s="4" t="s">
        <v>36</v>
      </c>
    </row>
    <row r="8" spans="1:11" x14ac:dyDescent="0.2">
      <c r="A8" s="4">
        <v>5007</v>
      </c>
      <c r="B8" s="4">
        <v>1161</v>
      </c>
      <c r="C8" s="8">
        <v>46129</v>
      </c>
      <c r="D8" s="8">
        <v>46132</v>
      </c>
      <c r="E8" s="10">
        <f t="shared" si="0"/>
        <v>3</v>
      </c>
      <c r="F8" s="4" t="s">
        <v>21</v>
      </c>
      <c r="G8" s="4" t="s">
        <v>14</v>
      </c>
      <c r="H8" s="4">
        <v>43888</v>
      </c>
      <c r="I8" s="4" t="str">
        <f>VLOOKUP(B8,Customers!$A:$D,4,FALSE)</f>
        <v>Regular</v>
      </c>
      <c r="J8" s="4" t="s">
        <v>37</v>
      </c>
      <c r="K8" s="4" t="s">
        <v>36</v>
      </c>
    </row>
    <row r="9" spans="1:11" x14ac:dyDescent="0.2">
      <c r="A9" s="4">
        <v>5008</v>
      </c>
      <c r="B9" s="4">
        <v>1243</v>
      </c>
      <c r="C9" s="8">
        <v>46118</v>
      </c>
      <c r="D9" s="8">
        <v>46122</v>
      </c>
      <c r="E9" s="10">
        <f t="shared" si="0"/>
        <v>4</v>
      </c>
      <c r="F9" s="4" t="s">
        <v>23</v>
      </c>
      <c r="G9" s="4" t="s">
        <v>12</v>
      </c>
      <c r="H9" s="4">
        <v>5894</v>
      </c>
      <c r="I9" s="4" t="str">
        <f>VLOOKUP(B9,Customers!$A:$D,4,FALSE)</f>
        <v>Regular</v>
      </c>
      <c r="J9" s="4" t="s">
        <v>35</v>
      </c>
      <c r="K9" s="4" t="s">
        <v>36</v>
      </c>
    </row>
    <row r="10" spans="1:11" x14ac:dyDescent="0.2">
      <c r="A10" s="4">
        <v>5009</v>
      </c>
      <c r="B10" s="4">
        <v>1191</v>
      </c>
      <c r="C10" s="8">
        <v>46133</v>
      </c>
      <c r="D10" s="8">
        <v>46136</v>
      </c>
      <c r="E10" s="10">
        <f t="shared" si="0"/>
        <v>3</v>
      </c>
      <c r="F10" s="4" t="s">
        <v>18</v>
      </c>
      <c r="G10" s="4" t="s">
        <v>11</v>
      </c>
      <c r="H10" s="4">
        <v>4230</v>
      </c>
      <c r="I10" s="4" t="str">
        <f>VLOOKUP(B10,Customers!$A:$D,4,FALSE)</f>
        <v>Regular</v>
      </c>
      <c r="J10" s="4" t="s">
        <v>37</v>
      </c>
      <c r="K10" s="4" t="s">
        <v>36</v>
      </c>
    </row>
    <row r="11" spans="1:11" x14ac:dyDescent="0.2">
      <c r="A11" s="4">
        <v>5010</v>
      </c>
      <c r="B11" s="4">
        <v>1182</v>
      </c>
      <c r="C11" s="8">
        <v>46054</v>
      </c>
      <c r="D11" s="8">
        <v>46062</v>
      </c>
      <c r="E11" s="10">
        <f t="shared" si="0"/>
        <v>8</v>
      </c>
      <c r="F11" s="4" t="s">
        <v>21</v>
      </c>
      <c r="G11" s="4" t="s">
        <v>12</v>
      </c>
      <c r="H11" s="4">
        <v>19150</v>
      </c>
      <c r="I11" s="4" t="str">
        <f>VLOOKUP(B11,Customers!$A:$D,4,FALSE)</f>
        <v>Regular</v>
      </c>
      <c r="J11" s="4" t="s">
        <v>37</v>
      </c>
      <c r="K11" s="4" t="s">
        <v>36</v>
      </c>
    </row>
    <row r="12" spans="1:11" x14ac:dyDescent="0.2">
      <c r="A12" s="4">
        <v>5011</v>
      </c>
      <c r="B12" s="4">
        <v>1296</v>
      </c>
      <c r="C12" s="8">
        <v>46113</v>
      </c>
      <c r="D12" s="8">
        <v>46116</v>
      </c>
      <c r="E12" s="10">
        <f t="shared" si="0"/>
        <v>3</v>
      </c>
      <c r="F12" s="4" t="s">
        <v>24</v>
      </c>
      <c r="G12" s="4" t="s">
        <v>13</v>
      </c>
      <c r="H12" s="4">
        <v>43339</v>
      </c>
      <c r="I12" s="4" t="str">
        <f>VLOOKUP(B12,Customers!$A:$D,4,FALSE)</f>
        <v>Regular</v>
      </c>
      <c r="J12" s="4" t="s">
        <v>37</v>
      </c>
      <c r="K12" s="4" t="s">
        <v>36</v>
      </c>
    </row>
    <row r="13" spans="1:11" x14ac:dyDescent="0.2">
      <c r="A13" s="4">
        <v>5012</v>
      </c>
      <c r="B13" s="4">
        <v>1180</v>
      </c>
      <c r="C13" s="8">
        <v>46080</v>
      </c>
      <c r="D13" s="8">
        <v>46083</v>
      </c>
      <c r="E13" s="10">
        <f t="shared" si="0"/>
        <v>3</v>
      </c>
      <c r="F13" s="4" t="s">
        <v>19</v>
      </c>
      <c r="G13" s="4" t="s">
        <v>12</v>
      </c>
      <c r="H13" s="4">
        <v>18556</v>
      </c>
      <c r="I13" s="4" t="str">
        <f>VLOOKUP(B13,Customers!$A:$D,4,FALSE)</f>
        <v>Regular</v>
      </c>
      <c r="J13" s="4" t="s">
        <v>35</v>
      </c>
      <c r="K13" s="4" t="s">
        <v>36</v>
      </c>
    </row>
    <row r="14" spans="1:11" x14ac:dyDescent="0.2">
      <c r="A14" s="4">
        <v>5013</v>
      </c>
      <c r="B14" s="4">
        <v>1286</v>
      </c>
      <c r="C14" s="8">
        <v>46132</v>
      </c>
      <c r="D14" s="8">
        <v>46142</v>
      </c>
      <c r="E14" s="10">
        <f t="shared" si="0"/>
        <v>10</v>
      </c>
      <c r="F14" s="4" t="s">
        <v>20</v>
      </c>
      <c r="G14" s="4" t="s">
        <v>11</v>
      </c>
      <c r="H14" s="4">
        <v>43411</v>
      </c>
      <c r="I14" s="4" t="str">
        <f>VLOOKUP(B14,Customers!$A:$D,4,FALSE)</f>
        <v>Premium</v>
      </c>
      <c r="J14" s="4" t="s">
        <v>37</v>
      </c>
      <c r="K14" s="4" t="s">
        <v>36</v>
      </c>
    </row>
    <row r="15" spans="1:11" x14ac:dyDescent="0.2">
      <c r="A15" s="4">
        <v>5014</v>
      </c>
      <c r="B15" s="4">
        <v>1140</v>
      </c>
      <c r="C15" s="8">
        <v>46030</v>
      </c>
      <c r="D15" s="8">
        <v>46034</v>
      </c>
      <c r="E15" s="10">
        <f t="shared" si="0"/>
        <v>4</v>
      </c>
      <c r="F15" s="4" t="s">
        <v>22</v>
      </c>
      <c r="G15" s="4" t="s">
        <v>14</v>
      </c>
      <c r="H15" s="4">
        <v>23304</v>
      </c>
      <c r="I15" s="4" t="str">
        <f>VLOOKUP(B15,Customers!$A:$D,4,FALSE)</f>
        <v>Premium</v>
      </c>
      <c r="J15" s="4" t="s">
        <v>35</v>
      </c>
      <c r="K15" s="4" t="s">
        <v>36</v>
      </c>
    </row>
    <row r="16" spans="1:11" x14ac:dyDescent="0.2">
      <c r="A16" s="4">
        <v>5015</v>
      </c>
      <c r="B16" s="4">
        <v>1290</v>
      </c>
      <c r="C16" s="8">
        <v>46069</v>
      </c>
      <c r="D16" s="8">
        <v>46073</v>
      </c>
      <c r="E16" s="10">
        <f t="shared" si="0"/>
        <v>4</v>
      </c>
      <c r="F16" s="4" t="s">
        <v>21</v>
      </c>
      <c r="G16" s="4" t="s">
        <v>12</v>
      </c>
      <c r="H16" s="4">
        <v>9597</v>
      </c>
      <c r="I16" s="4" t="str">
        <f>VLOOKUP(B16,Customers!$A:$D,4,FALSE)</f>
        <v>Regular</v>
      </c>
      <c r="J16" s="4" t="s">
        <v>35</v>
      </c>
      <c r="K16" s="4" t="s">
        <v>36</v>
      </c>
    </row>
    <row r="17" spans="1:11" x14ac:dyDescent="0.2">
      <c r="A17" s="4">
        <v>5016</v>
      </c>
      <c r="B17" s="4">
        <v>1111</v>
      </c>
      <c r="C17" s="8">
        <v>46046</v>
      </c>
      <c r="D17" s="8">
        <v>46056</v>
      </c>
      <c r="E17" s="10">
        <f t="shared" si="0"/>
        <v>10</v>
      </c>
      <c r="F17" s="4" t="s">
        <v>21</v>
      </c>
      <c r="G17" s="4" t="s">
        <v>15</v>
      </c>
      <c r="H17" s="4">
        <v>30030</v>
      </c>
      <c r="I17" s="4" t="str">
        <f>VLOOKUP(B17,Customers!$A:$D,4,FALSE)</f>
        <v>Premium</v>
      </c>
      <c r="J17" s="4" t="s">
        <v>37</v>
      </c>
      <c r="K17" s="4" t="s">
        <v>36</v>
      </c>
    </row>
    <row r="18" spans="1:11" x14ac:dyDescent="0.2">
      <c r="A18" s="4">
        <v>5017</v>
      </c>
      <c r="B18" s="4">
        <v>1160</v>
      </c>
      <c r="C18" s="8">
        <v>46063</v>
      </c>
      <c r="D18" s="8">
        <v>46070</v>
      </c>
      <c r="E18" s="10">
        <f t="shared" si="0"/>
        <v>7</v>
      </c>
      <c r="F18" s="4" t="s">
        <v>19</v>
      </c>
      <c r="G18" s="4" t="s">
        <v>11</v>
      </c>
      <c r="H18" s="4">
        <v>39374</v>
      </c>
      <c r="I18" s="4" t="str">
        <f>VLOOKUP(B18,Customers!$A:$D,4,FALSE)</f>
        <v>Regular</v>
      </c>
      <c r="J18" s="4" t="s">
        <v>35</v>
      </c>
      <c r="K18" s="4" t="s">
        <v>36</v>
      </c>
    </row>
    <row r="19" spans="1:11" x14ac:dyDescent="0.2">
      <c r="A19" s="4">
        <v>5018</v>
      </c>
      <c r="B19" s="4">
        <v>1081</v>
      </c>
      <c r="C19" s="8">
        <v>46036</v>
      </c>
      <c r="D19" s="8">
        <v>46040</v>
      </c>
      <c r="E19" s="10">
        <f t="shared" si="0"/>
        <v>4</v>
      </c>
      <c r="F19" s="4" t="s">
        <v>20</v>
      </c>
      <c r="G19" s="4" t="s">
        <v>12</v>
      </c>
      <c r="H19" s="4">
        <v>18132</v>
      </c>
      <c r="I19" s="4" t="str">
        <f>VLOOKUP(B19,Customers!$A:$D,4,FALSE)</f>
        <v>Premium</v>
      </c>
      <c r="J19" s="4" t="s">
        <v>37</v>
      </c>
      <c r="K19" s="4" t="s">
        <v>36</v>
      </c>
    </row>
    <row r="20" spans="1:11" x14ac:dyDescent="0.2">
      <c r="A20" s="4">
        <v>5019</v>
      </c>
      <c r="B20" s="4">
        <v>1227</v>
      </c>
      <c r="C20" s="8">
        <v>46131</v>
      </c>
      <c r="D20" s="8">
        <v>46140</v>
      </c>
      <c r="E20" s="10">
        <f t="shared" si="0"/>
        <v>9</v>
      </c>
      <c r="F20" s="4" t="s">
        <v>21</v>
      </c>
      <c r="G20" s="4" t="s">
        <v>14</v>
      </c>
      <c r="H20" s="4">
        <v>14427</v>
      </c>
      <c r="I20" s="4" t="str">
        <f>VLOOKUP(B20,Customers!$A:$D,4,FALSE)</f>
        <v>Premium</v>
      </c>
      <c r="J20" s="4" t="s">
        <v>35</v>
      </c>
      <c r="K20" s="4" t="s">
        <v>36</v>
      </c>
    </row>
    <row r="21" spans="1:11" x14ac:dyDescent="0.2">
      <c r="A21" s="4">
        <v>5020</v>
      </c>
      <c r="B21" s="4">
        <v>1057</v>
      </c>
      <c r="C21" s="8">
        <v>46111</v>
      </c>
      <c r="D21" s="8">
        <v>46119</v>
      </c>
      <c r="E21" s="10">
        <f t="shared" si="0"/>
        <v>8</v>
      </c>
      <c r="F21" s="4" t="s">
        <v>22</v>
      </c>
      <c r="G21" s="4" t="s">
        <v>11</v>
      </c>
      <c r="H21" s="4">
        <v>32191</v>
      </c>
      <c r="I21" s="4" t="str">
        <f>VLOOKUP(B21,Customers!$A:$D,4,FALSE)</f>
        <v>Regular</v>
      </c>
      <c r="J21" s="4" t="s">
        <v>37</v>
      </c>
      <c r="K21" s="4" t="s">
        <v>36</v>
      </c>
    </row>
    <row r="22" spans="1:11" x14ac:dyDescent="0.2">
      <c r="A22" s="4">
        <v>5021</v>
      </c>
      <c r="B22" s="4">
        <v>1203</v>
      </c>
      <c r="C22" s="8">
        <v>46034</v>
      </c>
      <c r="D22" s="8">
        <v>46039</v>
      </c>
      <c r="E22" s="10">
        <f t="shared" si="0"/>
        <v>5</v>
      </c>
      <c r="F22" s="4" t="s">
        <v>20</v>
      </c>
      <c r="G22" s="4" t="s">
        <v>12</v>
      </c>
      <c r="H22" s="4">
        <v>13697</v>
      </c>
      <c r="I22" s="4" t="str">
        <f>VLOOKUP(B22,Customers!$A:$D,4,FALSE)</f>
        <v>Regular</v>
      </c>
      <c r="J22" s="4" t="s">
        <v>37</v>
      </c>
      <c r="K22" s="4" t="s">
        <v>36</v>
      </c>
    </row>
    <row r="23" spans="1:11" x14ac:dyDescent="0.2">
      <c r="A23" s="4">
        <v>5022</v>
      </c>
      <c r="B23" s="4">
        <v>1131</v>
      </c>
      <c r="C23" s="8">
        <v>46077</v>
      </c>
      <c r="D23" s="8">
        <v>46081</v>
      </c>
      <c r="E23" s="10">
        <f t="shared" si="0"/>
        <v>4</v>
      </c>
      <c r="F23" s="4" t="s">
        <v>22</v>
      </c>
      <c r="G23" s="4" t="s">
        <v>14</v>
      </c>
      <c r="H23" s="4">
        <v>8163</v>
      </c>
      <c r="I23" s="4" t="str">
        <f>VLOOKUP(B23,Customers!$A:$D,4,FALSE)</f>
        <v>Premium</v>
      </c>
      <c r="J23" s="4" t="s">
        <v>35</v>
      </c>
      <c r="K23" s="4" t="s">
        <v>36</v>
      </c>
    </row>
    <row r="24" spans="1:11" x14ac:dyDescent="0.2">
      <c r="A24" s="4">
        <v>5023</v>
      </c>
      <c r="B24" s="4">
        <v>1090</v>
      </c>
      <c r="C24" s="8">
        <v>46150</v>
      </c>
      <c r="D24" s="8">
        <v>46158</v>
      </c>
      <c r="E24" s="10">
        <f t="shared" si="0"/>
        <v>8</v>
      </c>
      <c r="F24" s="4" t="s">
        <v>18</v>
      </c>
      <c r="G24" s="4" t="s">
        <v>15</v>
      </c>
      <c r="H24" s="4">
        <v>35203</v>
      </c>
      <c r="I24" s="4" t="str">
        <f>VLOOKUP(B24,Customers!$A:$D,4,FALSE)</f>
        <v>Regular</v>
      </c>
      <c r="J24" s="4" t="s">
        <v>35</v>
      </c>
      <c r="K24" s="4" t="s">
        <v>36</v>
      </c>
    </row>
    <row r="25" spans="1:11" x14ac:dyDescent="0.2">
      <c r="A25" s="4">
        <v>5024</v>
      </c>
      <c r="B25" s="4">
        <v>1182</v>
      </c>
      <c r="C25" s="8">
        <v>46151</v>
      </c>
      <c r="D25" s="8">
        <v>46161</v>
      </c>
      <c r="E25" s="10">
        <f t="shared" si="0"/>
        <v>10</v>
      </c>
      <c r="F25" s="4" t="s">
        <v>23</v>
      </c>
      <c r="G25" s="4" t="s">
        <v>15</v>
      </c>
      <c r="H25" s="4">
        <v>48930</v>
      </c>
      <c r="I25" s="4" t="str">
        <f>VLOOKUP(B25,Customers!$A:$D,4,FALSE)</f>
        <v>Regular</v>
      </c>
      <c r="J25" s="4" t="s">
        <v>35</v>
      </c>
      <c r="K25" s="4" t="s">
        <v>36</v>
      </c>
    </row>
    <row r="26" spans="1:11" x14ac:dyDescent="0.2">
      <c r="A26" s="4">
        <v>5025</v>
      </c>
      <c r="B26" s="4">
        <v>1236</v>
      </c>
      <c r="C26" s="8">
        <v>46134</v>
      </c>
      <c r="D26" s="8">
        <v>46136</v>
      </c>
      <c r="E26" s="10">
        <f t="shared" si="0"/>
        <v>2</v>
      </c>
      <c r="F26" s="4" t="s">
        <v>23</v>
      </c>
      <c r="G26" s="4" t="s">
        <v>14</v>
      </c>
      <c r="H26" s="4">
        <v>38032</v>
      </c>
      <c r="I26" s="4" t="str">
        <f>VLOOKUP(B26,Customers!$A:$D,4,FALSE)</f>
        <v>Premium</v>
      </c>
      <c r="J26" s="4" t="s">
        <v>37</v>
      </c>
      <c r="K26" s="4" t="s">
        <v>36</v>
      </c>
    </row>
    <row r="27" spans="1:11" x14ac:dyDescent="0.2">
      <c r="A27" s="4">
        <v>5026</v>
      </c>
      <c r="B27" s="4">
        <v>1214</v>
      </c>
      <c r="C27" s="8">
        <v>46169</v>
      </c>
      <c r="D27" s="8">
        <v>46177</v>
      </c>
      <c r="E27" s="10">
        <f t="shared" si="0"/>
        <v>8</v>
      </c>
      <c r="F27" s="4" t="s">
        <v>22</v>
      </c>
      <c r="G27" s="4" t="s">
        <v>12</v>
      </c>
      <c r="H27" s="4">
        <v>26844</v>
      </c>
      <c r="I27" s="4" t="str">
        <f>VLOOKUP(B27,Customers!$A:$D,4,FALSE)</f>
        <v>Premium</v>
      </c>
      <c r="J27" s="4" t="s">
        <v>35</v>
      </c>
      <c r="K27" s="4" t="s">
        <v>36</v>
      </c>
    </row>
    <row r="28" spans="1:11" x14ac:dyDescent="0.2">
      <c r="A28" s="4">
        <v>5027</v>
      </c>
      <c r="B28" s="4">
        <v>1236</v>
      </c>
      <c r="C28" s="8">
        <v>46106</v>
      </c>
      <c r="D28" s="8">
        <v>46110</v>
      </c>
      <c r="E28" s="10">
        <f t="shared" si="0"/>
        <v>4</v>
      </c>
      <c r="F28" s="4" t="s">
        <v>19</v>
      </c>
      <c r="G28" s="4" t="s">
        <v>12</v>
      </c>
      <c r="H28" s="4">
        <v>28920</v>
      </c>
      <c r="I28" s="4" t="str">
        <f>VLOOKUP(B28,Customers!$A:$D,4,FALSE)</f>
        <v>Premium</v>
      </c>
      <c r="J28" s="4" t="s">
        <v>35</v>
      </c>
      <c r="K28" s="4" t="s">
        <v>36</v>
      </c>
    </row>
    <row r="29" spans="1:11" x14ac:dyDescent="0.2">
      <c r="A29" s="4">
        <v>5028</v>
      </c>
      <c r="B29" s="4">
        <v>1206</v>
      </c>
      <c r="C29" s="8">
        <v>46085</v>
      </c>
      <c r="D29" s="8">
        <v>46093</v>
      </c>
      <c r="E29" s="10">
        <f t="shared" si="0"/>
        <v>8</v>
      </c>
      <c r="F29" s="4" t="s">
        <v>23</v>
      </c>
      <c r="G29" s="4" t="s">
        <v>15</v>
      </c>
      <c r="H29" s="4">
        <v>20634</v>
      </c>
      <c r="I29" s="4" t="str">
        <f>VLOOKUP(B29,Customers!$A:$D,4,FALSE)</f>
        <v>Regular</v>
      </c>
      <c r="J29" s="4" t="s">
        <v>37</v>
      </c>
      <c r="K29" s="4" t="s">
        <v>36</v>
      </c>
    </row>
    <row r="30" spans="1:11" x14ac:dyDescent="0.2">
      <c r="A30" s="4">
        <v>5029</v>
      </c>
      <c r="B30" s="4">
        <v>1087</v>
      </c>
      <c r="C30" s="8">
        <v>46079</v>
      </c>
      <c r="D30" s="8">
        <v>46086</v>
      </c>
      <c r="E30" s="10">
        <f t="shared" si="0"/>
        <v>7</v>
      </c>
      <c r="F30" s="4" t="s">
        <v>23</v>
      </c>
      <c r="G30" s="4" t="s">
        <v>11</v>
      </c>
      <c r="H30" s="4">
        <v>41799</v>
      </c>
      <c r="I30" s="4" t="str">
        <f>VLOOKUP(B30,Customers!$A:$D,4,FALSE)</f>
        <v>Premium</v>
      </c>
      <c r="J30" s="4" t="s">
        <v>35</v>
      </c>
      <c r="K30" s="4" t="s">
        <v>36</v>
      </c>
    </row>
    <row r="31" spans="1:11" x14ac:dyDescent="0.2">
      <c r="A31" s="4">
        <v>5030</v>
      </c>
      <c r="B31" s="4">
        <v>1100</v>
      </c>
      <c r="C31" s="8">
        <v>46158</v>
      </c>
      <c r="D31" s="8">
        <v>46168</v>
      </c>
      <c r="E31" s="10">
        <f t="shared" si="0"/>
        <v>10</v>
      </c>
      <c r="F31" s="4" t="s">
        <v>19</v>
      </c>
      <c r="G31" s="4" t="s">
        <v>14</v>
      </c>
      <c r="H31" s="4">
        <v>47969</v>
      </c>
      <c r="I31" s="4" t="str">
        <f>VLOOKUP(B31,Customers!$A:$D,4,FALSE)</f>
        <v>Regular</v>
      </c>
      <c r="J31" s="4" t="s">
        <v>35</v>
      </c>
      <c r="K31" s="4" t="s">
        <v>36</v>
      </c>
    </row>
    <row r="32" spans="1:11" x14ac:dyDescent="0.2">
      <c r="A32" s="4">
        <v>5031</v>
      </c>
      <c r="B32" s="4">
        <v>1075</v>
      </c>
      <c r="C32" s="8">
        <v>46083</v>
      </c>
      <c r="D32" s="8">
        <v>46086</v>
      </c>
      <c r="E32" s="10">
        <f t="shared" si="0"/>
        <v>3</v>
      </c>
      <c r="F32" s="4" t="s">
        <v>22</v>
      </c>
      <c r="G32" s="4" t="s">
        <v>13</v>
      </c>
      <c r="H32" s="4">
        <v>11670</v>
      </c>
      <c r="I32" s="4" t="str">
        <f>VLOOKUP(B32,Customers!$A:$D,4,FALSE)</f>
        <v>Premium</v>
      </c>
      <c r="J32" s="4" t="s">
        <v>35</v>
      </c>
      <c r="K32" s="4" t="s">
        <v>36</v>
      </c>
    </row>
    <row r="33" spans="1:11" x14ac:dyDescent="0.2">
      <c r="A33" s="4">
        <v>5032</v>
      </c>
      <c r="B33" s="4">
        <v>1253</v>
      </c>
      <c r="C33" s="8">
        <v>46042</v>
      </c>
      <c r="D33" s="8">
        <v>46046</v>
      </c>
      <c r="E33" s="10">
        <f t="shared" si="0"/>
        <v>4</v>
      </c>
      <c r="F33" s="4" t="s">
        <v>25</v>
      </c>
      <c r="G33" s="4" t="s">
        <v>11</v>
      </c>
      <c r="H33" s="4">
        <v>38276</v>
      </c>
      <c r="I33" s="4" t="str">
        <f>VLOOKUP(B33,Customers!$A:$D,4,FALSE)</f>
        <v>Regular</v>
      </c>
      <c r="J33" s="4" t="s">
        <v>37</v>
      </c>
      <c r="K33" s="4" t="s">
        <v>36</v>
      </c>
    </row>
    <row r="34" spans="1:11" x14ac:dyDescent="0.2">
      <c r="A34" s="4">
        <v>5033</v>
      </c>
      <c r="B34" s="4">
        <v>1162</v>
      </c>
      <c r="C34" s="8">
        <v>46167</v>
      </c>
      <c r="D34" s="8">
        <v>46174</v>
      </c>
      <c r="E34" s="10">
        <f t="shared" si="0"/>
        <v>7</v>
      </c>
      <c r="F34" s="4" t="s">
        <v>18</v>
      </c>
      <c r="G34" s="4" t="s">
        <v>15</v>
      </c>
      <c r="H34" s="4">
        <v>4775</v>
      </c>
      <c r="I34" s="4" t="str">
        <f>VLOOKUP(B34,Customers!$A:$D,4,FALSE)</f>
        <v>Premium</v>
      </c>
      <c r="J34" s="4" t="s">
        <v>37</v>
      </c>
      <c r="K34" s="4" t="s">
        <v>36</v>
      </c>
    </row>
    <row r="35" spans="1:11" x14ac:dyDescent="0.2">
      <c r="A35" s="4">
        <v>5034</v>
      </c>
      <c r="B35" s="4">
        <v>1141</v>
      </c>
      <c r="C35" s="8">
        <v>46136</v>
      </c>
      <c r="D35" s="8">
        <v>46142</v>
      </c>
      <c r="E35" s="10">
        <f t="shared" si="0"/>
        <v>6</v>
      </c>
      <c r="F35" s="4" t="s">
        <v>20</v>
      </c>
      <c r="G35" s="4" t="s">
        <v>14</v>
      </c>
      <c r="H35" s="4">
        <v>33548</v>
      </c>
      <c r="I35" s="4" t="str">
        <f>VLOOKUP(B35,Customers!$A:$D,4,FALSE)</f>
        <v>Premium</v>
      </c>
      <c r="J35" s="4" t="s">
        <v>35</v>
      </c>
      <c r="K35" s="4" t="s">
        <v>36</v>
      </c>
    </row>
    <row r="36" spans="1:11" x14ac:dyDescent="0.2">
      <c r="A36" s="4">
        <v>5035</v>
      </c>
      <c r="B36" s="4">
        <v>1232</v>
      </c>
      <c r="C36" s="8">
        <v>46102</v>
      </c>
      <c r="D36" s="8">
        <v>46111</v>
      </c>
      <c r="E36" s="10">
        <f t="shared" si="0"/>
        <v>9</v>
      </c>
      <c r="F36" s="4" t="s">
        <v>20</v>
      </c>
      <c r="G36" s="4" t="s">
        <v>12</v>
      </c>
      <c r="H36" s="4">
        <v>24465</v>
      </c>
      <c r="I36" s="4" t="str">
        <f>VLOOKUP(B36,Customers!$A:$D,4,FALSE)</f>
        <v>Regular</v>
      </c>
      <c r="J36" s="4" t="s">
        <v>37</v>
      </c>
      <c r="K36" s="4" t="s">
        <v>36</v>
      </c>
    </row>
    <row r="37" spans="1:11" x14ac:dyDescent="0.2">
      <c r="A37" s="4">
        <v>5036</v>
      </c>
      <c r="B37" s="4">
        <v>1260</v>
      </c>
      <c r="C37" s="8">
        <v>46042</v>
      </c>
      <c r="D37" s="8">
        <v>46045</v>
      </c>
      <c r="E37" s="10">
        <f t="shared" si="0"/>
        <v>3</v>
      </c>
      <c r="F37" s="4" t="s">
        <v>21</v>
      </c>
      <c r="G37" s="4" t="s">
        <v>15</v>
      </c>
      <c r="H37" s="4">
        <v>38332</v>
      </c>
      <c r="I37" s="4" t="str">
        <f>VLOOKUP(B37,Customers!$A:$D,4,FALSE)</f>
        <v>Regular</v>
      </c>
      <c r="J37" s="4" t="s">
        <v>35</v>
      </c>
      <c r="K37" s="4" t="s">
        <v>36</v>
      </c>
    </row>
    <row r="38" spans="1:11" x14ac:dyDescent="0.2">
      <c r="A38" s="4">
        <v>5037</v>
      </c>
      <c r="B38" s="4">
        <v>1165</v>
      </c>
      <c r="C38" s="8">
        <v>46138</v>
      </c>
      <c r="D38" s="8">
        <v>46143</v>
      </c>
      <c r="E38" s="10">
        <f t="shared" si="0"/>
        <v>5</v>
      </c>
      <c r="F38" s="4" t="s">
        <v>25</v>
      </c>
      <c r="G38" s="4" t="s">
        <v>11</v>
      </c>
      <c r="H38" s="4">
        <v>10186</v>
      </c>
      <c r="I38" s="4" t="str">
        <f>VLOOKUP(B38,Customers!$A:$D,4,FALSE)</f>
        <v>Regular</v>
      </c>
      <c r="J38" s="4" t="s">
        <v>35</v>
      </c>
      <c r="K38" s="4" t="s">
        <v>36</v>
      </c>
    </row>
    <row r="39" spans="1:11" x14ac:dyDescent="0.2">
      <c r="A39" s="4">
        <v>5038</v>
      </c>
      <c r="B39" s="4">
        <v>1176</v>
      </c>
      <c r="C39" s="8">
        <v>46138</v>
      </c>
      <c r="D39" s="8">
        <v>46141</v>
      </c>
      <c r="E39" s="10">
        <f t="shared" si="0"/>
        <v>3</v>
      </c>
      <c r="F39" s="4" t="s">
        <v>23</v>
      </c>
      <c r="G39" s="4" t="s">
        <v>11</v>
      </c>
      <c r="H39" s="4">
        <v>42644</v>
      </c>
      <c r="I39" s="4" t="str">
        <f>VLOOKUP(B39,Customers!$A:$D,4,FALSE)</f>
        <v>Premium</v>
      </c>
      <c r="J39" s="4" t="s">
        <v>35</v>
      </c>
      <c r="K39" s="4" t="s">
        <v>36</v>
      </c>
    </row>
    <row r="40" spans="1:11" x14ac:dyDescent="0.2">
      <c r="A40" s="4">
        <v>5039</v>
      </c>
      <c r="B40" s="4">
        <v>1225</v>
      </c>
      <c r="C40" s="8">
        <v>46033</v>
      </c>
      <c r="D40" s="8">
        <v>46038</v>
      </c>
      <c r="E40" s="10">
        <f t="shared" si="0"/>
        <v>5</v>
      </c>
      <c r="F40" s="4" t="s">
        <v>25</v>
      </c>
      <c r="G40" s="4" t="s">
        <v>11</v>
      </c>
      <c r="H40" s="4">
        <v>34558</v>
      </c>
      <c r="I40" s="4" t="str">
        <f>VLOOKUP(B40,Customers!$A:$D,4,FALSE)</f>
        <v>Regular</v>
      </c>
      <c r="J40" s="4" t="s">
        <v>35</v>
      </c>
      <c r="K40" s="4" t="s">
        <v>36</v>
      </c>
    </row>
    <row r="41" spans="1:11" x14ac:dyDescent="0.2">
      <c r="A41" s="4">
        <v>5040</v>
      </c>
      <c r="B41" s="4">
        <v>1145</v>
      </c>
      <c r="C41" s="8">
        <v>46116</v>
      </c>
      <c r="D41" s="8">
        <v>46123</v>
      </c>
      <c r="E41" s="10">
        <f t="shared" si="0"/>
        <v>7</v>
      </c>
      <c r="F41" s="4" t="s">
        <v>21</v>
      </c>
      <c r="G41" s="4" t="s">
        <v>15</v>
      </c>
      <c r="H41" s="4">
        <v>22475</v>
      </c>
      <c r="I41" s="4" t="str">
        <f>VLOOKUP(B41,Customers!$A:$D,4,FALSE)</f>
        <v>Regular</v>
      </c>
      <c r="J41" s="4" t="s">
        <v>35</v>
      </c>
      <c r="K41" s="4" t="s">
        <v>36</v>
      </c>
    </row>
    <row r="42" spans="1:11" x14ac:dyDescent="0.2">
      <c r="A42" s="4">
        <v>5041</v>
      </c>
      <c r="B42" s="4">
        <v>1169</v>
      </c>
      <c r="C42" s="8">
        <v>46108</v>
      </c>
      <c r="D42" s="8">
        <v>46111</v>
      </c>
      <c r="E42" s="10">
        <f t="shared" si="0"/>
        <v>3</v>
      </c>
      <c r="F42" s="4" t="s">
        <v>23</v>
      </c>
      <c r="G42" s="4" t="s">
        <v>11</v>
      </c>
      <c r="H42" s="4">
        <v>44758</v>
      </c>
      <c r="I42" s="4" t="str">
        <f>VLOOKUP(B42,Customers!$A:$D,4,FALSE)</f>
        <v>Premium</v>
      </c>
      <c r="J42" s="4" t="s">
        <v>37</v>
      </c>
      <c r="K42" s="4" t="s">
        <v>36</v>
      </c>
    </row>
    <row r="43" spans="1:11" x14ac:dyDescent="0.2">
      <c r="A43" s="4">
        <v>5042</v>
      </c>
      <c r="B43" s="4">
        <v>1077</v>
      </c>
      <c r="C43" s="8">
        <v>46095</v>
      </c>
      <c r="D43" s="8">
        <v>46101</v>
      </c>
      <c r="E43" s="10">
        <f t="shared" si="0"/>
        <v>6</v>
      </c>
      <c r="F43" s="4" t="s">
        <v>19</v>
      </c>
      <c r="G43" s="4" t="s">
        <v>12</v>
      </c>
      <c r="H43" s="4">
        <v>38490</v>
      </c>
      <c r="I43" s="4" t="str">
        <f>VLOOKUP(B43,Customers!$A:$D,4,FALSE)</f>
        <v>Regular</v>
      </c>
      <c r="J43" s="4" t="s">
        <v>35</v>
      </c>
      <c r="K43" s="4" t="s">
        <v>36</v>
      </c>
    </row>
    <row r="44" spans="1:11" x14ac:dyDescent="0.2">
      <c r="A44" s="4">
        <v>5043</v>
      </c>
      <c r="B44" s="4">
        <v>1201</v>
      </c>
      <c r="C44" s="8">
        <v>46112</v>
      </c>
      <c r="D44" s="8">
        <v>46118</v>
      </c>
      <c r="E44" s="10">
        <f t="shared" si="0"/>
        <v>6</v>
      </c>
      <c r="F44" s="4" t="s">
        <v>18</v>
      </c>
      <c r="G44" s="4" t="s">
        <v>11</v>
      </c>
      <c r="H44" s="4">
        <v>46754</v>
      </c>
      <c r="I44" s="4" t="str">
        <f>VLOOKUP(B44,Customers!$A:$D,4,FALSE)</f>
        <v>Premium</v>
      </c>
      <c r="J44" s="4" t="s">
        <v>35</v>
      </c>
      <c r="K44" s="4" t="s">
        <v>36</v>
      </c>
    </row>
    <row r="45" spans="1:11" x14ac:dyDescent="0.2">
      <c r="A45" s="4">
        <v>5044</v>
      </c>
      <c r="B45" s="4">
        <v>1193</v>
      </c>
      <c r="C45" s="8">
        <v>46102</v>
      </c>
      <c r="D45" s="8">
        <v>46112</v>
      </c>
      <c r="E45" s="10">
        <f t="shared" si="0"/>
        <v>10</v>
      </c>
      <c r="F45" s="4" t="s">
        <v>19</v>
      </c>
      <c r="G45" s="4" t="s">
        <v>13</v>
      </c>
      <c r="H45" s="4">
        <v>44216</v>
      </c>
      <c r="I45" s="4" t="str">
        <f>VLOOKUP(B45,Customers!$A:$D,4,FALSE)</f>
        <v>Regular</v>
      </c>
      <c r="J45" s="4" t="s">
        <v>35</v>
      </c>
      <c r="K45" s="4" t="s">
        <v>36</v>
      </c>
    </row>
    <row r="46" spans="1:11" x14ac:dyDescent="0.2">
      <c r="A46" s="4">
        <v>5045</v>
      </c>
      <c r="B46" s="4">
        <v>1186</v>
      </c>
      <c r="C46" s="8">
        <v>46131</v>
      </c>
      <c r="D46" s="8">
        <v>46141</v>
      </c>
      <c r="E46" s="10">
        <f t="shared" si="0"/>
        <v>10</v>
      </c>
      <c r="F46" s="4" t="s">
        <v>20</v>
      </c>
      <c r="G46" s="4" t="s">
        <v>14</v>
      </c>
      <c r="H46" s="4">
        <v>20541</v>
      </c>
      <c r="I46" s="4" t="str">
        <f>VLOOKUP(B46,Customers!$A:$D,4,FALSE)</f>
        <v>Premium</v>
      </c>
      <c r="J46" s="4" t="s">
        <v>35</v>
      </c>
      <c r="K46" s="4" t="s">
        <v>36</v>
      </c>
    </row>
    <row r="47" spans="1:11" x14ac:dyDescent="0.2">
      <c r="A47" s="4">
        <v>5046</v>
      </c>
      <c r="B47" s="4">
        <v>1249</v>
      </c>
      <c r="C47" s="8">
        <v>46077</v>
      </c>
      <c r="D47" s="8">
        <v>46084</v>
      </c>
      <c r="E47" s="10">
        <f t="shared" si="0"/>
        <v>7</v>
      </c>
      <c r="F47" s="4" t="s">
        <v>24</v>
      </c>
      <c r="G47" s="4" t="s">
        <v>13</v>
      </c>
      <c r="H47" s="4">
        <v>9315</v>
      </c>
      <c r="I47" s="4" t="str">
        <f>VLOOKUP(B47,Customers!$A:$D,4,FALSE)</f>
        <v>Regular</v>
      </c>
      <c r="J47" s="4" t="s">
        <v>35</v>
      </c>
      <c r="K47" s="4" t="s">
        <v>36</v>
      </c>
    </row>
    <row r="48" spans="1:11" x14ac:dyDescent="0.2">
      <c r="A48" s="4">
        <v>5047</v>
      </c>
      <c r="B48" s="4">
        <v>1052</v>
      </c>
      <c r="C48" s="8">
        <v>46042</v>
      </c>
      <c r="D48" s="8">
        <v>46048</v>
      </c>
      <c r="E48" s="10">
        <f t="shared" si="0"/>
        <v>6</v>
      </c>
      <c r="F48" s="4" t="s">
        <v>20</v>
      </c>
      <c r="G48" s="4" t="s">
        <v>14</v>
      </c>
      <c r="H48" s="4">
        <v>40803</v>
      </c>
      <c r="I48" s="4" t="str">
        <f>VLOOKUP(B48,Customers!$A:$D,4,FALSE)</f>
        <v>Premium</v>
      </c>
      <c r="J48" s="4" t="s">
        <v>35</v>
      </c>
      <c r="K48" s="4" t="s">
        <v>36</v>
      </c>
    </row>
    <row r="49" spans="1:11" x14ac:dyDescent="0.2">
      <c r="A49" s="4">
        <v>5048</v>
      </c>
      <c r="B49" s="4">
        <v>1084</v>
      </c>
      <c r="C49" s="8">
        <v>46119</v>
      </c>
      <c r="D49" s="8">
        <v>46123</v>
      </c>
      <c r="E49" s="10">
        <f t="shared" si="0"/>
        <v>4</v>
      </c>
      <c r="F49" s="4" t="s">
        <v>18</v>
      </c>
      <c r="G49" s="4" t="s">
        <v>11</v>
      </c>
      <c r="H49" s="4">
        <v>11148</v>
      </c>
      <c r="I49" s="4" t="str">
        <f>VLOOKUP(B49,Customers!$A:$D,4,FALSE)</f>
        <v>Premium</v>
      </c>
      <c r="J49" s="4" t="s">
        <v>37</v>
      </c>
      <c r="K49" s="4" t="s">
        <v>36</v>
      </c>
    </row>
    <row r="50" spans="1:11" x14ac:dyDescent="0.2">
      <c r="A50" s="4">
        <v>5049</v>
      </c>
      <c r="B50" s="4">
        <v>1187</v>
      </c>
      <c r="C50" s="8">
        <v>46034</v>
      </c>
      <c r="D50" s="8">
        <v>46042</v>
      </c>
      <c r="E50" s="10">
        <f t="shared" si="0"/>
        <v>8</v>
      </c>
      <c r="F50" s="4" t="s">
        <v>24</v>
      </c>
      <c r="G50" s="4" t="s">
        <v>15</v>
      </c>
      <c r="H50" s="4">
        <v>40315</v>
      </c>
      <c r="I50" s="4" t="str">
        <f>VLOOKUP(B50,Customers!$A:$D,4,FALSE)</f>
        <v>Regular</v>
      </c>
      <c r="J50" s="4" t="s">
        <v>37</v>
      </c>
      <c r="K50" s="4" t="s">
        <v>36</v>
      </c>
    </row>
    <row r="51" spans="1:11" x14ac:dyDescent="0.2">
      <c r="A51" s="4">
        <v>5050</v>
      </c>
      <c r="B51" s="4">
        <v>1274</v>
      </c>
      <c r="C51" s="8">
        <v>46137</v>
      </c>
      <c r="D51" s="8">
        <v>46142</v>
      </c>
      <c r="E51" s="10">
        <f t="shared" si="0"/>
        <v>5</v>
      </c>
      <c r="F51" s="4" t="s">
        <v>24</v>
      </c>
      <c r="G51" s="4" t="s">
        <v>14</v>
      </c>
      <c r="H51" s="4">
        <v>31037</v>
      </c>
      <c r="I51" s="4" t="str">
        <f>VLOOKUP(B51,Customers!$A:$D,4,FALSE)</f>
        <v>Regular</v>
      </c>
      <c r="J51" s="4" t="s">
        <v>35</v>
      </c>
      <c r="K51" s="4" t="s">
        <v>36</v>
      </c>
    </row>
    <row r="52" spans="1:11" x14ac:dyDescent="0.2">
      <c r="A52" s="4">
        <v>5051</v>
      </c>
      <c r="B52" s="4">
        <v>1237</v>
      </c>
      <c r="C52" s="8">
        <v>46117</v>
      </c>
      <c r="D52" s="8">
        <v>46126</v>
      </c>
      <c r="E52" s="10">
        <f t="shared" si="0"/>
        <v>9</v>
      </c>
      <c r="F52" s="4" t="s">
        <v>22</v>
      </c>
      <c r="G52" s="4" t="s">
        <v>15</v>
      </c>
      <c r="H52" s="4">
        <v>33258</v>
      </c>
      <c r="I52" s="4" t="str">
        <f>VLOOKUP(B52,Customers!$A:$D,4,FALSE)</f>
        <v>Premium</v>
      </c>
      <c r="J52" s="4" t="s">
        <v>37</v>
      </c>
      <c r="K52" s="4" t="s">
        <v>36</v>
      </c>
    </row>
    <row r="53" spans="1:11" x14ac:dyDescent="0.2">
      <c r="A53" s="4">
        <v>5052</v>
      </c>
      <c r="B53" s="4">
        <v>1071</v>
      </c>
      <c r="C53" s="8">
        <v>46064</v>
      </c>
      <c r="D53" s="8">
        <v>46069</v>
      </c>
      <c r="E53" s="10">
        <f t="shared" si="0"/>
        <v>5</v>
      </c>
      <c r="F53" s="4" t="s">
        <v>22</v>
      </c>
      <c r="G53" s="4" t="s">
        <v>12</v>
      </c>
      <c r="H53" s="4">
        <v>42320</v>
      </c>
      <c r="I53" s="4" t="str">
        <f>VLOOKUP(B53,Customers!$A:$D,4,FALSE)</f>
        <v>Regular</v>
      </c>
      <c r="J53" s="4" t="s">
        <v>37</v>
      </c>
      <c r="K53" s="4" t="s">
        <v>36</v>
      </c>
    </row>
    <row r="54" spans="1:11" x14ac:dyDescent="0.2">
      <c r="A54" s="4">
        <v>5053</v>
      </c>
      <c r="B54" s="4">
        <v>1053</v>
      </c>
      <c r="C54" s="8">
        <v>46118</v>
      </c>
      <c r="D54" s="8">
        <v>46128</v>
      </c>
      <c r="E54" s="10">
        <f t="shared" si="0"/>
        <v>10</v>
      </c>
      <c r="F54" s="4" t="s">
        <v>23</v>
      </c>
      <c r="G54" s="4" t="s">
        <v>14</v>
      </c>
      <c r="H54" s="4">
        <v>5796</v>
      </c>
      <c r="I54" s="4" t="str">
        <f>VLOOKUP(B54,Customers!$A:$D,4,FALSE)</f>
        <v>Regular</v>
      </c>
      <c r="J54" s="4" t="s">
        <v>35</v>
      </c>
      <c r="K54" s="4" t="s">
        <v>36</v>
      </c>
    </row>
    <row r="55" spans="1:11" x14ac:dyDescent="0.2">
      <c r="A55" s="4">
        <v>5054</v>
      </c>
      <c r="B55" s="4">
        <v>1263</v>
      </c>
      <c r="C55" s="8">
        <v>46092</v>
      </c>
      <c r="D55" s="8">
        <v>46101</v>
      </c>
      <c r="E55" s="10">
        <f t="shared" si="0"/>
        <v>9</v>
      </c>
      <c r="F55" s="4" t="s">
        <v>18</v>
      </c>
      <c r="G55" s="4" t="s">
        <v>15</v>
      </c>
      <c r="H55" s="4">
        <v>6310</v>
      </c>
      <c r="I55" s="4" t="str">
        <f>VLOOKUP(B55,Customers!$A:$D,4,FALSE)</f>
        <v>Premium</v>
      </c>
      <c r="J55" s="4" t="s">
        <v>35</v>
      </c>
      <c r="K55" s="4" t="s">
        <v>36</v>
      </c>
    </row>
    <row r="56" spans="1:11" x14ac:dyDescent="0.2">
      <c r="A56" s="4">
        <v>5055</v>
      </c>
      <c r="B56" s="4">
        <v>1014</v>
      </c>
      <c r="C56" s="8">
        <v>46138</v>
      </c>
      <c r="D56" s="8">
        <v>46145</v>
      </c>
      <c r="E56" s="10">
        <f t="shared" si="0"/>
        <v>7</v>
      </c>
      <c r="F56" s="4" t="s">
        <v>21</v>
      </c>
      <c r="G56" s="4" t="s">
        <v>12</v>
      </c>
      <c r="H56" s="4">
        <v>26282</v>
      </c>
      <c r="I56" s="4" t="str">
        <f>VLOOKUP(B56,Customers!$A:$D,4,FALSE)</f>
        <v>Regular</v>
      </c>
      <c r="J56" s="4" t="s">
        <v>37</v>
      </c>
      <c r="K56" s="4" t="s">
        <v>36</v>
      </c>
    </row>
    <row r="57" spans="1:11" x14ac:dyDescent="0.2">
      <c r="A57" s="4">
        <v>5056</v>
      </c>
      <c r="B57" s="4">
        <v>1042</v>
      </c>
      <c r="C57" s="8">
        <v>46083</v>
      </c>
      <c r="D57" s="8">
        <v>46091</v>
      </c>
      <c r="E57" s="10">
        <f t="shared" si="0"/>
        <v>8</v>
      </c>
      <c r="F57" s="4" t="s">
        <v>19</v>
      </c>
      <c r="G57" s="4" t="s">
        <v>13</v>
      </c>
      <c r="H57" s="4">
        <v>2147</v>
      </c>
      <c r="I57" s="4" t="str">
        <f>VLOOKUP(B57,Customers!$A:$D,4,FALSE)</f>
        <v>Premium</v>
      </c>
      <c r="J57" s="4" t="s">
        <v>37</v>
      </c>
      <c r="K57" s="4" t="s">
        <v>36</v>
      </c>
    </row>
    <row r="58" spans="1:11" x14ac:dyDescent="0.2">
      <c r="A58" s="4">
        <v>5057</v>
      </c>
      <c r="B58" s="4">
        <v>1075</v>
      </c>
      <c r="C58" s="8">
        <v>46048</v>
      </c>
      <c r="D58" s="8">
        <v>46055</v>
      </c>
      <c r="E58" s="10">
        <f t="shared" si="0"/>
        <v>7</v>
      </c>
      <c r="F58" s="4" t="s">
        <v>18</v>
      </c>
      <c r="G58" s="4" t="s">
        <v>12</v>
      </c>
      <c r="H58" s="4">
        <v>19100</v>
      </c>
      <c r="I58" s="4" t="str">
        <f>VLOOKUP(B58,Customers!$A:$D,4,FALSE)</f>
        <v>Premium</v>
      </c>
      <c r="J58" s="4" t="s">
        <v>37</v>
      </c>
      <c r="K58" s="4" t="s">
        <v>36</v>
      </c>
    </row>
    <row r="59" spans="1:11" x14ac:dyDescent="0.2">
      <c r="A59" s="4">
        <v>5058</v>
      </c>
      <c r="B59" s="4">
        <v>1230</v>
      </c>
      <c r="C59" s="8">
        <v>46058</v>
      </c>
      <c r="D59" s="8">
        <v>46067</v>
      </c>
      <c r="E59" s="10">
        <f t="shared" si="0"/>
        <v>9</v>
      </c>
      <c r="F59" s="4" t="s">
        <v>20</v>
      </c>
      <c r="G59" s="4" t="s">
        <v>12</v>
      </c>
      <c r="H59" s="4">
        <v>1545</v>
      </c>
      <c r="I59" s="4" t="str">
        <f>VLOOKUP(B59,Customers!$A:$D,4,FALSE)</f>
        <v>Premium</v>
      </c>
      <c r="J59" s="4" t="s">
        <v>37</v>
      </c>
      <c r="K59" s="4" t="s">
        <v>36</v>
      </c>
    </row>
    <row r="60" spans="1:11" x14ac:dyDescent="0.2">
      <c r="A60" s="4">
        <v>5059</v>
      </c>
      <c r="B60" s="4">
        <v>1281</v>
      </c>
      <c r="C60" s="8">
        <v>46078</v>
      </c>
      <c r="D60" s="8">
        <v>46082</v>
      </c>
      <c r="E60" s="10">
        <f t="shared" si="0"/>
        <v>4</v>
      </c>
      <c r="F60" s="4" t="s">
        <v>21</v>
      </c>
      <c r="G60" s="4" t="s">
        <v>12</v>
      </c>
      <c r="H60" s="4">
        <v>19181</v>
      </c>
      <c r="I60" s="4" t="str">
        <f>VLOOKUP(B60,Customers!$A:$D,4,FALSE)</f>
        <v>Premium</v>
      </c>
      <c r="J60" s="4" t="s">
        <v>35</v>
      </c>
      <c r="K60" s="4" t="s">
        <v>36</v>
      </c>
    </row>
    <row r="61" spans="1:11" x14ac:dyDescent="0.2">
      <c r="A61" s="4">
        <v>5060</v>
      </c>
      <c r="B61" s="4">
        <v>1025</v>
      </c>
      <c r="C61" s="8">
        <v>46100</v>
      </c>
      <c r="D61" s="8">
        <v>46103</v>
      </c>
      <c r="E61" s="10">
        <f t="shared" si="0"/>
        <v>3</v>
      </c>
      <c r="F61" s="4" t="s">
        <v>24</v>
      </c>
      <c r="G61" s="4" t="s">
        <v>15</v>
      </c>
      <c r="H61" s="4">
        <v>42174</v>
      </c>
      <c r="I61" s="4" t="str">
        <f>VLOOKUP(B61,Customers!$A:$D,4,FALSE)</f>
        <v>Regular</v>
      </c>
      <c r="J61" s="4" t="s">
        <v>37</v>
      </c>
      <c r="K61" s="4" t="s">
        <v>36</v>
      </c>
    </row>
    <row r="62" spans="1:11" x14ac:dyDescent="0.2">
      <c r="A62" s="4">
        <v>5061</v>
      </c>
      <c r="B62" s="4">
        <v>1256</v>
      </c>
      <c r="C62" s="8">
        <v>46039</v>
      </c>
      <c r="D62" s="8">
        <v>46042</v>
      </c>
      <c r="E62" s="10">
        <f t="shared" si="0"/>
        <v>3</v>
      </c>
      <c r="F62" s="4" t="s">
        <v>20</v>
      </c>
      <c r="G62" s="4" t="s">
        <v>11</v>
      </c>
      <c r="H62" s="4">
        <v>37986</v>
      </c>
      <c r="I62" s="4" t="str">
        <f>VLOOKUP(B62,Customers!$A:$D,4,FALSE)</f>
        <v>Premium</v>
      </c>
      <c r="J62" s="4" t="s">
        <v>35</v>
      </c>
      <c r="K62" s="4" t="s">
        <v>36</v>
      </c>
    </row>
    <row r="63" spans="1:11" x14ac:dyDescent="0.2">
      <c r="A63" s="4">
        <v>5062</v>
      </c>
      <c r="B63" s="4">
        <v>1220</v>
      </c>
      <c r="C63" s="8">
        <v>46059</v>
      </c>
      <c r="D63" s="8">
        <v>46065</v>
      </c>
      <c r="E63" s="10">
        <f t="shared" si="0"/>
        <v>6</v>
      </c>
      <c r="F63" s="4" t="s">
        <v>20</v>
      </c>
      <c r="G63" s="4" t="s">
        <v>11</v>
      </c>
      <c r="H63" s="4">
        <v>23422</v>
      </c>
      <c r="I63" s="4" t="str">
        <f>VLOOKUP(B63,Customers!$A:$D,4,FALSE)</f>
        <v>Premium</v>
      </c>
      <c r="J63" s="4" t="s">
        <v>35</v>
      </c>
      <c r="K63" s="4" t="s">
        <v>36</v>
      </c>
    </row>
    <row r="64" spans="1:11" x14ac:dyDescent="0.2">
      <c r="A64" s="4">
        <v>5063</v>
      </c>
      <c r="B64" s="4">
        <v>1096</v>
      </c>
      <c r="C64" s="8">
        <v>46169</v>
      </c>
      <c r="D64" s="8">
        <v>46177</v>
      </c>
      <c r="E64" s="10">
        <f t="shared" si="0"/>
        <v>8</v>
      </c>
      <c r="F64" s="4" t="s">
        <v>23</v>
      </c>
      <c r="G64" s="4" t="s">
        <v>11</v>
      </c>
      <c r="H64" s="4">
        <v>23932</v>
      </c>
      <c r="I64" s="4" t="str">
        <f>VLOOKUP(B64,Customers!$A:$D,4,FALSE)</f>
        <v>Regular</v>
      </c>
      <c r="J64" s="4" t="s">
        <v>35</v>
      </c>
      <c r="K64" s="4" t="s">
        <v>36</v>
      </c>
    </row>
    <row r="65" spans="1:11" x14ac:dyDescent="0.2">
      <c r="A65" s="4">
        <v>5064</v>
      </c>
      <c r="B65" s="4">
        <v>1260</v>
      </c>
      <c r="C65" s="8">
        <v>46157</v>
      </c>
      <c r="D65" s="8">
        <v>46167</v>
      </c>
      <c r="E65" s="10">
        <f t="shared" si="0"/>
        <v>10</v>
      </c>
      <c r="F65" s="4" t="s">
        <v>20</v>
      </c>
      <c r="G65" s="4" t="s">
        <v>15</v>
      </c>
      <c r="H65" s="4">
        <v>31110</v>
      </c>
      <c r="I65" s="4" t="str">
        <f>VLOOKUP(B65,Customers!$A:$D,4,FALSE)</f>
        <v>Regular</v>
      </c>
      <c r="J65" s="4" t="s">
        <v>35</v>
      </c>
      <c r="K65" s="4" t="s">
        <v>36</v>
      </c>
    </row>
    <row r="66" spans="1:11" x14ac:dyDescent="0.2">
      <c r="A66" s="4">
        <v>5065</v>
      </c>
      <c r="B66" s="4">
        <v>1130</v>
      </c>
      <c r="C66" s="8">
        <v>46122</v>
      </c>
      <c r="D66" s="8">
        <v>46129</v>
      </c>
      <c r="E66" s="10">
        <f t="shared" si="0"/>
        <v>7</v>
      </c>
      <c r="F66" s="4" t="s">
        <v>20</v>
      </c>
      <c r="G66" s="4" t="s">
        <v>14</v>
      </c>
      <c r="H66" s="4">
        <v>4727</v>
      </c>
      <c r="I66" s="4" t="str">
        <f>VLOOKUP(B66,Customers!$A:$D,4,FALSE)</f>
        <v>Premium</v>
      </c>
      <c r="J66" s="4" t="s">
        <v>37</v>
      </c>
      <c r="K66" s="4" t="s">
        <v>36</v>
      </c>
    </row>
    <row r="67" spans="1:11" x14ac:dyDescent="0.2">
      <c r="A67" s="4">
        <v>5066</v>
      </c>
      <c r="B67" s="4">
        <v>1298</v>
      </c>
      <c r="C67" s="8">
        <v>46084</v>
      </c>
      <c r="D67" s="8">
        <v>46087</v>
      </c>
      <c r="E67" s="10">
        <f t="shared" ref="E67:E130" si="1">D67-C67</f>
        <v>3</v>
      </c>
      <c r="F67" s="4" t="s">
        <v>19</v>
      </c>
      <c r="G67" s="4" t="s">
        <v>13</v>
      </c>
      <c r="H67" s="4">
        <v>3205</v>
      </c>
      <c r="I67" s="4" t="str">
        <f>VLOOKUP(B67,Customers!$A:$D,4,FALSE)</f>
        <v>Regular</v>
      </c>
      <c r="J67" s="4" t="s">
        <v>37</v>
      </c>
      <c r="K67" s="4" t="s">
        <v>36</v>
      </c>
    </row>
    <row r="68" spans="1:11" x14ac:dyDescent="0.2">
      <c r="A68" s="4">
        <v>5067</v>
      </c>
      <c r="B68" s="4">
        <v>1090</v>
      </c>
      <c r="C68" s="8">
        <v>46162</v>
      </c>
      <c r="D68" s="8">
        <v>46169</v>
      </c>
      <c r="E68" s="10">
        <f t="shared" si="1"/>
        <v>7</v>
      </c>
      <c r="F68" s="4" t="s">
        <v>25</v>
      </c>
      <c r="G68" s="4" t="s">
        <v>15</v>
      </c>
      <c r="H68" s="4">
        <v>41701</v>
      </c>
      <c r="I68" s="4" t="str">
        <f>VLOOKUP(B68,Customers!$A:$D,4,FALSE)</f>
        <v>Regular</v>
      </c>
      <c r="J68" s="4" t="s">
        <v>35</v>
      </c>
      <c r="K68" s="4" t="s">
        <v>36</v>
      </c>
    </row>
    <row r="69" spans="1:11" x14ac:dyDescent="0.2">
      <c r="A69" s="4">
        <v>5068</v>
      </c>
      <c r="B69" s="4">
        <v>1235</v>
      </c>
      <c r="C69" s="8">
        <v>46057</v>
      </c>
      <c r="D69" s="8">
        <v>46060</v>
      </c>
      <c r="E69" s="10">
        <f t="shared" si="1"/>
        <v>3</v>
      </c>
      <c r="F69" s="4" t="s">
        <v>20</v>
      </c>
      <c r="G69" s="4" t="s">
        <v>14</v>
      </c>
      <c r="H69" s="4">
        <v>13511</v>
      </c>
      <c r="I69" s="4" t="str">
        <f>VLOOKUP(B69,Customers!$A:$D,4,FALSE)</f>
        <v>Premium</v>
      </c>
      <c r="J69" s="4" t="s">
        <v>35</v>
      </c>
      <c r="K69" s="4" t="s">
        <v>36</v>
      </c>
    </row>
    <row r="70" spans="1:11" x14ac:dyDescent="0.2">
      <c r="A70" s="4">
        <v>5069</v>
      </c>
      <c r="B70" s="4">
        <v>1162</v>
      </c>
      <c r="C70" s="8">
        <v>46074</v>
      </c>
      <c r="D70" s="8">
        <v>46076</v>
      </c>
      <c r="E70" s="10">
        <f t="shared" si="1"/>
        <v>2</v>
      </c>
      <c r="F70" s="4" t="s">
        <v>22</v>
      </c>
      <c r="G70" s="4" t="s">
        <v>11</v>
      </c>
      <c r="H70" s="4">
        <v>26398</v>
      </c>
      <c r="I70" s="4" t="str">
        <f>VLOOKUP(B70,Customers!$A:$D,4,FALSE)</f>
        <v>Premium</v>
      </c>
      <c r="J70" s="4" t="s">
        <v>37</v>
      </c>
      <c r="K70" s="4" t="s">
        <v>36</v>
      </c>
    </row>
    <row r="71" spans="1:11" x14ac:dyDescent="0.2">
      <c r="A71" s="4">
        <v>5070</v>
      </c>
      <c r="B71" s="4">
        <v>1098</v>
      </c>
      <c r="C71" s="8">
        <v>46087</v>
      </c>
      <c r="D71" s="8">
        <v>46089</v>
      </c>
      <c r="E71" s="10">
        <f t="shared" si="1"/>
        <v>2</v>
      </c>
      <c r="F71" s="4" t="s">
        <v>22</v>
      </c>
      <c r="G71" s="4" t="s">
        <v>14</v>
      </c>
      <c r="H71" s="4">
        <v>3432</v>
      </c>
      <c r="I71" s="4" t="str">
        <f>VLOOKUP(B71,Customers!$A:$D,4,FALSE)</f>
        <v>Regular</v>
      </c>
      <c r="J71" s="4" t="s">
        <v>37</v>
      </c>
      <c r="K71" s="4" t="s">
        <v>36</v>
      </c>
    </row>
    <row r="72" spans="1:11" x14ac:dyDescent="0.2">
      <c r="A72" s="4">
        <v>5071</v>
      </c>
      <c r="B72" s="4">
        <v>1189</v>
      </c>
      <c r="C72" s="8">
        <v>46092</v>
      </c>
      <c r="D72" s="8">
        <v>46095</v>
      </c>
      <c r="E72" s="10">
        <f t="shared" si="1"/>
        <v>3</v>
      </c>
      <c r="F72" s="4" t="s">
        <v>21</v>
      </c>
      <c r="G72" s="4" t="s">
        <v>15</v>
      </c>
      <c r="H72" s="4">
        <v>49013</v>
      </c>
      <c r="I72" s="4" t="str">
        <f>VLOOKUP(B72,Customers!$A:$D,4,FALSE)</f>
        <v>Regular</v>
      </c>
      <c r="J72" s="4" t="s">
        <v>37</v>
      </c>
      <c r="K72" s="4" t="s">
        <v>36</v>
      </c>
    </row>
    <row r="73" spans="1:11" x14ac:dyDescent="0.2">
      <c r="A73" s="4">
        <v>5072</v>
      </c>
      <c r="B73" s="4">
        <v>1096</v>
      </c>
      <c r="C73" s="8">
        <v>46121</v>
      </c>
      <c r="D73" s="8">
        <v>46128</v>
      </c>
      <c r="E73" s="10">
        <f t="shared" si="1"/>
        <v>7</v>
      </c>
      <c r="F73" s="4" t="s">
        <v>25</v>
      </c>
      <c r="G73" s="4" t="s">
        <v>15</v>
      </c>
      <c r="H73" s="4">
        <v>24374</v>
      </c>
      <c r="I73" s="4" t="str">
        <f>VLOOKUP(B73,Customers!$A:$D,4,FALSE)</f>
        <v>Regular</v>
      </c>
      <c r="J73" s="4" t="s">
        <v>37</v>
      </c>
      <c r="K73" s="4" t="s">
        <v>36</v>
      </c>
    </row>
    <row r="74" spans="1:11" x14ac:dyDescent="0.2">
      <c r="A74" s="4">
        <v>5073</v>
      </c>
      <c r="B74" s="4">
        <v>1041</v>
      </c>
      <c r="C74" s="8">
        <v>46044</v>
      </c>
      <c r="D74" s="8">
        <v>46052</v>
      </c>
      <c r="E74" s="10">
        <f t="shared" si="1"/>
        <v>8</v>
      </c>
      <c r="F74" s="4" t="s">
        <v>21</v>
      </c>
      <c r="G74" s="4" t="s">
        <v>11</v>
      </c>
      <c r="H74" s="4">
        <v>12126</v>
      </c>
      <c r="I74" s="4" t="str">
        <f>VLOOKUP(B74,Customers!$A:$D,4,FALSE)</f>
        <v>Regular</v>
      </c>
      <c r="J74" s="4" t="s">
        <v>37</v>
      </c>
      <c r="K74" s="4" t="s">
        <v>36</v>
      </c>
    </row>
    <row r="75" spans="1:11" x14ac:dyDescent="0.2">
      <c r="A75" s="4">
        <v>5074</v>
      </c>
      <c r="B75" s="4">
        <v>1041</v>
      </c>
      <c r="C75" s="8">
        <v>46105</v>
      </c>
      <c r="D75" s="8">
        <v>46108</v>
      </c>
      <c r="E75" s="10">
        <f t="shared" si="1"/>
        <v>3</v>
      </c>
      <c r="F75" s="4" t="s">
        <v>19</v>
      </c>
      <c r="G75" s="4" t="s">
        <v>14</v>
      </c>
      <c r="H75" s="4">
        <v>20386</v>
      </c>
      <c r="I75" s="4" t="str">
        <f>VLOOKUP(B75,Customers!$A:$D,4,FALSE)</f>
        <v>Regular</v>
      </c>
      <c r="J75" s="4" t="s">
        <v>37</v>
      </c>
      <c r="K75" s="4" t="s">
        <v>36</v>
      </c>
    </row>
    <row r="76" spans="1:11" x14ac:dyDescent="0.2">
      <c r="A76" s="4">
        <v>5075</v>
      </c>
      <c r="B76" s="4">
        <v>1228</v>
      </c>
      <c r="C76" s="8">
        <v>46132</v>
      </c>
      <c r="D76" s="8">
        <v>46136</v>
      </c>
      <c r="E76" s="10">
        <f t="shared" si="1"/>
        <v>4</v>
      </c>
      <c r="F76" s="4" t="s">
        <v>19</v>
      </c>
      <c r="G76" s="4" t="s">
        <v>15</v>
      </c>
      <c r="H76" s="4">
        <v>3075</v>
      </c>
      <c r="I76" s="4" t="str">
        <f>VLOOKUP(B76,Customers!$A:$D,4,FALSE)</f>
        <v>Premium</v>
      </c>
      <c r="J76" s="4" t="s">
        <v>37</v>
      </c>
      <c r="K76" s="4" t="s">
        <v>36</v>
      </c>
    </row>
    <row r="77" spans="1:11" x14ac:dyDescent="0.2">
      <c r="A77" s="4">
        <v>5076</v>
      </c>
      <c r="B77" s="4">
        <v>1030</v>
      </c>
      <c r="C77" s="8">
        <v>46134</v>
      </c>
      <c r="D77" s="8">
        <v>46140</v>
      </c>
      <c r="E77" s="10">
        <f t="shared" si="1"/>
        <v>6</v>
      </c>
      <c r="F77" s="4" t="s">
        <v>23</v>
      </c>
      <c r="G77" s="4" t="s">
        <v>15</v>
      </c>
      <c r="H77" s="4">
        <v>24109</v>
      </c>
      <c r="I77" s="4" t="str">
        <f>VLOOKUP(B77,Customers!$A:$D,4,FALSE)</f>
        <v>Premium</v>
      </c>
      <c r="J77" s="4" t="s">
        <v>35</v>
      </c>
      <c r="K77" s="4" t="s">
        <v>36</v>
      </c>
    </row>
    <row r="78" spans="1:11" x14ac:dyDescent="0.2">
      <c r="A78" s="4">
        <v>5077</v>
      </c>
      <c r="B78" s="4">
        <v>1225</v>
      </c>
      <c r="C78" s="8">
        <v>46030</v>
      </c>
      <c r="D78" s="8">
        <v>46034</v>
      </c>
      <c r="E78" s="10">
        <f t="shared" si="1"/>
        <v>4</v>
      </c>
      <c r="F78" s="4" t="s">
        <v>20</v>
      </c>
      <c r="G78" s="4" t="s">
        <v>13</v>
      </c>
      <c r="H78" s="4">
        <v>4706</v>
      </c>
      <c r="I78" s="4" t="str">
        <f>VLOOKUP(B78,Customers!$A:$D,4,FALSE)</f>
        <v>Regular</v>
      </c>
      <c r="J78" s="4" t="s">
        <v>35</v>
      </c>
      <c r="K78" s="4" t="s">
        <v>36</v>
      </c>
    </row>
    <row r="79" spans="1:11" x14ac:dyDescent="0.2">
      <c r="A79" s="4">
        <v>5078</v>
      </c>
      <c r="B79" s="4">
        <v>1197</v>
      </c>
      <c r="C79" s="8">
        <v>46116</v>
      </c>
      <c r="D79" s="8">
        <v>46123</v>
      </c>
      <c r="E79" s="10">
        <f t="shared" si="1"/>
        <v>7</v>
      </c>
      <c r="F79" s="4" t="s">
        <v>20</v>
      </c>
      <c r="G79" s="4" t="s">
        <v>11</v>
      </c>
      <c r="H79" s="4">
        <v>10355</v>
      </c>
      <c r="I79" s="4" t="str">
        <f>VLOOKUP(B79,Customers!$A:$D,4,FALSE)</f>
        <v>Regular</v>
      </c>
      <c r="J79" s="4" t="s">
        <v>37</v>
      </c>
      <c r="K79" s="4" t="s">
        <v>36</v>
      </c>
    </row>
    <row r="80" spans="1:11" x14ac:dyDescent="0.2">
      <c r="A80" s="4">
        <v>5079</v>
      </c>
      <c r="B80" s="4">
        <v>1228</v>
      </c>
      <c r="C80" s="8">
        <v>46117</v>
      </c>
      <c r="D80" s="8">
        <v>46124</v>
      </c>
      <c r="E80" s="10">
        <f t="shared" si="1"/>
        <v>7</v>
      </c>
      <c r="F80" s="4" t="s">
        <v>23</v>
      </c>
      <c r="G80" s="4" t="s">
        <v>11</v>
      </c>
      <c r="H80" s="4">
        <v>9323</v>
      </c>
      <c r="I80" s="4" t="str">
        <f>VLOOKUP(B80,Customers!$A:$D,4,FALSE)</f>
        <v>Premium</v>
      </c>
      <c r="J80" s="4" t="s">
        <v>37</v>
      </c>
      <c r="K80" s="4" t="s">
        <v>36</v>
      </c>
    </row>
    <row r="81" spans="1:11" x14ac:dyDescent="0.2">
      <c r="A81" s="4">
        <v>5080</v>
      </c>
      <c r="B81" s="4">
        <v>1143</v>
      </c>
      <c r="C81" s="8">
        <v>46124</v>
      </c>
      <c r="D81" s="8">
        <v>46131</v>
      </c>
      <c r="E81" s="10">
        <f t="shared" si="1"/>
        <v>7</v>
      </c>
      <c r="F81" s="4" t="s">
        <v>24</v>
      </c>
      <c r="G81" s="4" t="s">
        <v>12</v>
      </c>
      <c r="H81" s="4">
        <v>1998</v>
      </c>
      <c r="I81" s="4" t="str">
        <f>VLOOKUP(B81,Customers!$A:$D,4,FALSE)</f>
        <v>Premium</v>
      </c>
      <c r="J81" s="4" t="s">
        <v>35</v>
      </c>
      <c r="K81" s="4" t="s">
        <v>36</v>
      </c>
    </row>
    <row r="82" spans="1:11" x14ac:dyDescent="0.2">
      <c r="A82" s="4">
        <v>5081</v>
      </c>
      <c r="B82" s="4">
        <v>1199</v>
      </c>
      <c r="C82" s="8">
        <v>46150</v>
      </c>
      <c r="D82" s="8">
        <v>46160</v>
      </c>
      <c r="E82" s="10">
        <f t="shared" si="1"/>
        <v>10</v>
      </c>
      <c r="F82" s="4" t="s">
        <v>23</v>
      </c>
      <c r="G82" s="4" t="s">
        <v>14</v>
      </c>
      <c r="H82" s="4">
        <v>17358</v>
      </c>
      <c r="I82" s="4" t="str">
        <f>VLOOKUP(B82,Customers!$A:$D,4,FALSE)</f>
        <v>Regular</v>
      </c>
      <c r="J82" s="4" t="s">
        <v>37</v>
      </c>
      <c r="K82" s="4" t="s">
        <v>36</v>
      </c>
    </row>
    <row r="83" spans="1:11" x14ac:dyDescent="0.2">
      <c r="A83" s="4">
        <v>5082</v>
      </c>
      <c r="B83" s="4">
        <v>1252</v>
      </c>
      <c r="C83" s="8">
        <v>46077</v>
      </c>
      <c r="D83" s="8">
        <v>46083</v>
      </c>
      <c r="E83" s="10">
        <f t="shared" si="1"/>
        <v>6</v>
      </c>
      <c r="F83" s="4" t="s">
        <v>24</v>
      </c>
      <c r="G83" s="4" t="s">
        <v>12</v>
      </c>
      <c r="H83" s="4">
        <v>9195</v>
      </c>
      <c r="I83" s="4" t="str">
        <f>VLOOKUP(B83,Customers!$A:$D,4,FALSE)</f>
        <v>Regular</v>
      </c>
      <c r="J83" s="4" t="s">
        <v>35</v>
      </c>
      <c r="K83" s="4" t="s">
        <v>36</v>
      </c>
    </row>
    <row r="84" spans="1:11" x14ac:dyDescent="0.2">
      <c r="A84" s="4">
        <v>5083</v>
      </c>
      <c r="B84" s="4">
        <v>1228</v>
      </c>
      <c r="C84" s="8">
        <v>46138</v>
      </c>
      <c r="D84" s="8">
        <v>46142</v>
      </c>
      <c r="E84" s="10">
        <f t="shared" si="1"/>
        <v>4</v>
      </c>
      <c r="F84" s="4" t="s">
        <v>23</v>
      </c>
      <c r="G84" s="4" t="s">
        <v>14</v>
      </c>
      <c r="H84" s="4">
        <v>44067</v>
      </c>
      <c r="I84" s="4" t="str">
        <f>VLOOKUP(B84,Customers!$A:$D,4,FALSE)</f>
        <v>Premium</v>
      </c>
      <c r="J84" s="4" t="s">
        <v>37</v>
      </c>
      <c r="K84" s="4" t="s">
        <v>36</v>
      </c>
    </row>
    <row r="85" spans="1:11" x14ac:dyDescent="0.2">
      <c r="A85" s="4">
        <v>5084</v>
      </c>
      <c r="B85" s="4">
        <v>1278</v>
      </c>
      <c r="C85" s="8">
        <v>46039</v>
      </c>
      <c r="D85" s="8">
        <v>46049</v>
      </c>
      <c r="E85" s="10">
        <f t="shared" si="1"/>
        <v>10</v>
      </c>
      <c r="F85" s="4" t="s">
        <v>22</v>
      </c>
      <c r="G85" s="4" t="s">
        <v>14</v>
      </c>
      <c r="H85" s="4">
        <v>10622</v>
      </c>
      <c r="I85" s="4" t="str">
        <f>VLOOKUP(B85,Customers!$A:$D,4,FALSE)</f>
        <v>Regular</v>
      </c>
      <c r="J85" s="4" t="s">
        <v>35</v>
      </c>
      <c r="K85" s="4" t="s">
        <v>36</v>
      </c>
    </row>
    <row r="86" spans="1:11" x14ac:dyDescent="0.2">
      <c r="A86" s="4">
        <v>5085</v>
      </c>
      <c r="B86" s="4">
        <v>1115</v>
      </c>
      <c r="C86" s="8">
        <v>46115</v>
      </c>
      <c r="D86" s="8">
        <v>46125</v>
      </c>
      <c r="E86" s="10">
        <f t="shared" si="1"/>
        <v>10</v>
      </c>
      <c r="F86" s="4" t="s">
        <v>23</v>
      </c>
      <c r="G86" s="4" t="s">
        <v>13</v>
      </c>
      <c r="H86" s="4">
        <v>9401</v>
      </c>
      <c r="I86" s="4" t="str">
        <f>VLOOKUP(B86,Customers!$A:$D,4,FALSE)</f>
        <v>Premium</v>
      </c>
      <c r="J86" s="4" t="s">
        <v>35</v>
      </c>
      <c r="K86" s="4" t="s">
        <v>36</v>
      </c>
    </row>
    <row r="87" spans="1:11" x14ac:dyDescent="0.2">
      <c r="A87" s="4">
        <v>5086</v>
      </c>
      <c r="B87" s="4">
        <v>1185</v>
      </c>
      <c r="C87" s="8">
        <v>46149</v>
      </c>
      <c r="D87" s="8">
        <v>46151</v>
      </c>
      <c r="E87" s="10">
        <f t="shared" si="1"/>
        <v>2</v>
      </c>
      <c r="F87" s="4" t="s">
        <v>19</v>
      </c>
      <c r="G87" s="4" t="s">
        <v>15</v>
      </c>
      <c r="H87" s="4">
        <v>36452</v>
      </c>
      <c r="I87" s="4" t="str">
        <f>VLOOKUP(B87,Customers!$A:$D,4,FALSE)</f>
        <v>Regular</v>
      </c>
      <c r="J87" s="4" t="s">
        <v>35</v>
      </c>
      <c r="K87" s="4" t="s">
        <v>36</v>
      </c>
    </row>
    <row r="88" spans="1:11" x14ac:dyDescent="0.2">
      <c r="A88" s="4">
        <v>5087</v>
      </c>
      <c r="B88" s="4">
        <v>1159</v>
      </c>
      <c r="C88" s="8">
        <v>46045</v>
      </c>
      <c r="D88" s="8">
        <v>46048</v>
      </c>
      <c r="E88" s="10">
        <f t="shared" si="1"/>
        <v>3</v>
      </c>
      <c r="F88" s="4" t="s">
        <v>21</v>
      </c>
      <c r="G88" s="4" t="s">
        <v>15</v>
      </c>
      <c r="H88" s="4">
        <v>34751</v>
      </c>
      <c r="I88" s="4" t="str">
        <f>VLOOKUP(B88,Customers!$A:$D,4,FALSE)</f>
        <v>Regular</v>
      </c>
      <c r="J88" s="4" t="s">
        <v>37</v>
      </c>
      <c r="K88" s="4" t="s">
        <v>36</v>
      </c>
    </row>
    <row r="89" spans="1:11" x14ac:dyDescent="0.2">
      <c r="A89" s="4">
        <v>5088</v>
      </c>
      <c r="B89" s="4">
        <v>1065</v>
      </c>
      <c r="C89" s="8">
        <v>46127</v>
      </c>
      <c r="D89" s="8">
        <v>46130</v>
      </c>
      <c r="E89" s="10">
        <f t="shared" si="1"/>
        <v>3</v>
      </c>
      <c r="F89" s="4" t="s">
        <v>19</v>
      </c>
      <c r="G89" s="4" t="s">
        <v>12</v>
      </c>
      <c r="H89" s="4">
        <v>29789</v>
      </c>
      <c r="I89" s="4" t="str">
        <f>VLOOKUP(B89,Customers!$A:$D,4,FALSE)</f>
        <v>Premium</v>
      </c>
      <c r="J89" s="4" t="s">
        <v>37</v>
      </c>
      <c r="K89" s="4" t="s">
        <v>36</v>
      </c>
    </row>
    <row r="90" spans="1:11" x14ac:dyDescent="0.2">
      <c r="A90" s="4">
        <v>5089</v>
      </c>
      <c r="B90" s="4">
        <v>1066</v>
      </c>
      <c r="C90" s="8">
        <v>46155</v>
      </c>
      <c r="D90" s="8">
        <v>46162</v>
      </c>
      <c r="E90" s="10">
        <f t="shared" si="1"/>
        <v>7</v>
      </c>
      <c r="F90" s="4" t="s">
        <v>18</v>
      </c>
      <c r="G90" s="4" t="s">
        <v>13</v>
      </c>
      <c r="H90" s="4">
        <v>28652</v>
      </c>
      <c r="I90" s="4" t="str">
        <f>VLOOKUP(B90,Customers!$A:$D,4,FALSE)</f>
        <v>Regular</v>
      </c>
      <c r="J90" s="4" t="s">
        <v>35</v>
      </c>
      <c r="K90" s="4" t="s">
        <v>36</v>
      </c>
    </row>
    <row r="91" spans="1:11" x14ac:dyDescent="0.2">
      <c r="A91" s="4">
        <v>5090</v>
      </c>
      <c r="B91" s="4">
        <v>1079</v>
      </c>
      <c r="C91" s="8">
        <v>46054</v>
      </c>
      <c r="D91" s="8">
        <v>46064</v>
      </c>
      <c r="E91" s="10">
        <f t="shared" si="1"/>
        <v>10</v>
      </c>
      <c r="F91" s="4" t="s">
        <v>22</v>
      </c>
      <c r="G91" s="4" t="s">
        <v>13</v>
      </c>
      <c r="H91" s="4">
        <v>10914</v>
      </c>
      <c r="I91" s="4" t="str">
        <f>VLOOKUP(B91,Customers!$A:$D,4,FALSE)</f>
        <v>Premium</v>
      </c>
      <c r="J91" s="4" t="s">
        <v>37</v>
      </c>
      <c r="K91" s="4" t="s">
        <v>36</v>
      </c>
    </row>
    <row r="92" spans="1:11" x14ac:dyDescent="0.2">
      <c r="A92" s="4">
        <v>5091</v>
      </c>
      <c r="B92" s="4">
        <v>1266</v>
      </c>
      <c r="C92" s="8">
        <v>46080</v>
      </c>
      <c r="D92" s="8">
        <v>46087</v>
      </c>
      <c r="E92" s="10">
        <f t="shared" si="1"/>
        <v>7</v>
      </c>
      <c r="F92" s="4" t="s">
        <v>22</v>
      </c>
      <c r="G92" s="4" t="s">
        <v>12</v>
      </c>
      <c r="H92" s="4">
        <v>16723</v>
      </c>
      <c r="I92" s="4" t="str">
        <f>VLOOKUP(B92,Customers!$A:$D,4,FALSE)</f>
        <v>Regular</v>
      </c>
      <c r="J92" s="4" t="s">
        <v>35</v>
      </c>
      <c r="K92" s="4" t="s">
        <v>36</v>
      </c>
    </row>
    <row r="93" spans="1:11" x14ac:dyDescent="0.2">
      <c r="A93" s="4">
        <v>5092</v>
      </c>
      <c r="B93" s="4">
        <v>1065</v>
      </c>
      <c r="C93" s="8">
        <v>46164</v>
      </c>
      <c r="D93" s="8">
        <v>46170</v>
      </c>
      <c r="E93" s="10">
        <f t="shared" si="1"/>
        <v>6</v>
      </c>
      <c r="F93" s="4" t="s">
        <v>22</v>
      </c>
      <c r="G93" s="4" t="s">
        <v>11</v>
      </c>
      <c r="H93" s="4">
        <v>35262</v>
      </c>
      <c r="I93" s="4" t="str">
        <f>VLOOKUP(B93,Customers!$A:$D,4,FALSE)</f>
        <v>Premium</v>
      </c>
      <c r="J93" s="4" t="s">
        <v>35</v>
      </c>
      <c r="K93" s="4" t="s">
        <v>36</v>
      </c>
    </row>
    <row r="94" spans="1:11" x14ac:dyDescent="0.2">
      <c r="A94" s="4">
        <v>5093</v>
      </c>
      <c r="B94" s="4">
        <v>1298</v>
      </c>
      <c r="C94" s="8">
        <v>46151</v>
      </c>
      <c r="D94" s="8">
        <v>46155</v>
      </c>
      <c r="E94" s="10">
        <f t="shared" si="1"/>
        <v>4</v>
      </c>
      <c r="F94" s="4" t="s">
        <v>18</v>
      </c>
      <c r="G94" s="4" t="s">
        <v>13</v>
      </c>
      <c r="H94" s="4">
        <v>43470</v>
      </c>
      <c r="I94" s="4" t="str">
        <f>VLOOKUP(B94,Customers!$A:$D,4,FALSE)</f>
        <v>Regular</v>
      </c>
      <c r="J94" s="4" t="s">
        <v>37</v>
      </c>
      <c r="K94" s="4" t="s">
        <v>36</v>
      </c>
    </row>
    <row r="95" spans="1:11" x14ac:dyDescent="0.2">
      <c r="A95" s="4">
        <v>5094</v>
      </c>
      <c r="B95" s="4">
        <v>1015</v>
      </c>
      <c r="C95" s="8">
        <v>46167</v>
      </c>
      <c r="D95" s="8">
        <v>46169</v>
      </c>
      <c r="E95" s="10">
        <f t="shared" si="1"/>
        <v>2</v>
      </c>
      <c r="F95" s="4" t="s">
        <v>23</v>
      </c>
      <c r="G95" s="4" t="s">
        <v>12</v>
      </c>
      <c r="H95" s="4">
        <v>42338</v>
      </c>
      <c r="I95" s="4" t="str">
        <f>VLOOKUP(B95,Customers!$A:$D,4,FALSE)</f>
        <v>Regular</v>
      </c>
      <c r="J95" s="4" t="s">
        <v>37</v>
      </c>
      <c r="K95" s="4" t="s">
        <v>36</v>
      </c>
    </row>
    <row r="96" spans="1:11" x14ac:dyDescent="0.2">
      <c r="A96" s="4">
        <v>5095</v>
      </c>
      <c r="B96" s="4">
        <v>1016</v>
      </c>
      <c r="C96" s="8">
        <v>46076</v>
      </c>
      <c r="D96" s="8">
        <v>46084</v>
      </c>
      <c r="E96" s="10">
        <f t="shared" si="1"/>
        <v>8</v>
      </c>
      <c r="F96" s="4" t="s">
        <v>25</v>
      </c>
      <c r="G96" s="4" t="s">
        <v>11</v>
      </c>
      <c r="H96" s="4">
        <v>19283</v>
      </c>
      <c r="I96" s="4" t="str">
        <f>VLOOKUP(B96,Customers!$A:$D,4,FALSE)</f>
        <v>Premium</v>
      </c>
      <c r="J96" s="4" t="s">
        <v>37</v>
      </c>
      <c r="K96" s="4" t="s">
        <v>36</v>
      </c>
    </row>
    <row r="97" spans="1:11" x14ac:dyDescent="0.2">
      <c r="A97" s="4">
        <v>5096</v>
      </c>
      <c r="B97" s="4">
        <v>1208</v>
      </c>
      <c r="C97" s="8">
        <v>46146</v>
      </c>
      <c r="D97" s="8">
        <v>46151</v>
      </c>
      <c r="E97" s="10">
        <f t="shared" si="1"/>
        <v>5</v>
      </c>
      <c r="F97" s="4" t="s">
        <v>22</v>
      </c>
      <c r="G97" s="4" t="s">
        <v>15</v>
      </c>
      <c r="H97" s="4">
        <v>5082</v>
      </c>
      <c r="I97" s="4" t="str">
        <f>VLOOKUP(B97,Customers!$A:$D,4,FALSE)</f>
        <v>Premium</v>
      </c>
      <c r="J97" s="4" t="s">
        <v>35</v>
      </c>
      <c r="K97" s="4" t="s">
        <v>36</v>
      </c>
    </row>
    <row r="98" spans="1:11" x14ac:dyDescent="0.2">
      <c r="A98" s="4">
        <v>5097</v>
      </c>
      <c r="B98" s="4">
        <v>1213</v>
      </c>
      <c r="C98" s="8">
        <v>46063</v>
      </c>
      <c r="D98" s="8">
        <v>46072</v>
      </c>
      <c r="E98" s="10">
        <f t="shared" si="1"/>
        <v>9</v>
      </c>
      <c r="F98" s="4" t="s">
        <v>25</v>
      </c>
      <c r="G98" s="4" t="s">
        <v>15</v>
      </c>
      <c r="H98" s="4">
        <v>13670</v>
      </c>
      <c r="I98" s="4" t="str">
        <f>VLOOKUP(B98,Customers!$A:$D,4,FALSE)</f>
        <v>Premium</v>
      </c>
      <c r="J98" s="4" t="s">
        <v>37</v>
      </c>
      <c r="K98" s="4" t="s">
        <v>36</v>
      </c>
    </row>
    <row r="99" spans="1:11" x14ac:dyDescent="0.2">
      <c r="A99" s="4">
        <v>5098</v>
      </c>
      <c r="B99" s="4">
        <v>1164</v>
      </c>
      <c r="C99" s="8">
        <v>46059</v>
      </c>
      <c r="D99" s="8">
        <v>46066</v>
      </c>
      <c r="E99" s="10">
        <f t="shared" si="1"/>
        <v>7</v>
      </c>
      <c r="F99" s="4" t="s">
        <v>19</v>
      </c>
      <c r="G99" s="4" t="s">
        <v>15</v>
      </c>
      <c r="H99" s="4">
        <v>8869</v>
      </c>
      <c r="I99" s="4" t="str">
        <f>VLOOKUP(B99,Customers!$A:$D,4,FALSE)</f>
        <v>Premium</v>
      </c>
      <c r="J99" s="4" t="s">
        <v>37</v>
      </c>
      <c r="K99" s="4" t="s">
        <v>36</v>
      </c>
    </row>
    <row r="100" spans="1:11" x14ac:dyDescent="0.2">
      <c r="A100" s="4">
        <v>5099</v>
      </c>
      <c r="B100" s="4">
        <v>1055</v>
      </c>
      <c r="C100" s="8">
        <v>46154</v>
      </c>
      <c r="D100" s="8">
        <v>46164</v>
      </c>
      <c r="E100" s="10">
        <f t="shared" si="1"/>
        <v>10</v>
      </c>
      <c r="F100" s="4" t="s">
        <v>19</v>
      </c>
      <c r="G100" s="4" t="s">
        <v>13</v>
      </c>
      <c r="H100" s="4">
        <v>30870</v>
      </c>
      <c r="I100" s="4" t="str">
        <f>VLOOKUP(B100,Customers!$A:$D,4,FALSE)</f>
        <v>Regular</v>
      </c>
      <c r="J100" s="4" t="s">
        <v>35</v>
      </c>
      <c r="K100" s="4" t="s">
        <v>36</v>
      </c>
    </row>
    <row r="101" spans="1:11" x14ac:dyDescent="0.2">
      <c r="A101" s="4">
        <v>5100</v>
      </c>
      <c r="B101" s="4">
        <v>1127</v>
      </c>
      <c r="C101" s="8">
        <v>46091</v>
      </c>
      <c r="D101" s="8">
        <v>46100</v>
      </c>
      <c r="E101" s="10">
        <f t="shared" si="1"/>
        <v>9</v>
      </c>
      <c r="F101" s="4" t="s">
        <v>18</v>
      </c>
      <c r="G101" s="4" t="s">
        <v>12</v>
      </c>
      <c r="H101" s="4">
        <v>3616</v>
      </c>
      <c r="I101" s="4" t="str">
        <f>VLOOKUP(B101,Customers!$A:$D,4,FALSE)</f>
        <v>Regular</v>
      </c>
      <c r="J101" s="4" t="s">
        <v>37</v>
      </c>
      <c r="K101" s="4" t="s">
        <v>36</v>
      </c>
    </row>
    <row r="102" spans="1:11" x14ac:dyDescent="0.2">
      <c r="A102" s="4">
        <v>5101</v>
      </c>
      <c r="B102" s="4">
        <v>1128</v>
      </c>
      <c r="C102" s="8">
        <v>46121</v>
      </c>
      <c r="D102" s="8">
        <v>46129</v>
      </c>
      <c r="E102" s="10">
        <f t="shared" si="1"/>
        <v>8</v>
      </c>
      <c r="F102" s="4" t="s">
        <v>18</v>
      </c>
      <c r="G102" s="4" t="s">
        <v>14</v>
      </c>
      <c r="H102" s="4">
        <v>38159</v>
      </c>
      <c r="I102" s="4" t="str">
        <f>VLOOKUP(B102,Customers!$A:$D,4,FALSE)</f>
        <v>Premium</v>
      </c>
      <c r="J102" s="4" t="s">
        <v>37</v>
      </c>
      <c r="K102" s="4" t="s">
        <v>36</v>
      </c>
    </row>
    <row r="103" spans="1:11" x14ac:dyDescent="0.2">
      <c r="A103" s="4">
        <v>5102</v>
      </c>
      <c r="B103" s="4">
        <v>1256</v>
      </c>
      <c r="C103" s="8">
        <v>46071</v>
      </c>
      <c r="D103" s="8">
        <v>46075</v>
      </c>
      <c r="E103" s="10">
        <f t="shared" si="1"/>
        <v>4</v>
      </c>
      <c r="F103" s="4" t="s">
        <v>25</v>
      </c>
      <c r="G103" s="4" t="s">
        <v>15</v>
      </c>
      <c r="H103" s="4">
        <v>20520</v>
      </c>
      <c r="I103" s="4" t="str">
        <f>VLOOKUP(B103,Customers!$A:$D,4,FALSE)</f>
        <v>Premium</v>
      </c>
      <c r="J103" s="4" t="s">
        <v>37</v>
      </c>
      <c r="K103" s="4" t="s">
        <v>36</v>
      </c>
    </row>
    <row r="104" spans="1:11" x14ac:dyDescent="0.2">
      <c r="A104" s="4">
        <v>5103</v>
      </c>
      <c r="B104" s="4">
        <v>1202</v>
      </c>
      <c r="C104" s="8">
        <v>46028</v>
      </c>
      <c r="D104" s="8">
        <v>46031</v>
      </c>
      <c r="E104" s="10">
        <f t="shared" si="1"/>
        <v>3</v>
      </c>
      <c r="F104" s="4" t="s">
        <v>25</v>
      </c>
      <c r="G104" s="4" t="s">
        <v>13</v>
      </c>
      <c r="H104" s="4">
        <v>14399</v>
      </c>
      <c r="I104" s="4" t="str">
        <f>VLOOKUP(B104,Customers!$A:$D,4,FALSE)</f>
        <v>Premium</v>
      </c>
      <c r="J104" s="4" t="s">
        <v>37</v>
      </c>
      <c r="K104" s="4" t="s">
        <v>36</v>
      </c>
    </row>
    <row r="105" spans="1:11" x14ac:dyDescent="0.2">
      <c r="A105" s="4">
        <v>5104</v>
      </c>
      <c r="B105" s="4">
        <v>1145</v>
      </c>
      <c r="C105" s="8">
        <v>46035</v>
      </c>
      <c r="D105" s="8">
        <v>46037</v>
      </c>
      <c r="E105" s="10">
        <f t="shared" si="1"/>
        <v>2</v>
      </c>
      <c r="F105" s="4" t="s">
        <v>25</v>
      </c>
      <c r="G105" s="4" t="s">
        <v>11</v>
      </c>
      <c r="H105" s="4">
        <v>43177</v>
      </c>
      <c r="I105" s="4" t="str">
        <f>VLOOKUP(B105,Customers!$A:$D,4,FALSE)</f>
        <v>Regular</v>
      </c>
      <c r="J105" s="4" t="s">
        <v>37</v>
      </c>
      <c r="K105" s="4" t="s">
        <v>36</v>
      </c>
    </row>
    <row r="106" spans="1:11" x14ac:dyDescent="0.2">
      <c r="A106" s="4">
        <v>5105</v>
      </c>
      <c r="B106" s="4">
        <v>1005</v>
      </c>
      <c r="C106" s="8">
        <v>46096</v>
      </c>
      <c r="D106" s="8">
        <v>46106</v>
      </c>
      <c r="E106" s="10">
        <f t="shared" si="1"/>
        <v>10</v>
      </c>
      <c r="F106" s="4" t="s">
        <v>23</v>
      </c>
      <c r="G106" s="4" t="s">
        <v>15</v>
      </c>
      <c r="H106" s="4">
        <v>9077</v>
      </c>
      <c r="I106" s="4" t="str">
        <f>VLOOKUP(B106,Customers!$A:$D,4,FALSE)</f>
        <v>Regular</v>
      </c>
      <c r="J106" s="4" t="s">
        <v>37</v>
      </c>
      <c r="K106" s="4" t="s">
        <v>36</v>
      </c>
    </row>
    <row r="107" spans="1:11" x14ac:dyDescent="0.2">
      <c r="A107" s="4">
        <v>5106</v>
      </c>
      <c r="B107" s="4">
        <v>1188</v>
      </c>
      <c r="C107" s="8">
        <v>46116</v>
      </c>
      <c r="D107" s="8">
        <v>46124</v>
      </c>
      <c r="E107" s="10">
        <f t="shared" si="1"/>
        <v>8</v>
      </c>
      <c r="F107" s="4" t="s">
        <v>20</v>
      </c>
      <c r="G107" s="4" t="s">
        <v>15</v>
      </c>
      <c r="H107" s="4">
        <v>3652</v>
      </c>
      <c r="I107" s="4" t="str">
        <f>VLOOKUP(B107,Customers!$A:$D,4,FALSE)</f>
        <v>Premium</v>
      </c>
      <c r="J107" s="4" t="s">
        <v>35</v>
      </c>
      <c r="K107" s="4" t="s">
        <v>36</v>
      </c>
    </row>
    <row r="108" spans="1:11" x14ac:dyDescent="0.2">
      <c r="A108" s="4">
        <v>5107</v>
      </c>
      <c r="B108" s="4">
        <v>1148</v>
      </c>
      <c r="C108" s="8">
        <v>46115</v>
      </c>
      <c r="D108" s="8">
        <v>46125</v>
      </c>
      <c r="E108" s="10">
        <f t="shared" si="1"/>
        <v>10</v>
      </c>
      <c r="F108" s="4" t="s">
        <v>23</v>
      </c>
      <c r="G108" s="4" t="s">
        <v>15</v>
      </c>
      <c r="H108" s="4">
        <v>33346</v>
      </c>
      <c r="I108" s="4" t="str">
        <f>VLOOKUP(B108,Customers!$A:$D,4,FALSE)</f>
        <v>Premium</v>
      </c>
      <c r="J108" s="4" t="s">
        <v>37</v>
      </c>
      <c r="K108" s="4" t="s">
        <v>36</v>
      </c>
    </row>
    <row r="109" spans="1:11" x14ac:dyDescent="0.2">
      <c r="A109" s="4">
        <v>5108</v>
      </c>
      <c r="B109" s="4">
        <v>1061</v>
      </c>
      <c r="C109" s="8">
        <v>46163</v>
      </c>
      <c r="D109" s="8">
        <v>46169</v>
      </c>
      <c r="E109" s="10">
        <f t="shared" si="1"/>
        <v>6</v>
      </c>
      <c r="F109" s="4" t="s">
        <v>18</v>
      </c>
      <c r="G109" s="4" t="s">
        <v>12</v>
      </c>
      <c r="H109" s="4">
        <v>26114</v>
      </c>
      <c r="I109" s="4" t="str">
        <f>VLOOKUP(B109,Customers!$A:$D,4,FALSE)</f>
        <v>Regular</v>
      </c>
      <c r="J109" s="4" t="s">
        <v>37</v>
      </c>
      <c r="K109" s="4" t="s">
        <v>36</v>
      </c>
    </row>
    <row r="110" spans="1:11" x14ac:dyDescent="0.2">
      <c r="A110" s="4">
        <v>5109</v>
      </c>
      <c r="B110" s="4">
        <v>1188</v>
      </c>
      <c r="C110" s="8">
        <v>46109</v>
      </c>
      <c r="D110" s="8">
        <v>46119</v>
      </c>
      <c r="E110" s="10">
        <f t="shared" si="1"/>
        <v>10</v>
      </c>
      <c r="F110" s="4" t="s">
        <v>18</v>
      </c>
      <c r="G110" s="4" t="s">
        <v>13</v>
      </c>
      <c r="H110" s="4">
        <v>39783</v>
      </c>
      <c r="I110" s="4" t="str">
        <f>VLOOKUP(B110,Customers!$A:$D,4,FALSE)</f>
        <v>Premium</v>
      </c>
      <c r="J110" s="4" t="s">
        <v>37</v>
      </c>
      <c r="K110" s="4" t="s">
        <v>36</v>
      </c>
    </row>
    <row r="111" spans="1:11" x14ac:dyDescent="0.2">
      <c r="A111" s="4">
        <v>5110</v>
      </c>
      <c r="B111" s="4">
        <v>1024</v>
      </c>
      <c r="C111" s="8">
        <v>46151</v>
      </c>
      <c r="D111" s="8">
        <v>46153</v>
      </c>
      <c r="E111" s="10">
        <f t="shared" si="1"/>
        <v>2</v>
      </c>
      <c r="F111" s="4" t="s">
        <v>20</v>
      </c>
      <c r="G111" s="4" t="s">
        <v>13</v>
      </c>
      <c r="H111" s="4">
        <v>47065</v>
      </c>
      <c r="I111" s="4" t="str">
        <f>VLOOKUP(B111,Customers!$A:$D,4,FALSE)</f>
        <v>Premium</v>
      </c>
      <c r="J111" s="4" t="s">
        <v>37</v>
      </c>
      <c r="K111" s="4" t="s">
        <v>36</v>
      </c>
    </row>
    <row r="112" spans="1:11" x14ac:dyDescent="0.2">
      <c r="A112" s="4">
        <v>5111</v>
      </c>
      <c r="B112" s="4">
        <v>1234</v>
      </c>
      <c r="C112" s="8">
        <v>46144</v>
      </c>
      <c r="D112" s="8">
        <v>46154</v>
      </c>
      <c r="E112" s="10">
        <f t="shared" si="1"/>
        <v>10</v>
      </c>
      <c r="F112" s="4" t="s">
        <v>18</v>
      </c>
      <c r="G112" s="4" t="s">
        <v>11</v>
      </c>
      <c r="H112" s="4">
        <v>34084</v>
      </c>
      <c r="I112" s="4" t="str">
        <f>VLOOKUP(B112,Customers!$A:$D,4,FALSE)</f>
        <v>Premium</v>
      </c>
      <c r="J112" s="4" t="s">
        <v>35</v>
      </c>
      <c r="K112" s="4" t="s">
        <v>36</v>
      </c>
    </row>
    <row r="113" spans="1:11" x14ac:dyDescent="0.2">
      <c r="A113" s="4">
        <v>5112</v>
      </c>
      <c r="B113" s="4">
        <v>1084</v>
      </c>
      <c r="C113" s="8">
        <v>46106</v>
      </c>
      <c r="D113" s="8">
        <v>46113</v>
      </c>
      <c r="E113" s="10">
        <f t="shared" si="1"/>
        <v>7</v>
      </c>
      <c r="F113" s="4" t="s">
        <v>21</v>
      </c>
      <c r="G113" s="4" t="s">
        <v>11</v>
      </c>
      <c r="H113" s="4">
        <v>48752</v>
      </c>
      <c r="I113" s="4" t="str">
        <f>VLOOKUP(B113,Customers!$A:$D,4,FALSE)</f>
        <v>Premium</v>
      </c>
      <c r="J113" s="4" t="s">
        <v>37</v>
      </c>
      <c r="K113" s="4" t="s">
        <v>36</v>
      </c>
    </row>
    <row r="114" spans="1:11" x14ac:dyDescent="0.2">
      <c r="A114" s="4">
        <v>5113</v>
      </c>
      <c r="B114" s="4">
        <v>1261</v>
      </c>
      <c r="C114" s="8">
        <v>46109</v>
      </c>
      <c r="D114" s="8">
        <v>46119</v>
      </c>
      <c r="E114" s="10">
        <f t="shared" si="1"/>
        <v>10</v>
      </c>
      <c r="F114" s="4" t="s">
        <v>25</v>
      </c>
      <c r="G114" s="4" t="s">
        <v>11</v>
      </c>
      <c r="H114" s="4">
        <v>19947</v>
      </c>
      <c r="I114" s="4" t="str">
        <f>VLOOKUP(B114,Customers!$A:$D,4,FALSE)</f>
        <v>Regular</v>
      </c>
      <c r="J114" s="4" t="s">
        <v>37</v>
      </c>
      <c r="K114" s="4" t="s">
        <v>36</v>
      </c>
    </row>
    <row r="115" spans="1:11" x14ac:dyDescent="0.2">
      <c r="A115" s="4">
        <v>5114</v>
      </c>
      <c r="B115" s="4">
        <v>1170</v>
      </c>
      <c r="C115" s="8">
        <v>46027</v>
      </c>
      <c r="D115" s="8">
        <v>46034</v>
      </c>
      <c r="E115" s="10">
        <f t="shared" si="1"/>
        <v>7</v>
      </c>
      <c r="F115" s="4" t="s">
        <v>23</v>
      </c>
      <c r="G115" s="4" t="s">
        <v>15</v>
      </c>
      <c r="H115" s="4">
        <v>38553</v>
      </c>
      <c r="I115" s="4" t="str">
        <f>VLOOKUP(B115,Customers!$A:$D,4,FALSE)</f>
        <v>Regular</v>
      </c>
      <c r="J115" s="4" t="s">
        <v>37</v>
      </c>
      <c r="K115" s="4" t="s">
        <v>36</v>
      </c>
    </row>
    <row r="116" spans="1:11" x14ac:dyDescent="0.2">
      <c r="A116" s="4">
        <v>5115</v>
      </c>
      <c r="B116" s="4">
        <v>1136</v>
      </c>
      <c r="C116" s="8">
        <v>46029</v>
      </c>
      <c r="D116" s="8">
        <v>46038</v>
      </c>
      <c r="E116" s="10">
        <f t="shared" si="1"/>
        <v>9</v>
      </c>
      <c r="F116" s="4" t="s">
        <v>24</v>
      </c>
      <c r="G116" s="4" t="s">
        <v>12</v>
      </c>
      <c r="H116" s="4">
        <v>38541</v>
      </c>
      <c r="I116" s="4" t="str">
        <f>VLOOKUP(B116,Customers!$A:$D,4,FALSE)</f>
        <v>Regular</v>
      </c>
      <c r="J116" s="4" t="s">
        <v>37</v>
      </c>
      <c r="K116" s="4" t="s">
        <v>36</v>
      </c>
    </row>
    <row r="117" spans="1:11" x14ac:dyDescent="0.2">
      <c r="A117" s="4">
        <v>5116</v>
      </c>
      <c r="B117" s="4">
        <v>1195</v>
      </c>
      <c r="C117" s="8">
        <v>46066</v>
      </c>
      <c r="D117" s="8">
        <v>46076</v>
      </c>
      <c r="E117" s="10">
        <f t="shared" si="1"/>
        <v>10</v>
      </c>
      <c r="F117" s="4" t="s">
        <v>18</v>
      </c>
      <c r="G117" s="4" t="s">
        <v>13</v>
      </c>
      <c r="H117" s="4">
        <v>2369</v>
      </c>
      <c r="I117" s="4" t="str">
        <f>VLOOKUP(B117,Customers!$A:$D,4,FALSE)</f>
        <v>Premium</v>
      </c>
      <c r="J117" s="4" t="s">
        <v>35</v>
      </c>
      <c r="K117" s="4" t="s">
        <v>36</v>
      </c>
    </row>
    <row r="118" spans="1:11" x14ac:dyDescent="0.2">
      <c r="A118" s="4">
        <v>5117</v>
      </c>
      <c r="B118" s="4">
        <v>1226</v>
      </c>
      <c r="C118" s="8">
        <v>46071</v>
      </c>
      <c r="D118" s="8">
        <v>46073</v>
      </c>
      <c r="E118" s="10">
        <f t="shared" si="1"/>
        <v>2</v>
      </c>
      <c r="F118" s="4" t="s">
        <v>19</v>
      </c>
      <c r="G118" s="4" t="s">
        <v>15</v>
      </c>
      <c r="H118" s="4">
        <v>10224</v>
      </c>
      <c r="I118" s="4" t="str">
        <f>VLOOKUP(B118,Customers!$A:$D,4,FALSE)</f>
        <v>Regular</v>
      </c>
      <c r="J118" s="4" t="s">
        <v>37</v>
      </c>
      <c r="K118" s="4" t="s">
        <v>36</v>
      </c>
    </row>
    <row r="119" spans="1:11" x14ac:dyDescent="0.2">
      <c r="A119" s="4">
        <v>5118</v>
      </c>
      <c r="B119" s="4">
        <v>1257</v>
      </c>
      <c r="C119" s="8">
        <v>46075</v>
      </c>
      <c r="D119" s="8">
        <v>46083</v>
      </c>
      <c r="E119" s="10">
        <f t="shared" si="1"/>
        <v>8</v>
      </c>
      <c r="F119" s="4" t="s">
        <v>25</v>
      </c>
      <c r="G119" s="4" t="s">
        <v>12</v>
      </c>
      <c r="H119" s="4">
        <v>46553</v>
      </c>
      <c r="I119" s="4" t="str">
        <f>VLOOKUP(B119,Customers!$A:$D,4,FALSE)</f>
        <v>Premium</v>
      </c>
      <c r="J119" s="4" t="s">
        <v>35</v>
      </c>
      <c r="K119" s="4" t="s">
        <v>36</v>
      </c>
    </row>
    <row r="120" spans="1:11" x14ac:dyDescent="0.2">
      <c r="A120" s="4">
        <v>5119</v>
      </c>
      <c r="B120" s="4">
        <v>1288</v>
      </c>
      <c r="C120" s="8">
        <v>46155</v>
      </c>
      <c r="D120" s="8">
        <v>46160</v>
      </c>
      <c r="E120" s="10">
        <f t="shared" si="1"/>
        <v>5</v>
      </c>
      <c r="F120" s="4" t="s">
        <v>19</v>
      </c>
      <c r="G120" s="4" t="s">
        <v>15</v>
      </c>
      <c r="H120" s="4">
        <v>34737</v>
      </c>
      <c r="I120" s="4" t="str">
        <f>VLOOKUP(B120,Customers!$A:$D,4,FALSE)</f>
        <v>Regular</v>
      </c>
      <c r="J120" s="4" t="s">
        <v>37</v>
      </c>
      <c r="K120" s="4" t="s">
        <v>36</v>
      </c>
    </row>
    <row r="121" spans="1:11" x14ac:dyDescent="0.2">
      <c r="A121" s="4">
        <v>5120</v>
      </c>
      <c r="B121" s="4">
        <v>1236</v>
      </c>
      <c r="C121" s="8">
        <v>46103</v>
      </c>
      <c r="D121" s="8">
        <v>46107</v>
      </c>
      <c r="E121" s="10">
        <f t="shared" si="1"/>
        <v>4</v>
      </c>
      <c r="F121" s="4" t="s">
        <v>19</v>
      </c>
      <c r="G121" s="4" t="s">
        <v>11</v>
      </c>
      <c r="H121" s="4">
        <v>23518</v>
      </c>
      <c r="I121" s="4" t="str">
        <f>VLOOKUP(B121,Customers!$A:$D,4,FALSE)</f>
        <v>Premium</v>
      </c>
      <c r="J121" s="4" t="s">
        <v>37</v>
      </c>
      <c r="K121" s="4" t="s">
        <v>36</v>
      </c>
    </row>
    <row r="122" spans="1:11" x14ac:dyDescent="0.2">
      <c r="A122" s="4">
        <v>5121</v>
      </c>
      <c r="B122" s="4">
        <v>1127</v>
      </c>
      <c r="C122" s="8">
        <v>46146</v>
      </c>
      <c r="D122" s="8">
        <v>46151</v>
      </c>
      <c r="E122" s="10">
        <f t="shared" si="1"/>
        <v>5</v>
      </c>
      <c r="F122" s="4" t="s">
        <v>22</v>
      </c>
      <c r="G122" s="4" t="s">
        <v>11</v>
      </c>
      <c r="H122" s="4">
        <v>19862</v>
      </c>
      <c r="I122" s="4" t="str">
        <f>VLOOKUP(B122,Customers!$A:$D,4,FALSE)</f>
        <v>Regular</v>
      </c>
      <c r="J122" s="4" t="s">
        <v>35</v>
      </c>
      <c r="K122" s="4" t="s">
        <v>36</v>
      </c>
    </row>
    <row r="123" spans="1:11" x14ac:dyDescent="0.2">
      <c r="A123" s="4">
        <v>5122</v>
      </c>
      <c r="B123" s="4">
        <v>1107</v>
      </c>
      <c r="C123" s="8">
        <v>46099</v>
      </c>
      <c r="D123" s="8">
        <v>46105</v>
      </c>
      <c r="E123" s="10">
        <f t="shared" si="1"/>
        <v>6</v>
      </c>
      <c r="F123" s="4" t="s">
        <v>25</v>
      </c>
      <c r="G123" s="4" t="s">
        <v>14</v>
      </c>
      <c r="H123" s="4">
        <v>31744</v>
      </c>
      <c r="I123" s="4" t="str">
        <f>VLOOKUP(B123,Customers!$A:$D,4,FALSE)</f>
        <v>Premium</v>
      </c>
      <c r="J123" s="4" t="s">
        <v>37</v>
      </c>
      <c r="K123" s="4" t="s">
        <v>36</v>
      </c>
    </row>
    <row r="124" spans="1:11" x14ac:dyDescent="0.2">
      <c r="A124" s="4">
        <v>5123</v>
      </c>
      <c r="B124" s="4">
        <v>1148</v>
      </c>
      <c r="C124" s="8">
        <v>46166</v>
      </c>
      <c r="D124" s="8">
        <v>46172</v>
      </c>
      <c r="E124" s="10">
        <f t="shared" si="1"/>
        <v>6</v>
      </c>
      <c r="F124" s="4" t="s">
        <v>23</v>
      </c>
      <c r="G124" s="4" t="s">
        <v>11</v>
      </c>
      <c r="H124" s="4">
        <v>44643</v>
      </c>
      <c r="I124" s="4" t="str">
        <f>VLOOKUP(B124,Customers!$A:$D,4,FALSE)</f>
        <v>Premium</v>
      </c>
      <c r="J124" s="4" t="s">
        <v>37</v>
      </c>
      <c r="K124" s="4" t="s">
        <v>36</v>
      </c>
    </row>
    <row r="125" spans="1:11" x14ac:dyDescent="0.2">
      <c r="A125" s="4">
        <v>5124</v>
      </c>
      <c r="B125" s="4">
        <v>1075</v>
      </c>
      <c r="C125" s="8">
        <v>46124</v>
      </c>
      <c r="D125" s="8">
        <v>46131</v>
      </c>
      <c r="E125" s="10">
        <f t="shared" si="1"/>
        <v>7</v>
      </c>
      <c r="F125" s="4" t="s">
        <v>22</v>
      </c>
      <c r="G125" s="4" t="s">
        <v>12</v>
      </c>
      <c r="H125" s="4">
        <v>19150</v>
      </c>
      <c r="I125" s="4" t="str">
        <f>VLOOKUP(B125,Customers!$A:$D,4,FALSE)</f>
        <v>Premium</v>
      </c>
      <c r="J125" s="4" t="s">
        <v>35</v>
      </c>
      <c r="K125" s="4" t="s">
        <v>36</v>
      </c>
    </row>
    <row r="126" spans="1:11" x14ac:dyDescent="0.2">
      <c r="A126" s="4">
        <v>5125</v>
      </c>
      <c r="B126" s="4">
        <v>1132</v>
      </c>
      <c r="C126" s="8">
        <v>46111</v>
      </c>
      <c r="D126" s="8">
        <v>46120</v>
      </c>
      <c r="E126" s="10">
        <f t="shared" si="1"/>
        <v>9</v>
      </c>
      <c r="F126" s="4" t="s">
        <v>25</v>
      </c>
      <c r="G126" s="4" t="s">
        <v>13</v>
      </c>
      <c r="H126" s="4">
        <v>13542</v>
      </c>
      <c r="I126" s="4" t="str">
        <f>VLOOKUP(B126,Customers!$A:$D,4,FALSE)</f>
        <v>Premium</v>
      </c>
      <c r="J126" s="4" t="s">
        <v>37</v>
      </c>
      <c r="K126" s="4" t="s">
        <v>36</v>
      </c>
    </row>
    <row r="127" spans="1:11" x14ac:dyDescent="0.2">
      <c r="A127" s="4">
        <v>5126</v>
      </c>
      <c r="B127" s="4">
        <v>1071</v>
      </c>
      <c r="C127" s="8">
        <v>46166</v>
      </c>
      <c r="D127" s="8">
        <v>46172</v>
      </c>
      <c r="E127" s="10">
        <f t="shared" si="1"/>
        <v>6</v>
      </c>
      <c r="F127" s="4" t="s">
        <v>23</v>
      </c>
      <c r="G127" s="4" t="s">
        <v>11</v>
      </c>
      <c r="H127" s="4">
        <v>48855</v>
      </c>
      <c r="I127" s="4" t="str">
        <f>VLOOKUP(B127,Customers!$A:$D,4,FALSE)</f>
        <v>Regular</v>
      </c>
      <c r="J127" s="4" t="s">
        <v>35</v>
      </c>
      <c r="K127" s="4" t="s">
        <v>36</v>
      </c>
    </row>
    <row r="128" spans="1:11" x14ac:dyDescent="0.2">
      <c r="A128" s="4">
        <v>5127</v>
      </c>
      <c r="B128" s="4">
        <v>1272</v>
      </c>
      <c r="C128" s="8">
        <v>46085</v>
      </c>
      <c r="D128" s="8">
        <v>46087</v>
      </c>
      <c r="E128" s="10">
        <f t="shared" si="1"/>
        <v>2</v>
      </c>
      <c r="F128" s="4" t="s">
        <v>24</v>
      </c>
      <c r="G128" s="4" t="s">
        <v>13</v>
      </c>
      <c r="H128" s="4">
        <v>3740</v>
      </c>
      <c r="I128" s="4" t="str">
        <f>VLOOKUP(B128,Customers!$A:$D,4,FALSE)</f>
        <v>Premium</v>
      </c>
      <c r="J128" s="4" t="s">
        <v>35</v>
      </c>
      <c r="K128" s="4" t="s">
        <v>36</v>
      </c>
    </row>
    <row r="129" spans="1:11" x14ac:dyDescent="0.2">
      <c r="A129" s="4">
        <v>5128</v>
      </c>
      <c r="B129" s="4">
        <v>1242</v>
      </c>
      <c r="C129" s="8">
        <v>46128</v>
      </c>
      <c r="D129" s="8">
        <v>46135</v>
      </c>
      <c r="E129" s="10">
        <f t="shared" si="1"/>
        <v>7</v>
      </c>
      <c r="F129" s="4" t="s">
        <v>23</v>
      </c>
      <c r="G129" s="4" t="s">
        <v>13</v>
      </c>
      <c r="H129" s="4">
        <v>639</v>
      </c>
      <c r="I129" s="4" t="str">
        <f>VLOOKUP(B129,Customers!$A:$D,4,FALSE)</f>
        <v>Premium</v>
      </c>
      <c r="J129" s="4" t="s">
        <v>35</v>
      </c>
      <c r="K129" s="4" t="s">
        <v>36</v>
      </c>
    </row>
    <row r="130" spans="1:11" x14ac:dyDescent="0.2">
      <c r="A130" s="4">
        <v>5129</v>
      </c>
      <c r="B130" s="4">
        <v>1245</v>
      </c>
      <c r="C130" s="8">
        <v>46127</v>
      </c>
      <c r="D130" s="8">
        <v>46136</v>
      </c>
      <c r="E130" s="10">
        <f t="shared" si="1"/>
        <v>9</v>
      </c>
      <c r="F130" s="4" t="s">
        <v>24</v>
      </c>
      <c r="G130" s="4" t="s">
        <v>14</v>
      </c>
      <c r="H130" s="4">
        <v>21348</v>
      </c>
      <c r="I130" s="4" t="str">
        <f>VLOOKUP(B130,Customers!$A:$D,4,FALSE)</f>
        <v>Premium</v>
      </c>
      <c r="J130" s="4" t="s">
        <v>37</v>
      </c>
      <c r="K130" s="4" t="s">
        <v>36</v>
      </c>
    </row>
    <row r="131" spans="1:11" x14ac:dyDescent="0.2">
      <c r="A131" s="4">
        <v>5130</v>
      </c>
      <c r="B131" s="4">
        <v>1294</v>
      </c>
      <c r="C131" s="8">
        <v>46038</v>
      </c>
      <c r="D131" s="8">
        <v>46041</v>
      </c>
      <c r="E131" s="10">
        <f t="shared" ref="E131:E194" si="2">D131-C131</f>
        <v>3</v>
      </c>
      <c r="F131" s="4" t="s">
        <v>24</v>
      </c>
      <c r="G131" s="4" t="s">
        <v>11</v>
      </c>
      <c r="H131" s="4">
        <v>48710</v>
      </c>
      <c r="I131" s="4" t="str">
        <f>VLOOKUP(B131,Customers!$A:$D,4,FALSE)</f>
        <v>Premium</v>
      </c>
      <c r="J131" s="4" t="s">
        <v>35</v>
      </c>
      <c r="K131" s="4" t="s">
        <v>36</v>
      </c>
    </row>
    <row r="132" spans="1:11" x14ac:dyDescent="0.2">
      <c r="A132" s="4">
        <v>5131</v>
      </c>
      <c r="B132" s="4">
        <v>1091</v>
      </c>
      <c r="C132" s="8">
        <v>46067</v>
      </c>
      <c r="D132" s="8">
        <v>46075</v>
      </c>
      <c r="E132" s="10">
        <f t="shared" si="2"/>
        <v>8</v>
      </c>
      <c r="F132" s="4" t="s">
        <v>20</v>
      </c>
      <c r="G132" s="4" t="s">
        <v>15</v>
      </c>
      <c r="H132" s="4">
        <v>32765</v>
      </c>
      <c r="I132" s="4" t="str">
        <f>VLOOKUP(B132,Customers!$A:$D,4,FALSE)</f>
        <v>Premium</v>
      </c>
      <c r="J132" s="4" t="s">
        <v>35</v>
      </c>
      <c r="K132" s="4" t="s">
        <v>36</v>
      </c>
    </row>
    <row r="133" spans="1:11" x14ac:dyDescent="0.2">
      <c r="A133" s="4">
        <v>5132</v>
      </c>
      <c r="B133" s="4">
        <v>1005</v>
      </c>
      <c r="C133" s="8">
        <v>46097</v>
      </c>
      <c r="D133" s="8">
        <v>46099</v>
      </c>
      <c r="E133" s="10">
        <f t="shared" si="2"/>
        <v>2</v>
      </c>
      <c r="F133" s="4" t="s">
        <v>22</v>
      </c>
      <c r="G133" s="4" t="s">
        <v>11</v>
      </c>
      <c r="H133" s="4">
        <v>39803</v>
      </c>
      <c r="I133" s="4" t="str">
        <f>VLOOKUP(B133,Customers!$A:$D,4,FALSE)</f>
        <v>Regular</v>
      </c>
      <c r="J133" s="4" t="s">
        <v>35</v>
      </c>
      <c r="K133" s="4" t="s">
        <v>36</v>
      </c>
    </row>
    <row r="134" spans="1:11" x14ac:dyDescent="0.2">
      <c r="A134" s="4">
        <v>5133</v>
      </c>
      <c r="B134" s="4">
        <v>1233</v>
      </c>
      <c r="C134" s="8">
        <v>46108</v>
      </c>
      <c r="D134" s="8">
        <v>46114</v>
      </c>
      <c r="E134" s="10">
        <f t="shared" si="2"/>
        <v>6</v>
      </c>
      <c r="F134" s="4" t="s">
        <v>25</v>
      </c>
      <c r="G134" s="4" t="s">
        <v>13</v>
      </c>
      <c r="H134" s="4">
        <v>33344</v>
      </c>
      <c r="I134" s="4" t="str">
        <f>VLOOKUP(B134,Customers!$A:$D,4,FALSE)</f>
        <v>Regular</v>
      </c>
      <c r="J134" s="4" t="s">
        <v>37</v>
      </c>
      <c r="K134" s="4" t="s">
        <v>36</v>
      </c>
    </row>
    <row r="135" spans="1:11" x14ac:dyDescent="0.2">
      <c r="A135" s="4">
        <v>5134</v>
      </c>
      <c r="B135" s="4">
        <v>1058</v>
      </c>
      <c r="C135" s="8">
        <v>46092</v>
      </c>
      <c r="D135" s="8">
        <v>46097</v>
      </c>
      <c r="E135" s="10">
        <f t="shared" si="2"/>
        <v>5</v>
      </c>
      <c r="F135" s="4" t="s">
        <v>19</v>
      </c>
      <c r="G135" s="4" t="s">
        <v>13</v>
      </c>
      <c r="H135" s="4">
        <v>48214</v>
      </c>
      <c r="I135" s="4" t="str">
        <f>VLOOKUP(B135,Customers!$A:$D,4,FALSE)</f>
        <v>Regular</v>
      </c>
      <c r="J135" s="4" t="s">
        <v>37</v>
      </c>
      <c r="K135" s="4" t="s">
        <v>36</v>
      </c>
    </row>
    <row r="136" spans="1:11" x14ac:dyDescent="0.2">
      <c r="A136" s="4">
        <v>5135</v>
      </c>
      <c r="B136" s="4">
        <v>1008</v>
      </c>
      <c r="C136" s="8">
        <v>46088</v>
      </c>
      <c r="D136" s="8">
        <v>46092</v>
      </c>
      <c r="E136" s="10">
        <f t="shared" si="2"/>
        <v>4</v>
      </c>
      <c r="F136" s="4" t="s">
        <v>19</v>
      </c>
      <c r="G136" s="4" t="s">
        <v>14</v>
      </c>
      <c r="H136" s="4">
        <v>37510</v>
      </c>
      <c r="I136" s="4" t="str">
        <f>VLOOKUP(B136,Customers!$A:$D,4,FALSE)</f>
        <v>Premium</v>
      </c>
      <c r="J136" s="4" t="s">
        <v>35</v>
      </c>
      <c r="K136" s="4" t="s">
        <v>36</v>
      </c>
    </row>
    <row r="137" spans="1:11" x14ac:dyDescent="0.2">
      <c r="A137" s="4">
        <v>5136</v>
      </c>
      <c r="B137" s="4">
        <v>1219</v>
      </c>
      <c r="C137" s="8">
        <v>46067</v>
      </c>
      <c r="D137" s="8">
        <v>46075</v>
      </c>
      <c r="E137" s="10">
        <f t="shared" si="2"/>
        <v>8</v>
      </c>
      <c r="F137" s="4" t="s">
        <v>19</v>
      </c>
      <c r="G137" s="4" t="s">
        <v>12</v>
      </c>
      <c r="H137" s="4">
        <v>26569</v>
      </c>
      <c r="I137" s="4" t="str">
        <f>VLOOKUP(B137,Customers!$A:$D,4,FALSE)</f>
        <v>Premium</v>
      </c>
      <c r="J137" s="4" t="s">
        <v>35</v>
      </c>
      <c r="K137" s="4" t="s">
        <v>36</v>
      </c>
    </row>
    <row r="138" spans="1:11" x14ac:dyDescent="0.2">
      <c r="A138" s="4">
        <v>5137</v>
      </c>
      <c r="B138" s="4">
        <v>1245</v>
      </c>
      <c r="C138" s="8">
        <v>46070</v>
      </c>
      <c r="D138" s="8">
        <v>46074</v>
      </c>
      <c r="E138" s="10">
        <f t="shared" si="2"/>
        <v>4</v>
      </c>
      <c r="F138" s="4" t="s">
        <v>19</v>
      </c>
      <c r="G138" s="4" t="s">
        <v>13</v>
      </c>
      <c r="H138" s="4">
        <v>747</v>
      </c>
      <c r="I138" s="4" t="str">
        <f>VLOOKUP(B138,Customers!$A:$D,4,FALSE)</f>
        <v>Premium</v>
      </c>
      <c r="J138" s="4" t="s">
        <v>37</v>
      </c>
      <c r="K138" s="4" t="s">
        <v>36</v>
      </c>
    </row>
    <row r="139" spans="1:11" x14ac:dyDescent="0.2">
      <c r="A139" s="4">
        <v>5138</v>
      </c>
      <c r="B139" s="4">
        <v>1229</v>
      </c>
      <c r="C139" s="8">
        <v>46121</v>
      </c>
      <c r="D139" s="8">
        <v>46126</v>
      </c>
      <c r="E139" s="10">
        <f t="shared" si="2"/>
        <v>5</v>
      </c>
      <c r="F139" s="4" t="s">
        <v>22</v>
      </c>
      <c r="G139" s="4" t="s">
        <v>14</v>
      </c>
      <c r="H139" s="4">
        <v>20088</v>
      </c>
      <c r="I139" s="4" t="str">
        <f>VLOOKUP(B139,Customers!$A:$D,4,FALSE)</f>
        <v>Premium</v>
      </c>
      <c r="J139" s="4" t="s">
        <v>35</v>
      </c>
      <c r="K139" s="4" t="s">
        <v>36</v>
      </c>
    </row>
    <row r="140" spans="1:11" x14ac:dyDescent="0.2">
      <c r="A140" s="4">
        <v>5139</v>
      </c>
      <c r="B140" s="4">
        <v>1121</v>
      </c>
      <c r="C140" s="8">
        <v>46089</v>
      </c>
      <c r="D140" s="8">
        <v>46096</v>
      </c>
      <c r="E140" s="10">
        <f t="shared" si="2"/>
        <v>7</v>
      </c>
      <c r="F140" s="4" t="s">
        <v>20</v>
      </c>
      <c r="G140" s="4" t="s">
        <v>12</v>
      </c>
      <c r="H140" s="4">
        <v>30800</v>
      </c>
      <c r="I140" s="4" t="str">
        <f>VLOOKUP(B140,Customers!$A:$D,4,FALSE)</f>
        <v>Regular</v>
      </c>
      <c r="J140" s="4" t="s">
        <v>37</v>
      </c>
      <c r="K140" s="4" t="s">
        <v>36</v>
      </c>
    </row>
    <row r="141" spans="1:11" x14ac:dyDescent="0.2">
      <c r="A141" s="4">
        <v>5140</v>
      </c>
      <c r="B141" s="4">
        <v>1258</v>
      </c>
      <c r="C141" s="8">
        <v>46063</v>
      </c>
      <c r="D141" s="8">
        <v>46071</v>
      </c>
      <c r="E141" s="10">
        <f t="shared" si="2"/>
        <v>8</v>
      </c>
      <c r="F141" s="4" t="s">
        <v>22</v>
      </c>
      <c r="G141" s="4" t="s">
        <v>12</v>
      </c>
      <c r="H141" s="4">
        <v>42158</v>
      </c>
      <c r="I141" s="4" t="str">
        <f>VLOOKUP(B141,Customers!$A:$D,4,FALSE)</f>
        <v>Regular</v>
      </c>
      <c r="J141" s="4" t="s">
        <v>37</v>
      </c>
      <c r="K141" s="4" t="s">
        <v>36</v>
      </c>
    </row>
    <row r="142" spans="1:11" x14ac:dyDescent="0.2">
      <c r="A142" s="4">
        <v>5141</v>
      </c>
      <c r="B142" s="4">
        <v>1113</v>
      </c>
      <c r="C142" s="8">
        <v>46117</v>
      </c>
      <c r="D142" s="8">
        <v>46122</v>
      </c>
      <c r="E142" s="10">
        <f t="shared" si="2"/>
        <v>5</v>
      </c>
      <c r="F142" s="4" t="s">
        <v>18</v>
      </c>
      <c r="G142" s="4" t="s">
        <v>15</v>
      </c>
      <c r="H142" s="4">
        <v>10339</v>
      </c>
      <c r="I142" s="4" t="str">
        <f>VLOOKUP(B142,Customers!$A:$D,4,FALSE)</f>
        <v>Regular</v>
      </c>
      <c r="J142" s="4" t="s">
        <v>37</v>
      </c>
      <c r="K142" s="4" t="s">
        <v>36</v>
      </c>
    </row>
    <row r="143" spans="1:11" x14ac:dyDescent="0.2">
      <c r="A143" s="4">
        <v>5142</v>
      </c>
      <c r="B143" s="4">
        <v>1282</v>
      </c>
      <c r="C143" s="8">
        <v>46118</v>
      </c>
      <c r="D143" s="8">
        <v>46126</v>
      </c>
      <c r="E143" s="10">
        <f t="shared" si="2"/>
        <v>8</v>
      </c>
      <c r="F143" s="4" t="s">
        <v>25</v>
      </c>
      <c r="G143" s="4" t="s">
        <v>11</v>
      </c>
      <c r="H143" s="4">
        <v>43822</v>
      </c>
      <c r="I143" s="4" t="str">
        <f>VLOOKUP(B143,Customers!$A:$D,4,FALSE)</f>
        <v>Regular</v>
      </c>
      <c r="J143" s="4" t="s">
        <v>35</v>
      </c>
      <c r="K143" s="4" t="s">
        <v>36</v>
      </c>
    </row>
    <row r="144" spans="1:11" x14ac:dyDescent="0.2">
      <c r="A144" s="4">
        <v>5143</v>
      </c>
      <c r="B144" s="4">
        <v>1270</v>
      </c>
      <c r="C144" s="8">
        <v>46086</v>
      </c>
      <c r="D144" s="8">
        <v>46089</v>
      </c>
      <c r="E144" s="10">
        <f t="shared" si="2"/>
        <v>3</v>
      </c>
      <c r="F144" s="4" t="s">
        <v>25</v>
      </c>
      <c r="G144" s="4" t="s">
        <v>11</v>
      </c>
      <c r="H144" s="4">
        <v>46422</v>
      </c>
      <c r="I144" s="4" t="str">
        <f>VLOOKUP(B144,Customers!$A:$D,4,FALSE)</f>
        <v>Premium</v>
      </c>
      <c r="J144" s="4" t="s">
        <v>37</v>
      </c>
      <c r="K144" s="4" t="s">
        <v>36</v>
      </c>
    </row>
    <row r="145" spans="1:11" x14ac:dyDescent="0.2">
      <c r="A145" s="4">
        <v>5144</v>
      </c>
      <c r="B145" s="4">
        <v>1032</v>
      </c>
      <c r="C145" s="8">
        <v>46042</v>
      </c>
      <c r="D145" s="8">
        <v>46045</v>
      </c>
      <c r="E145" s="10">
        <f t="shared" si="2"/>
        <v>3</v>
      </c>
      <c r="F145" s="4" t="s">
        <v>24</v>
      </c>
      <c r="G145" s="4" t="s">
        <v>11</v>
      </c>
      <c r="H145" s="4">
        <v>35470</v>
      </c>
      <c r="I145" s="4" t="str">
        <f>VLOOKUP(B145,Customers!$A:$D,4,FALSE)</f>
        <v>Premium</v>
      </c>
      <c r="J145" s="4" t="s">
        <v>35</v>
      </c>
      <c r="K145" s="4" t="s">
        <v>36</v>
      </c>
    </row>
    <row r="146" spans="1:11" x14ac:dyDescent="0.2">
      <c r="A146" s="4">
        <v>5145</v>
      </c>
      <c r="B146" s="4">
        <v>1267</v>
      </c>
      <c r="C146" s="8">
        <v>46065</v>
      </c>
      <c r="D146" s="8">
        <v>46072</v>
      </c>
      <c r="E146" s="10">
        <f t="shared" si="2"/>
        <v>7</v>
      </c>
      <c r="F146" s="4" t="s">
        <v>25</v>
      </c>
      <c r="G146" s="4" t="s">
        <v>12</v>
      </c>
      <c r="H146" s="4">
        <v>44883</v>
      </c>
      <c r="I146" s="4" t="str">
        <f>VLOOKUP(B146,Customers!$A:$D,4,FALSE)</f>
        <v>Premium</v>
      </c>
      <c r="J146" s="4" t="s">
        <v>35</v>
      </c>
      <c r="K146" s="4" t="s">
        <v>36</v>
      </c>
    </row>
    <row r="147" spans="1:11" x14ac:dyDescent="0.2">
      <c r="A147" s="4">
        <v>5146</v>
      </c>
      <c r="B147" s="4">
        <v>1047</v>
      </c>
      <c r="C147" s="8">
        <v>46172</v>
      </c>
      <c r="D147" s="8">
        <v>46181</v>
      </c>
      <c r="E147" s="10">
        <f t="shared" si="2"/>
        <v>9</v>
      </c>
      <c r="F147" s="4" t="s">
        <v>25</v>
      </c>
      <c r="G147" s="4" t="s">
        <v>12</v>
      </c>
      <c r="H147" s="4">
        <v>30016</v>
      </c>
      <c r="I147" s="4" t="str">
        <f>VLOOKUP(B147,Customers!$A:$D,4,FALSE)</f>
        <v>Regular</v>
      </c>
      <c r="J147" s="4" t="s">
        <v>35</v>
      </c>
      <c r="K147" s="4" t="s">
        <v>36</v>
      </c>
    </row>
    <row r="148" spans="1:11" x14ac:dyDescent="0.2">
      <c r="A148" s="4">
        <v>5147</v>
      </c>
      <c r="B148" s="4">
        <v>1234</v>
      </c>
      <c r="C148" s="8">
        <v>46154</v>
      </c>
      <c r="D148" s="8">
        <v>46162</v>
      </c>
      <c r="E148" s="10">
        <f t="shared" si="2"/>
        <v>8</v>
      </c>
      <c r="F148" s="4" t="s">
        <v>20</v>
      </c>
      <c r="G148" s="4" t="s">
        <v>11</v>
      </c>
      <c r="H148" s="4">
        <v>30602</v>
      </c>
      <c r="I148" s="4" t="str">
        <f>VLOOKUP(B148,Customers!$A:$D,4,FALSE)</f>
        <v>Premium</v>
      </c>
      <c r="J148" s="4" t="s">
        <v>37</v>
      </c>
      <c r="K148" s="4" t="s">
        <v>36</v>
      </c>
    </row>
    <row r="149" spans="1:11" x14ac:dyDescent="0.2">
      <c r="A149" s="4">
        <v>5148</v>
      </c>
      <c r="B149" s="4">
        <v>1131</v>
      </c>
      <c r="C149" s="8">
        <v>46028</v>
      </c>
      <c r="D149" s="8">
        <v>46036</v>
      </c>
      <c r="E149" s="10">
        <f t="shared" si="2"/>
        <v>8</v>
      </c>
      <c r="F149" s="4" t="s">
        <v>20</v>
      </c>
      <c r="G149" s="4" t="s">
        <v>13</v>
      </c>
      <c r="H149" s="4">
        <v>38200</v>
      </c>
      <c r="I149" s="4" t="str">
        <f>VLOOKUP(B149,Customers!$A:$D,4,FALSE)</f>
        <v>Premium</v>
      </c>
      <c r="J149" s="4" t="s">
        <v>35</v>
      </c>
      <c r="K149" s="4" t="s">
        <v>36</v>
      </c>
    </row>
    <row r="150" spans="1:11" x14ac:dyDescent="0.2">
      <c r="A150" s="4">
        <v>5149</v>
      </c>
      <c r="B150" s="4">
        <v>1177</v>
      </c>
      <c r="C150" s="8">
        <v>46034</v>
      </c>
      <c r="D150" s="8">
        <v>46042</v>
      </c>
      <c r="E150" s="10">
        <f t="shared" si="2"/>
        <v>8</v>
      </c>
      <c r="F150" s="4" t="s">
        <v>23</v>
      </c>
      <c r="G150" s="4" t="s">
        <v>11</v>
      </c>
      <c r="H150" s="4">
        <v>4248</v>
      </c>
      <c r="I150" s="4" t="str">
        <f>VLOOKUP(B150,Customers!$A:$D,4,FALSE)</f>
        <v>Premium</v>
      </c>
      <c r="J150" s="4" t="s">
        <v>35</v>
      </c>
      <c r="K150" s="4" t="s">
        <v>36</v>
      </c>
    </row>
    <row r="151" spans="1:11" x14ac:dyDescent="0.2">
      <c r="A151" s="4">
        <v>5150</v>
      </c>
      <c r="B151" s="4">
        <v>1147</v>
      </c>
      <c r="C151" s="8">
        <v>46143</v>
      </c>
      <c r="D151" s="8">
        <v>46145</v>
      </c>
      <c r="E151" s="10">
        <f t="shared" si="2"/>
        <v>2</v>
      </c>
      <c r="F151" s="4" t="s">
        <v>21</v>
      </c>
      <c r="G151" s="4" t="s">
        <v>13</v>
      </c>
      <c r="H151" s="4">
        <v>9175</v>
      </c>
      <c r="I151" s="4" t="str">
        <f>VLOOKUP(B151,Customers!$A:$D,4,FALSE)</f>
        <v>Premium</v>
      </c>
      <c r="J151" s="4" t="s">
        <v>37</v>
      </c>
      <c r="K151" s="4" t="s">
        <v>36</v>
      </c>
    </row>
    <row r="152" spans="1:11" x14ac:dyDescent="0.2">
      <c r="A152" s="4">
        <v>5151</v>
      </c>
      <c r="B152" s="4">
        <v>1230</v>
      </c>
      <c r="C152" s="8">
        <v>46118</v>
      </c>
      <c r="D152" s="8">
        <v>46126</v>
      </c>
      <c r="E152" s="10">
        <f t="shared" si="2"/>
        <v>8</v>
      </c>
      <c r="F152" s="4" t="s">
        <v>21</v>
      </c>
      <c r="G152" s="4" t="s">
        <v>15</v>
      </c>
      <c r="H152" s="4">
        <v>5559</v>
      </c>
      <c r="I152" s="4" t="str">
        <f>VLOOKUP(B152,Customers!$A:$D,4,FALSE)</f>
        <v>Premium</v>
      </c>
      <c r="J152" s="4" t="s">
        <v>35</v>
      </c>
      <c r="K152" s="4" t="s">
        <v>36</v>
      </c>
    </row>
    <row r="153" spans="1:11" x14ac:dyDescent="0.2">
      <c r="A153" s="4">
        <v>5152</v>
      </c>
      <c r="B153" s="4">
        <v>1092</v>
      </c>
      <c r="C153" s="8">
        <v>46112</v>
      </c>
      <c r="D153" s="8">
        <v>46115</v>
      </c>
      <c r="E153" s="10">
        <f t="shared" si="2"/>
        <v>3</v>
      </c>
      <c r="F153" s="4" t="s">
        <v>21</v>
      </c>
      <c r="G153" s="4" t="s">
        <v>11</v>
      </c>
      <c r="H153" s="4">
        <v>8645</v>
      </c>
      <c r="I153" s="4" t="str">
        <f>VLOOKUP(B153,Customers!$A:$D,4,FALSE)</f>
        <v>Premium</v>
      </c>
      <c r="J153" s="4" t="s">
        <v>35</v>
      </c>
      <c r="K153" s="4" t="s">
        <v>36</v>
      </c>
    </row>
    <row r="154" spans="1:11" x14ac:dyDescent="0.2">
      <c r="A154" s="4">
        <v>5153</v>
      </c>
      <c r="B154" s="4">
        <v>1153</v>
      </c>
      <c r="C154" s="8">
        <v>46023</v>
      </c>
      <c r="D154" s="8">
        <v>46025</v>
      </c>
      <c r="E154" s="10">
        <f t="shared" si="2"/>
        <v>2</v>
      </c>
      <c r="F154" s="4" t="s">
        <v>25</v>
      </c>
      <c r="G154" s="4" t="s">
        <v>11</v>
      </c>
      <c r="H154" s="4">
        <v>28095</v>
      </c>
      <c r="I154" s="4" t="str">
        <f>VLOOKUP(B154,Customers!$A:$D,4,FALSE)</f>
        <v>Regular</v>
      </c>
      <c r="J154" s="4" t="s">
        <v>37</v>
      </c>
      <c r="K154" s="4" t="s">
        <v>36</v>
      </c>
    </row>
    <row r="155" spans="1:11" x14ac:dyDescent="0.2">
      <c r="A155" s="4">
        <v>5154</v>
      </c>
      <c r="B155" s="4">
        <v>1236</v>
      </c>
      <c r="C155" s="8">
        <v>46081</v>
      </c>
      <c r="D155" s="8">
        <v>46086</v>
      </c>
      <c r="E155" s="10">
        <f t="shared" si="2"/>
        <v>5</v>
      </c>
      <c r="F155" s="4" t="s">
        <v>19</v>
      </c>
      <c r="G155" s="4" t="s">
        <v>13</v>
      </c>
      <c r="H155" s="4">
        <v>18364</v>
      </c>
      <c r="I155" s="4" t="str">
        <f>VLOOKUP(B155,Customers!$A:$D,4,FALSE)</f>
        <v>Premium</v>
      </c>
      <c r="J155" s="4" t="s">
        <v>35</v>
      </c>
      <c r="K155" s="4" t="s">
        <v>36</v>
      </c>
    </row>
    <row r="156" spans="1:11" x14ac:dyDescent="0.2">
      <c r="A156" s="4">
        <v>5155</v>
      </c>
      <c r="B156" s="4">
        <v>1215</v>
      </c>
      <c r="C156" s="8">
        <v>46051</v>
      </c>
      <c r="D156" s="8">
        <v>46053</v>
      </c>
      <c r="E156" s="10">
        <f t="shared" si="2"/>
        <v>2</v>
      </c>
      <c r="F156" s="4" t="s">
        <v>20</v>
      </c>
      <c r="G156" s="4" t="s">
        <v>13</v>
      </c>
      <c r="H156" s="4">
        <v>13805</v>
      </c>
      <c r="I156" s="4" t="str">
        <f>VLOOKUP(B156,Customers!$A:$D,4,FALSE)</f>
        <v>Premium</v>
      </c>
      <c r="J156" s="4" t="s">
        <v>35</v>
      </c>
      <c r="K156" s="4" t="s">
        <v>36</v>
      </c>
    </row>
    <row r="157" spans="1:11" x14ac:dyDescent="0.2">
      <c r="A157" s="4">
        <v>5156</v>
      </c>
      <c r="B157" s="4">
        <v>1229</v>
      </c>
      <c r="C157" s="8">
        <v>46048</v>
      </c>
      <c r="D157" s="8">
        <v>46050</v>
      </c>
      <c r="E157" s="10">
        <f t="shared" si="2"/>
        <v>2</v>
      </c>
      <c r="F157" s="4" t="s">
        <v>20</v>
      </c>
      <c r="G157" s="4" t="s">
        <v>13</v>
      </c>
      <c r="H157" s="4">
        <v>48832</v>
      </c>
      <c r="I157" s="4" t="str">
        <f>VLOOKUP(B157,Customers!$A:$D,4,FALSE)</f>
        <v>Premium</v>
      </c>
      <c r="J157" s="4" t="s">
        <v>35</v>
      </c>
      <c r="K157" s="4" t="s">
        <v>36</v>
      </c>
    </row>
    <row r="158" spans="1:11" x14ac:dyDescent="0.2">
      <c r="A158" s="4">
        <v>5157</v>
      </c>
      <c r="B158" s="4">
        <v>1120</v>
      </c>
      <c r="C158" s="8">
        <v>46125</v>
      </c>
      <c r="D158" s="8">
        <v>46134</v>
      </c>
      <c r="E158" s="10">
        <f t="shared" si="2"/>
        <v>9</v>
      </c>
      <c r="F158" s="4" t="s">
        <v>24</v>
      </c>
      <c r="G158" s="4" t="s">
        <v>12</v>
      </c>
      <c r="H158" s="4">
        <v>9483</v>
      </c>
      <c r="I158" s="4" t="str">
        <f>VLOOKUP(B158,Customers!$A:$D,4,FALSE)</f>
        <v>Regular</v>
      </c>
      <c r="J158" s="4" t="s">
        <v>37</v>
      </c>
      <c r="K158" s="4" t="s">
        <v>36</v>
      </c>
    </row>
    <row r="159" spans="1:11" x14ac:dyDescent="0.2">
      <c r="A159" s="4">
        <v>5158</v>
      </c>
      <c r="B159" s="4">
        <v>1296</v>
      </c>
      <c r="C159" s="8">
        <v>46082</v>
      </c>
      <c r="D159" s="8">
        <v>46089</v>
      </c>
      <c r="E159" s="10">
        <f t="shared" si="2"/>
        <v>7</v>
      </c>
      <c r="F159" s="4" t="s">
        <v>19</v>
      </c>
      <c r="G159" s="4" t="s">
        <v>13</v>
      </c>
      <c r="H159" s="4">
        <v>20076</v>
      </c>
      <c r="I159" s="4" t="str">
        <f>VLOOKUP(B159,Customers!$A:$D,4,FALSE)</f>
        <v>Regular</v>
      </c>
      <c r="J159" s="4" t="s">
        <v>35</v>
      </c>
      <c r="K159" s="4" t="s">
        <v>36</v>
      </c>
    </row>
    <row r="160" spans="1:11" x14ac:dyDescent="0.2">
      <c r="A160" s="4">
        <v>5159</v>
      </c>
      <c r="B160" s="4">
        <v>1212</v>
      </c>
      <c r="C160" s="8">
        <v>46156</v>
      </c>
      <c r="D160" s="8">
        <v>46161</v>
      </c>
      <c r="E160" s="10">
        <f t="shared" si="2"/>
        <v>5</v>
      </c>
      <c r="F160" s="4" t="s">
        <v>22</v>
      </c>
      <c r="G160" s="4" t="s">
        <v>14</v>
      </c>
      <c r="H160" s="4">
        <v>4294</v>
      </c>
      <c r="I160" s="4" t="str">
        <f>VLOOKUP(B160,Customers!$A:$D,4,FALSE)</f>
        <v>Premium</v>
      </c>
      <c r="J160" s="4" t="s">
        <v>35</v>
      </c>
      <c r="K160" s="4" t="s">
        <v>36</v>
      </c>
    </row>
    <row r="161" spans="1:11" x14ac:dyDescent="0.2">
      <c r="A161" s="4">
        <v>5160</v>
      </c>
      <c r="B161" s="4">
        <v>1254</v>
      </c>
      <c r="C161" s="8">
        <v>46132</v>
      </c>
      <c r="D161" s="8">
        <v>46142</v>
      </c>
      <c r="E161" s="10">
        <f t="shared" si="2"/>
        <v>10</v>
      </c>
      <c r="F161" s="4" t="s">
        <v>20</v>
      </c>
      <c r="G161" s="4" t="s">
        <v>14</v>
      </c>
      <c r="H161" s="4">
        <v>42460</v>
      </c>
      <c r="I161" s="4" t="str">
        <f>VLOOKUP(B161,Customers!$A:$D,4,FALSE)</f>
        <v>Premium</v>
      </c>
      <c r="J161" s="4" t="s">
        <v>37</v>
      </c>
      <c r="K161" s="4" t="s">
        <v>36</v>
      </c>
    </row>
    <row r="162" spans="1:11" x14ac:dyDescent="0.2">
      <c r="A162" s="4">
        <v>5161</v>
      </c>
      <c r="B162" s="4">
        <v>1214</v>
      </c>
      <c r="C162" s="8">
        <v>46157</v>
      </c>
      <c r="D162" s="8">
        <v>46164</v>
      </c>
      <c r="E162" s="10">
        <f t="shared" si="2"/>
        <v>7</v>
      </c>
      <c r="F162" s="4" t="s">
        <v>21</v>
      </c>
      <c r="G162" s="4" t="s">
        <v>13</v>
      </c>
      <c r="H162" s="4">
        <v>19953</v>
      </c>
      <c r="I162" s="4" t="str">
        <f>VLOOKUP(B162,Customers!$A:$D,4,FALSE)</f>
        <v>Premium</v>
      </c>
      <c r="J162" s="4" t="s">
        <v>37</v>
      </c>
      <c r="K162" s="4" t="s">
        <v>36</v>
      </c>
    </row>
    <row r="163" spans="1:11" x14ac:dyDescent="0.2">
      <c r="A163" s="4">
        <v>5162</v>
      </c>
      <c r="B163" s="4">
        <v>1243</v>
      </c>
      <c r="C163" s="8">
        <v>46070</v>
      </c>
      <c r="D163" s="8">
        <v>46080</v>
      </c>
      <c r="E163" s="10">
        <f t="shared" si="2"/>
        <v>10</v>
      </c>
      <c r="F163" s="4" t="s">
        <v>24</v>
      </c>
      <c r="G163" s="4" t="s">
        <v>13</v>
      </c>
      <c r="H163" s="4">
        <v>20009</v>
      </c>
      <c r="I163" s="4" t="str">
        <f>VLOOKUP(B163,Customers!$A:$D,4,FALSE)</f>
        <v>Regular</v>
      </c>
      <c r="J163" s="4" t="s">
        <v>35</v>
      </c>
      <c r="K163" s="4" t="s">
        <v>36</v>
      </c>
    </row>
    <row r="164" spans="1:11" x14ac:dyDescent="0.2">
      <c r="A164" s="4">
        <v>5163</v>
      </c>
      <c r="B164" s="4">
        <v>1288</v>
      </c>
      <c r="C164" s="8">
        <v>46141</v>
      </c>
      <c r="D164" s="8">
        <v>46143</v>
      </c>
      <c r="E164" s="10">
        <f t="shared" si="2"/>
        <v>2</v>
      </c>
      <c r="F164" s="4" t="s">
        <v>21</v>
      </c>
      <c r="G164" s="4" t="s">
        <v>15</v>
      </c>
      <c r="H164" s="4">
        <v>36822</v>
      </c>
      <c r="I164" s="4" t="str">
        <f>VLOOKUP(B164,Customers!$A:$D,4,FALSE)</f>
        <v>Regular</v>
      </c>
      <c r="J164" s="4" t="s">
        <v>35</v>
      </c>
      <c r="K164" s="4" t="s">
        <v>36</v>
      </c>
    </row>
    <row r="165" spans="1:11" x14ac:dyDescent="0.2">
      <c r="A165" s="4">
        <v>5164</v>
      </c>
      <c r="B165" s="4">
        <v>1131</v>
      </c>
      <c r="C165" s="8">
        <v>46122</v>
      </c>
      <c r="D165" s="8">
        <v>46127</v>
      </c>
      <c r="E165" s="10">
        <f t="shared" si="2"/>
        <v>5</v>
      </c>
      <c r="F165" s="4" t="s">
        <v>24</v>
      </c>
      <c r="G165" s="4" t="s">
        <v>14</v>
      </c>
      <c r="H165" s="4">
        <v>42682</v>
      </c>
      <c r="I165" s="4" t="str">
        <f>VLOOKUP(B165,Customers!$A:$D,4,FALSE)</f>
        <v>Premium</v>
      </c>
      <c r="J165" s="4" t="s">
        <v>35</v>
      </c>
      <c r="K165" s="4" t="s">
        <v>36</v>
      </c>
    </row>
    <row r="166" spans="1:11" x14ac:dyDescent="0.2">
      <c r="A166" s="4">
        <v>5165</v>
      </c>
      <c r="B166" s="4">
        <v>1048</v>
      </c>
      <c r="C166" s="8">
        <v>46138</v>
      </c>
      <c r="D166" s="8">
        <v>46145</v>
      </c>
      <c r="E166" s="10">
        <f t="shared" si="2"/>
        <v>7</v>
      </c>
      <c r="F166" s="4" t="s">
        <v>24</v>
      </c>
      <c r="G166" s="4" t="s">
        <v>12</v>
      </c>
      <c r="H166" s="4">
        <v>17893</v>
      </c>
      <c r="I166" s="4" t="str">
        <f>VLOOKUP(B166,Customers!$A:$D,4,FALSE)</f>
        <v>Regular</v>
      </c>
      <c r="J166" s="4" t="s">
        <v>37</v>
      </c>
      <c r="K166" s="4" t="s">
        <v>36</v>
      </c>
    </row>
    <row r="167" spans="1:11" x14ac:dyDescent="0.2">
      <c r="A167" s="4">
        <v>5166</v>
      </c>
      <c r="B167" s="4">
        <v>1097</v>
      </c>
      <c r="C167" s="8">
        <v>46033</v>
      </c>
      <c r="D167" s="8">
        <v>46036</v>
      </c>
      <c r="E167" s="10">
        <f t="shared" si="2"/>
        <v>3</v>
      </c>
      <c r="F167" s="4" t="s">
        <v>24</v>
      </c>
      <c r="G167" s="4" t="s">
        <v>15</v>
      </c>
      <c r="H167" s="4">
        <v>13989</v>
      </c>
      <c r="I167" s="4" t="str">
        <f>VLOOKUP(B167,Customers!$A:$D,4,FALSE)</f>
        <v>Premium</v>
      </c>
      <c r="J167" s="4" t="s">
        <v>37</v>
      </c>
      <c r="K167" s="4" t="s">
        <v>36</v>
      </c>
    </row>
    <row r="168" spans="1:11" x14ac:dyDescent="0.2">
      <c r="A168" s="4">
        <v>5167</v>
      </c>
      <c r="B168" s="4">
        <v>1109</v>
      </c>
      <c r="C168" s="8">
        <v>46100</v>
      </c>
      <c r="D168" s="8">
        <v>46102</v>
      </c>
      <c r="E168" s="10">
        <f t="shared" si="2"/>
        <v>2</v>
      </c>
      <c r="F168" s="4" t="s">
        <v>24</v>
      </c>
      <c r="G168" s="4" t="s">
        <v>12</v>
      </c>
      <c r="H168" s="4">
        <v>49247</v>
      </c>
      <c r="I168" s="4" t="str">
        <f>VLOOKUP(B168,Customers!$A:$D,4,FALSE)</f>
        <v>Premium</v>
      </c>
      <c r="J168" s="4" t="s">
        <v>37</v>
      </c>
      <c r="K168" s="4" t="s">
        <v>36</v>
      </c>
    </row>
    <row r="169" spans="1:11" x14ac:dyDescent="0.2">
      <c r="A169" s="4">
        <v>5168</v>
      </c>
      <c r="B169" s="4">
        <v>1204</v>
      </c>
      <c r="C169" s="8">
        <v>46085</v>
      </c>
      <c r="D169" s="8">
        <v>46090</v>
      </c>
      <c r="E169" s="10">
        <f t="shared" si="2"/>
        <v>5</v>
      </c>
      <c r="F169" s="4" t="s">
        <v>24</v>
      </c>
      <c r="G169" s="4" t="s">
        <v>11</v>
      </c>
      <c r="H169" s="4">
        <v>21377</v>
      </c>
      <c r="I169" s="4" t="str">
        <f>VLOOKUP(B169,Customers!$A:$D,4,FALSE)</f>
        <v>Premium</v>
      </c>
      <c r="J169" s="4" t="s">
        <v>37</v>
      </c>
      <c r="K169" s="4" t="s">
        <v>36</v>
      </c>
    </row>
    <row r="170" spans="1:11" x14ac:dyDescent="0.2">
      <c r="A170" s="4">
        <v>5169</v>
      </c>
      <c r="B170" s="4">
        <v>1274</v>
      </c>
      <c r="C170" s="8">
        <v>46120</v>
      </c>
      <c r="D170" s="8">
        <v>46129</v>
      </c>
      <c r="E170" s="10">
        <f t="shared" si="2"/>
        <v>9</v>
      </c>
      <c r="F170" s="4" t="s">
        <v>19</v>
      </c>
      <c r="G170" s="4" t="s">
        <v>14</v>
      </c>
      <c r="H170" s="4">
        <v>17441</v>
      </c>
      <c r="I170" s="4" t="str">
        <f>VLOOKUP(B170,Customers!$A:$D,4,FALSE)</f>
        <v>Regular</v>
      </c>
      <c r="J170" s="4" t="s">
        <v>37</v>
      </c>
      <c r="K170" s="4" t="s">
        <v>36</v>
      </c>
    </row>
    <row r="171" spans="1:11" x14ac:dyDescent="0.2">
      <c r="A171" s="4">
        <v>5170</v>
      </c>
      <c r="B171" s="4">
        <v>1239</v>
      </c>
      <c r="C171" s="8">
        <v>46154</v>
      </c>
      <c r="D171" s="8">
        <v>46163</v>
      </c>
      <c r="E171" s="10">
        <f t="shared" si="2"/>
        <v>9</v>
      </c>
      <c r="F171" s="4" t="s">
        <v>23</v>
      </c>
      <c r="G171" s="4" t="s">
        <v>15</v>
      </c>
      <c r="H171" s="4">
        <v>21286</v>
      </c>
      <c r="I171" s="4" t="str">
        <f>VLOOKUP(B171,Customers!$A:$D,4,FALSE)</f>
        <v>Premium</v>
      </c>
      <c r="J171" s="4" t="s">
        <v>35</v>
      </c>
      <c r="K171" s="4" t="s">
        <v>36</v>
      </c>
    </row>
    <row r="172" spans="1:11" x14ac:dyDescent="0.2">
      <c r="A172" s="4">
        <v>5171</v>
      </c>
      <c r="B172" s="4">
        <v>1212</v>
      </c>
      <c r="C172" s="8">
        <v>46117</v>
      </c>
      <c r="D172" s="8">
        <v>46124</v>
      </c>
      <c r="E172" s="10">
        <f t="shared" si="2"/>
        <v>7</v>
      </c>
      <c r="F172" s="4" t="s">
        <v>20</v>
      </c>
      <c r="G172" s="4" t="s">
        <v>11</v>
      </c>
      <c r="H172" s="4">
        <v>14801</v>
      </c>
      <c r="I172" s="4" t="str">
        <f>VLOOKUP(B172,Customers!$A:$D,4,FALSE)</f>
        <v>Premium</v>
      </c>
      <c r="J172" s="4" t="s">
        <v>35</v>
      </c>
      <c r="K172" s="4" t="s">
        <v>36</v>
      </c>
    </row>
    <row r="173" spans="1:11" x14ac:dyDescent="0.2">
      <c r="A173" s="4">
        <v>5172</v>
      </c>
      <c r="B173" s="4">
        <v>1284</v>
      </c>
      <c r="C173" s="8">
        <v>46027</v>
      </c>
      <c r="D173" s="8">
        <v>46033</v>
      </c>
      <c r="E173" s="10">
        <f t="shared" si="2"/>
        <v>6</v>
      </c>
      <c r="F173" s="4" t="s">
        <v>21</v>
      </c>
      <c r="G173" s="4" t="s">
        <v>14</v>
      </c>
      <c r="H173" s="4">
        <v>10288</v>
      </c>
      <c r="I173" s="4" t="str">
        <f>VLOOKUP(B173,Customers!$A:$D,4,FALSE)</f>
        <v>Regular</v>
      </c>
      <c r="J173" s="4" t="s">
        <v>35</v>
      </c>
      <c r="K173" s="4" t="s">
        <v>36</v>
      </c>
    </row>
    <row r="174" spans="1:11" x14ac:dyDescent="0.2">
      <c r="A174" s="4">
        <v>5173</v>
      </c>
      <c r="B174" s="4">
        <v>1195</v>
      </c>
      <c r="C174" s="8">
        <v>46107</v>
      </c>
      <c r="D174" s="8">
        <v>46112</v>
      </c>
      <c r="E174" s="10">
        <f t="shared" si="2"/>
        <v>5</v>
      </c>
      <c r="F174" s="4" t="s">
        <v>24</v>
      </c>
      <c r="G174" s="4" t="s">
        <v>15</v>
      </c>
      <c r="H174" s="4">
        <v>36386</v>
      </c>
      <c r="I174" s="4" t="str">
        <f>VLOOKUP(B174,Customers!$A:$D,4,FALSE)</f>
        <v>Premium</v>
      </c>
      <c r="J174" s="4" t="s">
        <v>37</v>
      </c>
      <c r="K174" s="4" t="s">
        <v>36</v>
      </c>
    </row>
    <row r="175" spans="1:11" x14ac:dyDescent="0.2">
      <c r="A175" s="4">
        <v>5174</v>
      </c>
      <c r="B175" s="4">
        <v>1252</v>
      </c>
      <c r="C175" s="8">
        <v>46088</v>
      </c>
      <c r="D175" s="8">
        <v>46097</v>
      </c>
      <c r="E175" s="10">
        <f t="shared" si="2"/>
        <v>9</v>
      </c>
      <c r="F175" s="4" t="s">
        <v>25</v>
      </c>
      <c r="G175" s="4" t="s">
        <v>13</v>
      </c>
      <c r="H175" s="4">
        <v>48322</v>
      </c>
      <c r="I175" s="4" t="str">
        <f>VLOOKUP(B175,Customers!$A:$D,4,FALSE)</f>
        <v>Regular</v>
      </c>
      <c r="J175" s="4" t="s">
        <v>37</v>
      </c>
      <c r="K175" s="4" t="s">
        <v>36</v>
      </c>
    </row>
    <row r="176" spans="1:11" x14ac:dyDescent="0.2">
      <c r="A176" s="4">
        <v>5175</v>
      </c>
      <c r="B176" s="4">
        <v>1280</v>
      </c>
      <c r="C176" s="8">
        <v>46066</v>
      </c>
      <c r="D176" s="8">
        <v>46070</v>
      </c>
      <c r="E176" s="10">
        <f t="shared" si="2"/>
        <v>4</v>
      </c>
      <c r="F176" s="4" t="s">
        <v>25</v>
      </c>
      <c r="G176" s="4" t="s">
        <v>13</v>
      </c>
      <c r="H176" s="4">
        <v>35829</v>
      </c>
      <c r="I176" s="4" t="str">
        <f>VLOOKUP(B176,Customers!$A:$D,4,FALSE)</f>
        <v>Regular</v>
      </c>
      <c r="J176" s="4" t="s">
        <v>35</v>
      </c>
      <c r="K176" s="4" t="s">
        <v>36</v>
      </c>
    </row>
    <row r="177" spans="1:11" x14ac:dyDescent="0.2">
      <c r="A177" s="4">
        <v>5176</v>
      </c>
      <c r="B177" s="4">
        <v>1039</v>
      </c>
      <c r="C177" s="8">
        <v>46157</v>
      </c>
      <c r="D177" s="8">
        <v>46159</v>
      </c>
      <c r="E177" s="10">
        <f t="shared" si="2"/>
        <v>2</v>
      </c>
      <c r="F177" s="4" t="s">
        <v>20</v>
      </c>
      <c r="G177" s="4" t="s">
        <v>12</v>
      </c>
      <c r="H177" s="4">
        <v>27326</v>
      </c>
      <c r="I177" s="4" t="str">
        <f>VLOOKUP(B177,Customers!$A:$D,4,FALSE)</f>
        <v>Regular</v>
      </c>
      <c r="J177" s="4" t="s">
        <v>35</v>
      </c>
      <c r="K177" s="4" t="s">
        <v>36</v>
      </c>
    </row>
    <row r="178" spans="1:11" x14ac:dyDescent="0.2">
      <c r="A178" s="4">
        <v>5177</v>
      </c>
      <c r="B178" s="4">
        <v>1078</v>
      </c>
      <c r="C178" s="8">
        <v>46082</v>
      </c>
      <c r="D178" s="8">
        <v>46085</v>
      </c>
      <c r="E178" s="10">
        <f t="shared" si="2"/>
        <v>3</v>
      </c>
      <c r="F178" s="4" t="s">
        <v>20</v>
      </c>
      <c r="G178" s="4" t="s">
        <v>13</v>
      </c>
      <c r="H178" s="4">
        <v>33443</v>
      </c>
      <c r="I178" s="4" t="str">
        <f>VLOOKUP(B178,Customers!$A:$D,4,FALSE)</f>
        <v>Regular</v>
      </c>
      <c r="J178" s="4" t="s">
        <v>37</v>
      </c>
      <c r="K178" s="4" t="s">
        <v>36</v>
      </c>
    </row>
    <row r="179" spans="1:11" x14ac:dyDescent="0.2">
      <c r="A179" s="4">
        <v>5178</v>
      </c>
      <c r="B179" s="4">
        <v>1248</v>
      </c>
      <c r="C179" s="8">
        <v>46118</v>
      </c>
      <c r="D179" s="8">
        <v>46120</v>
      </c>
      <c r="E179" s="10">
        <f t="shared" si="2"/>
        <v>2</v>
      </c>
      <c r="F179" s="4" t="s">
        <v>25</v>
      </c>
      <c r="G179" s="4" t="s">
        <v>12</v>
      </c>
      <c r="H179" s="4">
        <v>733</v>
      </c>
      <c r="I179" s="4" t="str">
        <f>VLOOKUP(B179,Customers!$A:$D,4,FALSE)</f>
        <v>Regular</v>
      </c>
      <c r="J179" s="4" t="s">
        <v>37</v>
      </c>
      <c r="K179" s="4" t="s">
        <v>36</v>
      </c>
    </row>
    <row r="180" spans="1:11" x14ac:dyDescent="0.2">
      <c r="A180" s="4">
        <v>5179</v>
      </c>
      <c r="B180" s="4">
        <v>1272</v>
      </c>
      <c r="C180" s="8">
        <v>46026</v>
      </c>
      <c r="D180" s="8">
        <v>46028</v>
      </c>
      <c r="E180" s="10">
        <f t="shared" si="2"/>
        <v>2</v>
      </c>
      <c r="F180" s="4" t="s">
        <v>22</v>
      </c>
      <c r="G180" s="4" t="s">
        <v>11</v>
      </c>
      <c r="H180" s="4">
        <v>19088</v>
      </c>
      <c r="I180" s="4" t="str">
        <f>VLOOKUP(B180,Customers!$A:$D,4,FALSE)</f>
        <v>Premium</v>
      </c>
      <c r="J180" s="4" t="s">
        <v>35</v>
      </c>
      <c r="K180" s="4" t="s">
        <v>36</v>
      </c>
    </row>
    <row r="181" spans="1:11" x14ac:dyDescent="0.2">
      <c r="A181" s="4">
        <v>5180</v>
      </c>
      <c r="B181" s="4">
        <v>1092</v>
      </c>
      <c r="C181" s="8">
        <v>46151</v>
      </c>
      <c r="D181" s="8">
        <v>46159</v>
      </c>
      <c r="E181" s="10">
        <f t="shared" si="2"/>
        <v>8</v>
      </c>
      <c r="F181" s="4" t="s">
        <v>23</v>
      </c>
      <c r="G181" s="4" t="s">
        <v>12</v>
      </c>
      <c r="H181" s="4">
        <v>34666</v>
      </c>
      <c r="I181" s="4" t="str">
        <f>VLOOKUP(B181,Customers!$A:$D,4,FALSE)</f>
        <v>Premium</v>
      </c>
      <c r="J181" s="4" t="s">
        <v>35</v>
      </c>
      <c r="K181" s="4" t="s">
        <v>36</v>
      </c>
    </row>
    <row r="182" spans="1:11" x14ac:dyDescent="0.2">
      <c r="A182" s="4">
        <v>5181</v>
      </c>
      <c r="B182" s="4">
        <v>1270</v>
      </c>
      <c r="C182" s="8">
        <v>46084</v>
      </c>
      <c r="D182" s="8">
        <v>46089</v>
      </c>
      <c r="E182" s="10">
        <f t="shared" si="2"/>
        <v>5</v>
      </c>
      <c r="F182" s="4" t="s">
        <v>22</v>
      </c>
      <c r="G182" s="4" t="s">
        <v>14</v>
      </c>
      <c r="H182" s="4">
        <v>17819</v>
      </c>
      <c r="I182" s="4" t="str">
        <f>VLOOKUP(B182,Customers!$A:$D,4,FALSE)</f>
        <v>Premium</v>
      </c>
      <c r="J182" s="4" t="s">
        <v>37</v>
      </c>
      <c r="K182" s="4" t="s">
        <v>36</v>
      </c>
    </row>
    <row r="183" spans="1:11" x14ac:dyDescent="0.2">
      <c r="A183" s="4">
        <v>5182</v>
      </c>
      <c r="B183" s="4">
        <v>1208</v>
      </c>
      <c r="C183" s="8">
        <v>46043</v>
      </c>
      <c r="D183" s="8">
        <v>46050</v>
      </c>
      <c r="E183" s="10">
        <f t="shared" si="2"/>
        <v>7</v>
      </c>
      <c r="F183" s="4" t="s">
        <v>25</v>
      </c>
      <c r="G183" s="4" t="s">
        <v>11</v>
      </c>
      <c r="H183" s="4">
        <v>16238</v>
      </c>
      <c r="I183" s="4" t="str">
        <f>VLOOKUP(B183,Customers!$A:$D,4,FALSE)</f>
        <v>Premium</v>
      </c>
      <c r="J183" s="4" t="s">
        <v>35</v>
      </c>
      <c r="K183" s="4" t="s">
        <v>36</v>
      </c>
    </row>
    <row r="184" spans="1:11" x14ac:dyDescent="0.2">
      <c r="A184" s="4">
        <v>5183</v>
      </c>
      <c r="B184" s="4">
        <v>1017</v>
      </c>
      <c r="C184" s="8">
        <v>46099</v>
      </c>
      <c r="D184" s="8">
        <v>46102</v>
      </c>
      <c r="E184" s="10">
        <f t="shared" si="2"/>
        <v>3</v>
      </c>
      <c r="F184" s="4" t="s">
        <v>23</v>
      </c>
      <c r="G184" s="4" t="s">
        <v>15</v>
      </c>
      <c r="H184" s="4">
        <v>25155</v>
      </c>
      <c r="I184" s="4" t="str">
        <f>VLOOKUP(B184,Customers!$A:$D,4,FALSE)</f>
        <v>Regular</v>
      </c>
      <c r="J184" s="4" t="s">
        <v>37</v>
      </c>
      <c r="K184" s="4" t="s">
        <v>36</v>
      </c>
    </row>
    <row r="185" spans="1:11" x14ac:dyDescent="0.2">
      <c r="A185" s="4">
        <v>5184</v>
      </c>
      <c r="B185" s="4">
        <v>1029</v>
      </c>
      <c r="C185" s="8">
        <v>46164</v>
      </c>
      <c r="D185" s="8">
        <v>46173</v>
      </c>
      <c r="E185" s="10">
        <f t="shared" si="2"/>
        <v>9</v>
      </c>
      <c r="F185" s="4" t="s">
        <v>20</v>
      </c>
      <c r="G185" s="4" t="s">
        <v>13</v>
      </c>
      <c r="H185" s="4">
        <v>5718</v>
      </c>
      <c r="I185" s="4" t="str">
        <f>VLOOKUP(B185,Customers!$A:$D,4,FALSE)</f>
        <v>Regular</v>
      </c>
      <c r="J185" s="4" t="s">
        <v>37</v>
      </c>
      <c r="K185" s="4" t="s">
        <v>36</v>
      </c>
    </row>
    <row r="186" spans="1:11" x14ac:dyDescent="0.2">
      <c r="A186" s="4">
        <v>5185</v>
      </c>
      <c r="B186" s="4">
        <v>1290</v>
      </c>
      <c r="C186" s="8">
        <v>46134</v>
      </c>
      <c r="D186" s="8">
        <v>46141</v>
      </c>
      <c r="E186" s="10">
        <f t="shared" si="2"/>
        <v>7</v>
      </c>
      <c r="F186" s="4" t="s">
        <v>23</v>
      </c>
      <c r="G186" s="4" t="s">
        <v>11</v>
      </c>
      <c r="H186" s="4">
        <v>3088</v>
      </c>
      <c r="I186" s="4" t="str">
        <f>VLOOKUP(B186,Customers!$A:$D,4,FALSE)</f>
        <v>Regular</v>
      </c>
      <c r="J186" s="4" t="s">
        <v>35</v>
      </c>
      <c r="K186" s="4" t="s">
        <v>36</v>
      </c>
    </row>
    <row r="187" spans="1:11" x14ac:dyDescent="0.2">
      <c r="A187" s="4">
        <v>5186</v>
      </c>
      <c r="B187" s="4">
        <v>1139</v>
      </c>
      <c r="C187" s="8">
        <v>46077</v>
      </c>
      <c r="D187" s="8">
        <v>46086</v>
      </c>
      <c r="E187" s="10">
        <f t="shared" si="2"/>
        <v>9</v>
      </c>
      <c r="F187" s="4" t="s">
        <v>20</v>
      </c>
      <c r="G187" s="4" t="s">
        <v>12</v>
      </c>
      <c r="H187" s="4">
        <v>45154</v>
      </c>
      <c r="I187" s="4" t="str">
        <f>VLOOKUP(B187,Customers!$A:$D,4,FALSE)</f>
        <v>Premium</v>
      </c>
      <c r="J187" s="4" t="s">
        <v>37</v>
      </c>
      <c r="K187" s="4" t="s">
        <v>36</v>
      </c>
    </row>
    <row r="188" spans="1:11" x14ac:dyDescent="0.2">
      <c r="A188" s="4">
        <v>5187</v>
      </c>
      <c r="B188" s="4">
        <v>1092</v>
      </c>
      <c r="C188" s="8">
        <v>46162</v>
      </c>
      <c r="D188" s="8">
        <v>46164</v>
      </c>
      <c r="E188" s="10">
        <f t="shared" si="2"/>
        <v>2</v>
      </c>
      <c r="F188" s="4" t="s">
        <v>19</v>
      </c>
      <c r="G188" s="4" t="s">
        <v>12</v>
      </c>
      <c r="H188" s="4">
        <v>13876</v>
      </c>
      <c r="I188" s="4" t="str">
        <f>VLOOKUP(B188,Customers!$A:$D,4,FALSE)</f>
        <v>Premium</v>
      </c>
      <c r="J188" s="4" t="s">
        <v>35</v>
      </c>
      <c r="K188" s="4" t="s">
        <v>36</v>
      </c>
    </row>
    <row r="189" spans="1:11" x14ac:dyDescent="0.2">
      <c r="A189" s="4">
        <v>5188</v>
      </c>
      <c r="B189" s="4">
        <v>1154</v>
      </c>
      <c r="C189" s="8">
        <v>46124</v>
      </c>
      <c r="D189" s="8">
        <v>46127</v>
      </c>
      <c r="E189" s="10">
        <f t="shared" si="2"/>
        <v>3</v>
      </c>
      <c r="F189" s="4" t="s">
        <v>18</v>
      </c>
      <c r="G189" s="4" t="s">
        <v>11</v>
      </c>
      <c r="H189" s="4">
        <v>16059</v>
      </c>
      <c r="I189" s="4" t="str">
        <f>VLOOKUP(B189,Customers!$A:$D,4,FALSE)</f>
        <v>Regular</v>
      </c>
      <c r="J189" s="4" t="s">
        <v>37</v>
      </c>
      <c r="K189" s="4" t="s">
        <v>36</v>
      </c>
    </row>
    <row r="190" spans="1:11" x14ac:dyDescent="0.2">
      <c r="A190" s="4">
        <v>5189</v>
      </c>
      <c r="B190" s="4">
        <v>1197</v>
      </c>
      <c r="C190" s="8">
        <v>46161</v>
      </c>
      <c r="D190" s="8">
        <v>46168</v>
      </c>
      <c r="E190" s="10">
        <f t="shared" si="2"/>
        <v>7</v>
      </c>
      <c r="F190" s="4" t="s">
        <v>18</v>
      </c>
      <c r="G190" s="4" t="s">
        <v>12</v>
      </c>
      <c r="H190" s="4">
        <v>33119</v>
      </c>
      <c r="I190" s="4" t="str">
        <f>VLOOKUP(B190,Customers!$A:$D,4,FALSE)</f>
        <v>Regular</v>
      </c>
      <c r="J190" s="4" t="s">
        <v>37</v>
      </c>
      <c r="K190" s="4" t="s">
        <v>36</v>
      </c>
    </row>
    <row r="191" spans="1:11" x14ac:dyDescent="0.2">
      <c r="A191" s="4">
        <v>5190</v>
      </c>
      <c r="B191" s="4">
        <v>1224</v>
      </c>
      <c r="C191" s="8">
        <v>46036</v>
      </c>
      <c r="D191" s="8">
        <v>46039</v>
      </c>
      <c r="E191" s="10">
        <f t="shared" si="2"/>
        <v>3</v>
      </c>
      <c r="F191" s="4" t="s">
        <v>24</v>
      </c>
      <c r="G191" s="4" t="s">
        <v>12</v>
      </c>
      <c r="H191" s="4">
        <v>22621</v>
      </c>
      <c r="I191" s="4" t="str">
        <f>VLOOKUP(B191,Customers!$A:$D,4,FALSE)</f>
        <v>Premium</v>
      </c>
      <c r="J191" s="4" t="s">
        <v>37</v>
      </c>
      <c r="K191" s="4" t="s">
        <v>36</v>
      </c>
    </row>
    <row r="192" spans="1:11" x14ac:dyDescent="0.2">
      <c r="A192" s="4">
        <v>5191</v>
      </c>
      <c r="B192" s="4">
        <v>1140</v>
      </c>
      <c r="C192" s="8">
        <v>46106</v>
      </c>
      <c r="D192" s="8">
        <v>46108</v>
      </c>
      <c r="E192" s="10">
        <f t="shared" si="2"/>
        <v>2</v>
      </c>
      <c r="F192" s="4" t="s">
        <v>25</v>
      </c>
      <c r="G192" s="4" t="s">
        <v>15</v>
      </c>
      <c r="H192" s="4">
        <v>15251</v>
      </c>
      <c r="I192" s="4" t="str">
        <f>VLOOKUP(B192,Customers!$A:$D,4,FALSE)</f>
        <v>Premium</v>
      </c>
      <c r="J192" s="4" t="s">
        <v>37</v>
      </c>
      <c r="K192" s="4" t="s">
        <v>36</v>
      </c>
    </row>
    <row r="193" spans="1:11" x14ac:dyDescent="0.2">
      <c r="A193" s="4">
        <v>5192</v>
      </c>
      <c r="B193" s="4">
        <v>1222</v>
      </c>
      <c r="C193" s="8">
        <v>46164</v>
      </c>
      <c r="D193" s="8">
        <v>46172</v>
      </c>
      <c r="E193" s="10">
        <f t="shared" si="2"/>
        <v>8</v>
      </c>
      <c r="F193" s="4" t="s">
        <v>18</v>
      </c>
      <c r="G193" s="4" t="s">
        <v>11</v>
      </c>
      <c r="H193" s="4">
        <v>43597</v>
      </c>
      <c r="I193" s="4" t="str">
        <f>VLOOKUP(B193,Customers!$A:$D,4,FALSE)</f>
        <v>Premium</v>
      </c>
      <c r="J193" s="4" t="s">
        <v>37</v>
      </c>
      <c r="K193" s="4" t="s">
        <v>36</v>
      </c>
    </row>
    <row r="194" spans="1:11" x14ac:dyDescent="0.2">
      <c r="A194" s="4">
        <v>5193</v>
      </c>
      <c r="B194" s="4">
        <v>1127</v>
      </c>
      <c r="C194" s="8">
        <v>46044</v>
      </c>
      <c r="D194" s="8">
        <v>46050</v>
      </c>
      <c r="E194" s="10">
        <f t="shared" si="2"/>
        <v>6</v>
      </c>
      <c r="F194" s="4" t="s">
        <v>23</v>
      </c>
      <c r="G194" s="4" t="s">
        <v>12</v>
      </c>
      <c r="H194" s="4">
        <v>17861</v>
      </c>
      <c r="I194" s="4" t="str">
        <f>VLOOKUP(B194,Customers!$A:$D,4,FALSE)</f>
        <v>Regular</v>
      </c>
      <c r="J194" s="4" t="s">
        <v>35</v>
      </c>
      <c r="K194" s="4" t="s">
        <v>36</v>
      </c>
    </row>
    <row r="195" spans="1:11" x14ac:dyDescent="0.2">
      <c r="A195" s="4">
        <v>5194</v>
      </c>
      <c r="B195" s="4">
        <v>1200</v>
      </c>
      <c r="C195" s="8">
        <v>46120</v>
      </c>
      <c r="D195" s="8">
        <v>46124</v>
      </c>
      <c r="E195" s="10">
        <f t="shared" ref="E195:E258" si="3">D195-C195</f>
        <v>4</v>
      </c>
      <c r="F195" s="4" t="s">
        <v>19</v>
      </c>
      <c r="G195" s="4" t="s">
        <v>14</v>
      </c>
      <c r="H195" s="4">
        <v>7282</v>
      </c>
      <c r="I195" s="4" t="str">
        <f>VLOOKUP(B195,Customers!$A:$D,4,FALSE)</f>
        <v>Regular</v>
      </c>
      <c r="J195" s="4" t="s">
        <v>35</v>
      </c>
      <c r="K195" s="4" t="s">
        <v>36</v>
      </c>
    </row>
    <row r="196" spans="1:11" x14ac:dyDescent="0.2">
      <c r="A196" s="4">
        <v>5195</v>
      </c>
      <c r="B196" s="4">
        <v>1228</v>
      </c>
      <c r="C196" s="8">
        <v>46024</v>
      </c>
      <c r="D196" s="8">
        <v>46030</v>
      </c>
      <c r="E196" s="10">
        <f t="shared" si="3"/>
        <v>6</v>
      </c>
      <c r="F196" s="4" t="s">
        <v>19</v>
      </c>
      <c r="G196" s="4" t="s">
        <v>14</v>
      </c>
      <c r="H196" s="4">
        <v>6999</v>
      </c>
      <c r="I196" s="4" t="str">
        <f>VLOOKUP(B196,Customers!$A:$D,4,FALSE)</f>
        <v>Premium</v>
      </c>
      <c r="J196" s="4" t="s">
        <v>35</v>
      </c>
      <c r="K196" s="4" t="s">
        <v>36</v>
      </c>
    </row>
    <row r="197" spans="1:11" x14ac:dyDescent="0.2">
      <c r="A197" s="4">
        <v>5196</v>
      </c>
      <c r="B197" s="4">
        <v>1221</v>
      </c>
      <c r="C197" s="8">
        <v>46045</v>
      </c>
      <c r="D197" s="8">
        <v>46049</v>
      </c>
      <c r="E197" s="10">
        <f t="shared" si="3"/>
        <v>4</v>
      </c>
      <c r="F197" s="4" t="s">
        <v>25</v>
      </c>
      <c r="G197" s="4" t="s">
        <v>11</v>
      </c>
      <c r="H197" s="4">
        <v>36655</v>
      </c>
      <c r="I197" s="4" t="str">
        <f>VLOOKUP(B197,Customers!$A:$D,4,FALSE)</f>
        <v>Premium</v>
      </c>
      <c r="J197" s="4" t="s">
        <v>37</v>
      </c>
      <c r="K197" s="4" t="s">
        <v>36</v>
      </c>
    </row>
    <row r="198" spans="1:11" x14ac:dyDescent="0.2">
      <c r="A198" s="4">
        <v>5197</v>
      </c>
      <c r="B198" s="4">
        <v>1046</v>
      </c>
      <c r="C198" s="8">
        <v>46049</v>
      </c>
      <c r="D198" s="8">
        <v>46051</v>
      </c>
      <c r="E198" s="10">
        <f t="shared" si="3"/>
        <v>2</v>
      </c>
      <c r="F198" s="4" t="s">
        <v>19</v>
      </c>
      <c r="G198" s="4" t="s">
        <v>11</v>
      </c>
      <c r="H198" s="4">
        <v>6399</v>
      </c>
      <c r="I198" s="4" t="str">
        <f>VLOOKUP(B198,Customers!$A:$D,4,FALSE)</f>
        <v>Regular</v>
      </c>
      <c r="J198" s="4" t="s">
        <v>37</v>
      </c>
      <c r="K198" s="4" t="s">
        <v>36</v>
      </c>
    </row>
    <row r="199" spans="1:11" x14ac:dyDescent="0.2">
      <c r="A199" s="4">
        <v>5198</v>
      </c>
      <c r="B199" s="4">
        <v>1150</v>
      </c>
      <c r="C199" s="8">
        <v>46121</v>
      </c>
      <c r="D199" s="8">
        <v>46123</v>
      </c>
      <c r="E199" s="10">
        <f t="shared" si="3"/>
        <v>2</v>
      </c>
      <c r="F199" s="4" t="s">
        <v>21</v>
      </c>
      <c r="G199" s="4" t="s">
        <v>15</v>
      </c>
      <c r="H199" s="4">
        <v>5850</v>
      </c>
      <c r="I199" s="4" t="str">
        <f>VLOOKUP(B199,Customers!$A:$D,4,FALSE)</f>
        <v>Premium</v>
      </c>
      <c r="J199" s="4" t="s">
        <v>35</v>
      </c>
      <c r="K199" s="4" t="s">
        <v>36</v>
      </c>
    </row>
    <row r="200" spans="1:11" x14ac:dyDescent="0.2">
      <c r="A200" s="4">
        <v>5199</v>
      </c>
      <c r="B200" s="4">
        <v>1087</v>
      </c>
      <c r="C200" s="8">
        <v>46169</v>
      </c>
      <c r="D200" s="8">
        <v>46179</v>
      </c>
      <c r="E200" s="10">
        <f t="shared" si="3"/>
        <v>10</v>
      </c>
      <c r="F200" s="4" t="s">
        <v>21</v>
      </c>
      <c r="G200" s="4" t="s">
        <v>13</v>
      </c>
      <c r="H200" s="4">
        <v>9399</v>
      </c>
      <c r="I200" s="4" t="str">
        <f>VLOOKUP(B200,Customers!$A:$D,4,FALSE)</f>
        <v>Premium</v>
      </c>
      <c r="J200" s="4" t="s">
        <v>37</v>
      </c>
      <c r="K200" s="4" t="s">
        <v>36</v>
      </c>
    </row>
    <row r="201" spans="1:11" x14ac:dyDescent="0.2">
      <c r="A201" s="4">
        <v>5200</v>
      </c>
      <c r="B201" s="4">
        <v>1253</v>
      </c>
      <c r="C201" s="8">
        <v>46100</v>
      </c>
      <c r="D201" s="8">
        <v>46106</v>
      </c>
      <c r="E201" s="10">
        <f t="shared" si="3"/>
        <v>6</v>
      </c>
      <c r="F201" s="4" t="s">
        <v>18</v>
      </c>
      <c r="G201" s="4" t="s">
        <v>12</v>
      </c>
      <c r="H201" s="4">
        <v>11258</v>
      </c>
      <c r="I201" s="4" t="str">
        <f>VLOOKUP(B201,Customers!$A:$D,4,FALSE)</f>
        <v>Regular</v>
      </c>
      <c r="J201" s="4" t="s">
        <v>37</v>
      </c>
      <c r="K201" s="4" t="s">
        <v>36</v>
      </c>
    </row>
    <row r="202" spans="1:11" x14ac:dyDescent="0.2">
      <c r="A202" s="4">
        <v>5201</v>
      </c>
      <c r="B202" s="4">
        <v>1154</v>
      </c>
      <c r="C202" s="8">
        <v>46093</v>
      </c>
      <c r="D202" s="8">
        <v>46101</v>
      </c>
      <c r="E202" s="10">
        <f t="shared" si="3"/>
        <v>8</v>
      </c>
      <c r="F202" s="4" t="s">
        <v>25</v>
      </c>
      <c r="G202" s="4" t="s">
        <v>12</v>
      </c>
      <c r="H202" s="4">
        <v>23966</v>
      </c>
      <c r="I202" s="4" t="str">
        <f>VLOOKUP(B202,Customers!$A:$D,4,FALSE)</f>
        <v>Regular</v>
      </c>
      <c r="J202" s="4" t="s">
        <v>37</v>
      </c>
      <c r="K202" s="4" t="s">
        <v>36</v>
      </c>
    </row>
    <row r="203" spans="1:11" x14ac:dyDescent="0.2">
      <c r="A203" s="4">
        <v>5202</v>
      </c>
      <c r="B203" s="4">
        <v>1101</v>
      </c>
      <c r="C203" s="8">
        <v>46086</v>
      </c>
      <c r="D203" s="8">
        <v>46095</v>
      </c>
      <c r="E203" s="10">
        <f t="shared" si="3"/>
        <v>9</v>
      </c>
      <c r="F203" s="4" t="s">
        <v>25</v>
      </c>
      <c r="G203" s="4" t="s">
        <v>12</v>
      </c>
      <c r="H203" s="4">
        <v>9179</v>
      </c>
      <c r="I203" s="4" t="str">
        <f>VLOOKUP(B203,Customers!$A:$D,4,FALSE)</f>
        <v>Premium</v>
      </c>
      <c r="J203" s="4" t="s">
        <v>37</v>
      </c>
      <c r="K203" s="4" t="s">
        <v>36</v>
      </c>
    </row>
    <row r="204" spans="1:11" x14ac:dyDescent="0.2">
      <c r="A204" s="4">
        <v>5203</v>
      </c>
      <c r="B204" s="4">
        <v>1171</v>
      </c>
      <c r="C204" s="8">
        <v>46024</v>
      </c>
      <c r="D204" s="8">
        <v>46032</v>
      </c>
      <c r="E204" s="10">
        <f t="shared" si="3"/>
        <v>8</v>
      </c>
      <c r="F204" s="4" t="s">
        <v>21</v>
      </c>
      <c r="G204" s="4" t="s">
        <v>14</v>
      </c>
      <c r="H204" s="4">
        <v>29150</v>
      </c>
      <c r="I204" s="4" t="str">
        <f>VLOOKUP(B204,Customers!$A:$D,4,FALSE)</f>
        <v>Premium</v>
      </c>
      <c r="J204" s="4" t="s">
        <v>37</v>
      </c>
      <c r="K204" s="4" t="s">
        <v>36</v>
      </c>
    </row>
    <row r="205" spans="1:11" x14ac:dyDescent="0.2">
      <c r="A205" s="4">
        <v>5204</v>
      </c>
      <c r="B205" s="4">
        <v>1154</v>
      </c>
      <c r="C205" s="8">
        <v>46133</v>
      </c>
      <c r="D205" s="8">
        <v>46137</v>
      </c>
      <c r="E205" s="10">
        <f t="shared" si="3"/>
        <v>4</v>
      </c>
      <c r="F205" s="4" t="s">
        <v>19</v>
      </c>
      <c r="G205" s="4" t="s">
        <v>11</v>
      </c>
      <c r="H205" s="4">
        <v>45866</v>
      </c>
      <c r="I205" s="4" t="str">
        <f>VLOOKUP(B205,Customers!$A:$D,4,FALSE)</f>
        <v>Regular</v>
      </c>
      <c r="J205" s="4" t="s">
        <v>35</v>
      </c>
      <c r="K205" s="4" t="s">
        <v>36</v>
      </c>
    </row>
    <row r="206" spans="1:11" x14ac:dyDescent="0.2">
      <c r="A206" s="4">
        <v>5205</v>
      </c>
      <c r="B206" s="4">
        <v>1091</v>
      </c>
      <c r="C206" s="8">
        <v>46145</v>
      </c>
      <c r="D206" s="8">
        <v>46152</v>
      </c>
      <c r="E206" s="10">
        <f t="shared" si="3"/>
        <v>7</v>
      </c>
      <c r="F206" s="4" t="s">
        <v>21</v>
      </c>
      <c r="G206" s="4" t="s">
        <v>14</v>
      </c>
      <c r="H206" s="4">
        <v>19400</v>
      </c>
      <c r="I206" s="4" t="str">
        <f>VLOOKUP(B206,Customers!$A:$D,4,FALSE)</f>
        <v>Premium</v>
      </c>
      <c r="J206" s="4" t="s">
        <v>37</v>
      </c>
      <c r="K206" s="4" t="s">
        <v>36</v>
      </c>
    </row>
    <row r="207" spans="1:11" x14ac:dyDescent="0.2">
      <c r="A207" s="4">
        <v>5206</v>
      </c>
      <c r="B207" s="4">
        <v>1167</v>
      </c>
      <c r="C207" s="8">
        <v>46170</v>
      </c>
      <c r="D207" s="8">
        <v>46175</v>
      </c>
      <c r="E207" s="10">
        <f t="shared" si="3"/>
        <v>5</v>
      </c>
      <c r="F207" s="4" t="s">
        <v>21</v>
      </c>
      <c r="G207" s="4" t="s">
        <v>14</v>
      </c>
      <c r="H207" s="4">
        <v>26051</v>
      </c>
      <c r="I207" s="4" t="str">
        <f>VLOOKUP(B207,Customers!$A:$D,4,FALSE)</f>
        <v>Premium</v>
      </c>
      <c r="J207" s="4" t="s">
        <v>37</v>
      </c>
      <c r="K207" s="4" t="s">
        <v>36</v>
      </c>
    </row>
    <row r="208" spans="1:11" x14ac:dyDescent="0.2">
      <c r="A208" s="4">
        <v>5207</v>
      </c>
      <c r="B208" s="4">
        <v>1280</v>
      </c>
      <c r="C208" s="8">
        <v>46052</v>
      </c>
      <c r="D208" s="8">
        <v>46057</v>
      </c>
      <c r="E208" s="10">
        <f t="shared" si="3"/>
        <v>5</v>
      </c>
      <c r="F208" s="4" t="s">
        <v>18</v>
      </c>
      <c r="G208" s="4" t="s">
        <v>11</v>
      </c>
      <c r="H208" s="4">
        <v>2063</v>
      </c>
      <c r="I208" s="4" t="str">
        <f>VLOOKUP(B208,Customers!$A:$D,4,FALSE)</f>
        <v>Regular</v>
      </c>
      <c r="J208" s="4" t="s">
        <v>37</v>
      </c>
      <c r="K208" s="4" t="s">
        <v>36</v>
      </c>
    </row>
    <row r="209" spans="1:11" x14ac:dyDescent="0.2">
      <c r="A209" s="4">
        <v>5208</v>
      </c>
      <c r="B209" s="4">
        <v>1150</v>
      </c>
      <c r="C209" s="8">
        <v>46076</v>
      </c>
      <c r="D209" s="8">
        <v>46085</v>
      </c>
      <c r="E209" s="10">
        <f t="shared" si="3"/>
        <v>9</v>
      </c>
      <c r="F209" s="4" t="s">
        <v>23</v>
      </c>
      <c r="G209" s="4" t="s">
        <v>15</v>
      </c>
      <c r="H209" s="4">
        <v>44404</v>
      </c>
      <c r="I209" s="4" t="str">
        <f>VLOOKUP(B209,Customers!$A:$D,4,FALSE)</f>
        <v>Premium</v>
      </c>
      <c r="J209" s="4" t="s">
        <v>37</v>
      </c>
      <c r="K209" s="4" t="s">
        <v>36</v>
      </c>
    </row>
    <row r="210" spans="1:11" x14ac:dyDescent="0.2">
      <c r="A210" s="4">
        <v>5209</v>
      </c>
      <c r="B210" s="4">
        <v>1124</v>
      </c>
      <c r="C210" s="8">
        <v>46058</v>
      </c>
      <c r="D210" s="8">
        <v>46064</v>
      </c>
      <c r="E210" s="10">
        <f t="shared" si="3"/>
        <v>6</v>
      </c>
      <c r="F210" s="4" t="s">
        <v>22</v>
      </c>
      <c r="G210" s="4" t="s">
        <v>13</v>
      </c>
      <c r="H210" s="4">
        <v>47173</v>
      </c>
      <c r="I210" s="4" t="str">
        <f>VLOOKUP(B210,Customers!$A:$D,4,FALSE)</f>
        <v>Premium</v>
      </c>
      <c r="J210" s="4" t="s">
        <v>37</v>
      </c>
      <c r="K210" s="4" t="s">
        <v>36</v>
      </c>
    </row>
    <row r="211" spans="1:11" x14ac:dyDescent="0.2">
      <c r="A211" s="4">
        <v>5210</v>
      </c>
      <c r="B211" s="4">
        <v>1230</v>
      </c>
      <c r="C211" s="8">
        <v>46119</v>
      </c>
      <c r="D211" s="8">
        <v>46122</v>
      </c>
      <c r="E211" s="10">
        <f t="shared" si="3"/>
        <v>3</v>
      </c>
      <c r="F211" s="4" t="s">
        <v>25</v>
      </c>
      <c r="G211" s="4" t="s">
        <v>11</v>
      </c>
      <c r="H211" s="4">
        <v>26567</v>
      </c>
      <c r="I211" s="4" t="str">
        <f>VLOOKUP(B211,Customers!$A:$D,4,FALSE)</f>
        <v>Premium</v>
      </c>
      <c r="J211" s="4" t="s">
        <v>37</v>
      </c>
      <c r="K211" s="4" t="s">
        <v>36</v>
      </c>
    </row>
    <row r="212" spans="1:11" x14ac:dyDescent="0.2">
      <c r="A212" s="4">
        <v>5211</v>
      </c>
      <c r="B212" s="4">
        <v>1185</v>
      </c>
      <c r="C212" s="8">
        <v>46162</v>
      </c>
      <c r="D212" s="8">
        <v>46164</v>
      </c>
      <c r="E212" s="10">
        <f t="shared" si="3"/>
        <v>2</v>
      </c>
      <c r="F212" s="4" t="s">
        <v>23</v>
      </c>
      <c r="G212" s="4" t="s">
        <v>12</v>
      </c>
      <c r="H212" s="4">
        <v>16568</v>
      </c>
      <c r="I212" s="4" t="str">
        <f>VLOOKUP(B212,Customers!$A:$D,4,FALSE)</f>
        <v>Regular</v>
      </c>
      <c r="J212" s="4" t="s">
        <v>37</v>
      </c>
      <c r="K212" s="4" t="s">
        <v>36</v>
      </c>
    </row>
    <row r="213" spans="1:11" x14ac:dyDescent="0.2">
      <c r="A213" s="4">
        <v>5212</v>
      </c>
      <c r="B213" s="4">
        <v>1289</v>
      </c>
      <c r="C213" s="8">
        <v>46065</v>
      </c>
      <c r="D213" s="8">
        <v>46067</v>
      </c>
      <c r="E213" s="10">
        <f t="shared" si="3"/>
        <v>2</v>
      </c>
      <c r="F213" s="4" t="s">
        <v>21</v>
      </c>
      <c r="G213" s="4" t="s">
        <v>14</v>
      </c>
      <c r="H213" s="4">
        <v>28510</v>
      </c>
      <c r="I213" s="4" t="str">
        <f>VLOOKUP(B213,Customers!$A:$D,4,FALSE)</f>
        <v>Regular</v>
      </c>
      <c r="J213" s="4" t="s">
        <v>35</v>
      </c>
      <c r="K213" s="4" t="s">
        <v>36</v>
      </c>
    </row>
    <row r="214" spans="1:11" x14ac:dyDescent="0.2">
      <c r="A214" s="4">
        <v>5213</v>
      </c>
      <c r="B214" s="4">
        <v>1133</v>
      </c>
      <c r="C214" s="8">
        <v>46025</v>
      </c>
      <c r="D214" s="8">
        <v>46028</v>
      </c>
      <c r="E214" s="10">
        <f t="shared" si="3"/>
        <v>3</v>
      </c>
      <c r="F214" s="4" t="s">
        <v>24</v>
      </c>
      <c r="G214" s="4" t="s">
        <v>11</v>
      </c>
      <c r="H214" s="4">
        <v>49245</v>
      </c>
      <c r="I214" s="4" t="str">
        <f>VLOOKUP(B214,Customers!$A:$D,4,FALSE)</f>
        <v>Premium</v>
      </c>
      <c r="J214" s="4" t="s">
        <v>35</v>
      </c>
      <c r="K214" s="4" t="s">
        <v>36</v>
      </c>
    </row>
    <row r="215" spans="1:11" x14ac:dyDescent="0.2">
      <c r="A215" s="4">
        <v>5214</v>
      </c>
      <c r="B215" s="4">
        <v>1201</v>
      </c>
      <c r="C215" s="8">
        <v>46137</v>
      </c>
      <c r="D215" s="8">
        <v>46144</v>
      </c>
      <c r="E215" s="10">
        <f t="shared" si="3"/>
        <v>7</v>
      </c>
      <c r="F215" s="4" t="s">
        <v>25</v>
      </c>
      <c r="G215" s="4" t="s">
        <v>11</v>
      </c>
      <c r="H215" s="4">
        <v>45548</v>
      </c>
      <c r="I215" s="4" t="str">
        <f>VLOOKUP(B215,Customers!$A:$D,4,FALSE)</f>
        <v>Premium</v>
      </c>
      <c r="J215" s="4" t="s">
        <v>35</v>
      </c>
      <c r="K215" s="4" t="s">
        <v>36</v>
      </c>
    </row>
    <row r="216" spans="1:11" x14ac:dyDescent="0.2">
      <c r="A216" s="4">
        <v>5215</v>
      </c>
      <c r="B216" s="4">
        <v>1248</v>
      </c>
      <c r="C216" s="8">
        <v>46111</v>
      </c>
      <c r="D216" s="8">
        <v>46113</v>
      </c>
      <c r="E216" s="10">
        <f t="shared" si="3"/>
        <v>2</v>
      </c>
      <c r="F216" s="4" t="s">
        <v>23</v>
      </c>
      <c r="G216" s="4" t="s">
        <v>14</v>
      </c>
      <c r="H216" s="4">
        <v>27561</v>
      </c>
      <c r="I216" s="4" t="str">
        <f>VLOOKUP(B216,Customers!$A:$D,4,FALSE)</f>
        <v>Regular</v>
      </c>
      <c r="J216" s="4" t="s">
        <v>35</v>
      </c>
      <c r="K216" s="4" t="s">
        <v>36</v>
      </c>
    </row>
    <row r="217" spans="1:11" x14ac:dyDescent="0.2">
      <c r="A217" s="4">
        <v>5216</v>
      </c>
      <c r="B217" s="4">
        <v>1179</v>
      </c>
      <c r="C217" s="8">
        <v>46052</v>
      </c>
      <c r="D217" s="8">
        <v>46056</v>
      </c>
      <c r="E217" s="10">
        <f t="shared" si="3"/>
        <v>4</v>
      </c>
      <c r="F217" s="4" t="s">
        <v>22</v>
      </c>
      <c r="G217" s="4" t="s">
        <v>14</v>
      </c>
      <c r="H217" s="4">
        <v>30140</v>
      </c>
      <c r="I217" s="4" t="str">
        <f>VLOOKUP(B217,Customers!$A:$D,4,FALSE)</f>
        <v>Premium</v>
      </c>
      <c r="J217" s="4" t="s">
        <v>35</v>
      </c>
      <c r="K217" s="4" t="s">
        <v>36</v>
      </c>
    </row>
    <row r="218" spans="1:11" x14ac:dyDescent="0.2">
      <c r="A218" s="4">
        <v>5217</v>
      </c>
      <c r="B218" s="4">
        <v>1179</v>
      </c>
      <c r="C218" s="8">
        <v>46156</v>
      </c>
      <c r="D218" s="8">
        <v>46165</v>
      </c>
      <c r="E218" s="10">
        <f t="shared" si="3"/>
        <v>9</v>
      </c>
      <c r="F218" s="4" t="s">
        <v>25</v>
      </c>
      <c r="G218" s="4" t="s">
        <v>12</v>
      </c>
      <c r="H218" s="4">
        <v>29015</v>
      </c>
      <c r="I218" s="4" t="str">
        <f>VLOOKUP(B218,Customers!$A:$D,4,FALSE)</f>
        <v>Premium</v>
      </c>
      <c r="J218" s="4" t="s">
        <v>37</v>
      </c>
      <c r="K218" s="4" t="s">
        <v>36</v>
      </c>
    </row>
    <row r="219" spans="1:11" x14ac:dyDescent="0.2">
      <c r="A219" s="4">
        <v>5218</v>
      </c>
      <c r="B219" s="4">
        <v>1154</v>
      </c>
      <c r="C219" s="8">
        <v>46104</v>
      </c>
      <c r="D219" s="8">
        <v>46107</v>
      </c>
      <c r="E219" s="10">
        <f t="shared" si="3"/>
        <v>3</v>
      </c>
      <c r="F219" s="4" t="s">
        <v>20</v>
      </c>
      <c r="G219" s="4" t="s">
        <v>12</v>
      </c>
      <c r="H219" s="4">
        <v>1780</v>
      </c>
      <c r="I219" s="4" t="str">
        <f>VLOOKUP(B219,Customers!$A:$D,4,FALSE)</f>
        <v>Regular</v>
      </c>
      <c r="J219" s="4" t="s">
        <v>37</v>
      </c>
      <c r="K219" s="4" t="s">
        <v>36</v>
      </c>
    </row>
    <row r="220" spans="1:11" x14ac:dyDescent="0.2">
      <c r="A220" s="4">
        <v>5219</v>
      </c>
      <c r="B220" s="4">
        <v>1125</v>
      </c>
      <c r="C220" s="8">
        <v>46050</v>
      </c>
      <c r="D220" s="8">
        <v>46054</v>
      </c>
      <c r="E220" s="10">
        <f t="shared" si="3"/>
        <v>4</v>
      </c>
      <c r="F220" s="4" t="s">
        <v>18</v>
      </c>
      <c r="G220" s="4" t="s">
        <v>11</v>
      </c>
      <c r="H220" s="4">
        <v>10794</v>
      </c>
      <c r="I220" s="4" t="str">
        <f>VLOOKUP(B220,Customers!$A:$D,4,FALSE)</f>
        <v>Regular</v>
      </c>
      <c r="J220" s="4" t="s">
        <v>37</v>
      </c>
      <c r="K220" s="4" t="s">
        <v>36</v>
      </c>
    </row>
    <row r="221" spans="1:11" x14ac:dyDescent="0.2">
      <c r="A221" s="4">
        <v>5220</v>
      </c>
      <c r="B221" s="4">
        <v>1237</v>
      </c>
      <c r="C221" s="8">
        <v>46166</v>
      </c>
      <c r="D221" s="8">
        <v>46174</v>
      </c>
      <c r="E221" s="10">
        <f t="shared" si="3"/>
        <v>8</v>
      </c>
      <c r="F221" s="4" t="s">
        <v>24</v>
      </c>
      <c r="G221" s="4" t="s">
        <v>15</v>
      </c>
      <c r="H221" s="4">
        <v>41571</v>
      </c>
      <c r="I221" s="4" t="str">
        <f>VLOOKUP(B221,Customers!$A:$D,4,FALSE)</f>
        <v>Premium</v>
      </c>
      <c r="J221" s="4" t="s">
        <v>35</v>
      </c>
      <c r="K221" s="4" t="s">
        <v>36</v>
      </c>
    </row>
    <row r="222" spans="1:11" x14ac:dyDescent="0.2">
      <c r="A222" s="4">
        <v>5221</v>
      </c>
      <c r="B222" s="4">
        <v>1203</v>
      </c>
      <c r="C222" s="8">
        <v>46070</v>
      </c>
      <c r="D222" s="8">
        <v>46078</v>
      </c>
      <c r="E222" s="10">
        <f t="shared" si="3"/>
        <v>8</v>
      </c>
      <c r="F222" s="4" t="s">
        <v>20</v>
      </c>
      <c r="G222" s="4" t="s">
        <v>11</v>
      </c>
      <c r="H222" s="4">
        <v>13231</v>
      </c>
      <c r="I222" s="4" t="str">
        <f>VLOOKUP(B222,Customers!$A:$D,4,FALSE)</f>
        <v>Regular</v>
      </c>
      <c r="J222" s="4" t="s">
        <v>37</v>
      </c>
      <c r="K222" s="4" t="s">
        <v>36</v>
      </c>
    </row>
    <row r="223" spans="1:11" x14ac:dyDescent="0.2">
      <c r="A223" s="4">
        <v>5222</v>
      </c>
      <c r="B223" s="4">
        <v>1003</v>
      </c>
      <c r="C223" s="8">
        <v>46132</v>
      </c>
      <c r="D223" s="8">
        <v>46140</v>
      </c>
      <c r="E223" s="10">
        <f t="shared" si="3"/>
        <v>8</v>
      </c>
      <c r="F223" s="4" t="s">
        <v>24</v>
      </c>
      <c r="G223" s="4" t="s">
        <v>13</v>
      </c>
      <c r="H223" s="4">
        <v>18541</v>
      </c>
      <c r="I223" s="4" t="str">
        <f>VLOOKUP(B223,Customers!$A:$D,4,FALSE)</f>
        <v>Premium</v>
      </c>
      <c r="J223" s="4" t="s">
        <v>35</v>
      </c>
      <c r="K223" s="4" t="s">
        <v>36</v>
      </c>
    </row>
    <row r="224" spans="1:11" x14ac:dyDescent="0.2">
      <c r="A224" s="4">
        <v>5223</v>
      </c>
      <c r="B224" s="4">
        <v>1275</v>
      </c>
      <c r="C224" s="8">
        <v>46170</v>
      </c>
      <c r="D224" s="8">
        <v>46173</v>
      </c>
      <c r="E224" s="10">
        <f t="shared" si="3"/>
        <v>3</v>
      </c>
      <c r="F224" s="4" t="s">
        <v>18</v>
      </c>
      <c r="G224" s="4" t="s">
        <v>14</v>
      </c>
      <c r="H224" s="4">
        <v>21663</v>
      </c>
      <c r="I224" s="4" t="str">
        <f>VLOOKUP(B224,Customers!$A:$D,4,FALSE)</f>
        <v>Regular</v>
      </c>
      <c r="J224" s="4" t="s">
        <v>35</v>
      </c>
      <c r="K224" s="4" t="s">
        <v>36</v>
      </c>
    </row>
    <row r="225" spans="1:11" x14ac:dyDescent="0.2">
      <c r="A225" s="4">
        <v>5224</v>
      </c>
      <c r="B225" s="4">
        <v>1135</v>
      </c>
      <c r="C225" s="8">
        <v>46140</v>
      </c>
      <c r="D225" s="8">
        <v>46143</v>
      </c>
      <c r="E225" s="10">
        <f t="shared" si="3"/>
        <v>3</v>
      </c>
      <c r="F225" s="4" t="s">
        <v>25</v>
      </c>
      <c r="G225" s="4" t="s">
        <v>11</v>
      </c>
      <c r="H225" s="4">
        <v>42184</v>
      </c>
      <c r="I225" s="4" t="str">
        <f>VLOOKUP(B225,Customers!$A:$D,4,FALSE)</f>
        <v>Regular</v>
      </c>
      <c r="J225" s="4" t="s">
        <v>37</v>
      </c>
      <c r="K225" s="4" t="s">
        <v>36</v>
      </c>
    </row>
    <row r="226" spans="1:11" x14ac:dyDescent="0.2">
      <c r="A226" s="4">
        <v>5225</v>
      </c>
      <c r="B226" s="4">
        <v>1059</v>
      </c>
      <c r="C226" s="8">
        <v>46122</v>
      </c>
      <c r="D226" s="8">
        <v>46130</v>
      </c>
      <c r="E226" s="10">
        <f t="shared" si="3"/>
        <v>8</v>
      </c>
      <c r="F226" s="4" t="s">
        <v>19</v>
      </c>
      <c r="G226" s="4" t="s">
        <v>14</v>
      </c>
      <c r="H226" s="4">
        <v>30306</v>
      </c>
      <c r="I226" s="4" t="str">
        <f>VLOOKUP(B226,Customers!$A:$D,4,FALSE)</f>
        <v>Premium</v>
      </c>
      <c r="J226" s="4" t="s">
        <v>35</v>
      </c>
      <c r="K226" s="4" t="s">
        <v>36</v>
      </c>
    </row>
    <row r="227" spans="1:11" x14ac:dyDescent="0.2">
      <c r="A227" s="4">
        <v>5226</v>
      </c>
      <c r="B227" s="4">
        <v>1069</v>
      </c>
      <c r="C227" s="8">
        <v>46099</v>
      </c>
      <c r="D227" s="8">
        <v>46102</v>
      </c>
      <c r="E227" s="10">
        <f t="shared" si="3"/>
        <v>3</v>
      </c>
      <c r="F227" s="4" t="s">
        <v>19</v>
      </c>
      <c r="G227" s="4" t="s">
        <v>12</v>
      </c>
      <c r="H227" s="4">
        <v>15935</v>
      </c>
      <c r="I227" s="4" t="str">
        <f>VLOOKUP(B227,Customers!$A:$D,4,FALSE)</f>
        <v>Regular</v>
      </c>
      <c r="J227" s="4" t="s">
        <v>37</v>
      </c>
      <c r="K227" s="4" t="s">
        <v>36</v>
      </c>
    </row>
    <row r="228" spans="1:11" x14ac:dyDescent="0.2">
      <c r="A228" s="4">
        <v>5227</v>
      </c>
      <c r="B228" s="4">
        <v>1192</v>
      </c>
      <c r="C228" s="8">
        <v>46052</v>
      </c>
      <c r="D228" s="8">
        <v>46056</v>
      </c>
      <c r="E228" s="10">
        <f t="shared" si="3"/>
        <v>4</v>
      </c>
      <c r="F228" s="4" t="s">
        <v>18</v>
      </c>
      <c r="G228" s="4" t="s">
        <v>11</v>
      </c>
      <c r="H228" s="4">
        <v>25758</v>
      </c>
      <c r="I228" s="4" t="str">
        <f>VLOOKUP(B228,Customers!$A:$D,4,FALSE)</f>
        <v>Regular</v>
      </c>
      <c r="J228" s="4" t="s">
        <v>37</v>
      </c>
      <c r="K228" s="4" t="s">
        <v>36</v>
      </c>
    </row>
    <row r="229" spans="1:11" x14ac:dyDescent="0.2">
      <c r="A229" s="4">
        <v>5228</v>
      </c>
      <c r="B229" s="4">
        <v>1217</v>
      </c>
      <c r="C229" s="8">
        <v>46058</v>
      </c>
      <c r="D229" s="8">
        <v>46066</v>
      </c>
      <c r="E229" s="10">
        <f t="shared" si="3"/>
        <v>8</v>
      </c>
      <c r="F229" s="4" t="s">
        <v>18</v>
      </c>
      <c r="G229" s="4" t="s">
        <v>15</v>
      </c>
      <c r="H229" s="4">
        <v>41948</v>
      </c>
      <c r="I229" s="4" t="str">
        <f>VLOOKUP(B229,Customers!$A:$D,4,FALSE)</f>
        <v>Regular</v>
      </c>
      <c r="J229" s="4" t="s">
        <v>35</v>
      </c>
      <c r="K229" s="4" t="s">
        <v>36</v>
      </c>
    </row>
    <row r="230" spans="1:11" x14ac:dyDescent="0.2">
      <c r="A230" s="4">
        <v>5229</v>
      </c>
      <c r="B230" s="4">
        <v>1251</v>
      </c>
      <c r="C230" s="8">
        <v>46165</v>
      </c>
      <c r="D230" s="8">
        <v>46169</v>
      </c>
      <c r="E230" s="10">
        <f t="shared" si="3"/>
        <v>4</v>
      </c>
      <c r="F230" s="4" t="s">
        <v>22</v>
      </c>
      <c r="G230" s="4" t="s">
        <v>13</v>
      </c>
      <c r="H230" s="4">
        <v>12561</v>
      </c>
      <c r="I230" s="4" t="str">
        <f>VLOOKUP(B230,Customers!$A:$D,4,FALSE)</f>
        <v>Premium</v>
      </c>
      <c r="J230" s="4" t="s">
        <v>37</v>
      </c>
      <c r="K230" s="4" t="s">
        <v>36</v>
      </c>
    </row>
    <row r="231" spans="1:11" x14ac:dyDescent="0.2">
      <c r="A231" s="4">
        <v>5230</v>
      </c>
      <c r="B231" s="4">
        <v>1184</v>
      </c>
      <c r="C231" s="8">
        <v>46138</v>
      </c>
      <c r="D231" s="8">
        <v>46140</v>
      </c>
      <c r="E231" s="10">
        <f t="shared" si="3"/>
        <v>2</v>
      </c>
      <c r="F231" s="4" t="s">
        <v>20</v>
      </c>
      <c r="G231" s="4" t="s">
        <v>15</v>
      </c>
      <c r="H231" s="4">
        <v>9247</v>
      </c>
      <c r="I231" s="4" t="str">
        <f>VLOOKUP(B231,Customers!$A:$D,4,FALSE)</f>
        <v>Premium</v>
      </c>
      <c r="J231" s="4" t="s">
        <v>35</v>
      </c>
      <c r="K231" s="4" t="s">
        <v>36</v>
      </c>
    </row>
    <row r="232" spans="1:11" x14ac:dyDescent="0.2">
      <c r="A232" s="4">
        <v>5231</v>
      </c>
      <c r="B232" s="4">
        <v>1259</v>
      </c>
      <c r="C232" s="8">
        <v>46121</v>
      </c>
      <c r="D232" s="8">
        <v>46131</v>
      </c>
      <c r="E232" s="10">
        <f t="shared" si="3"/>
        <v>10</v>
      </c>
      <c r="F232" s="4" t="s">
        <v>25</v>
      </c>
      <c r="G232" s="4" t="s">
        <v>15</v>
      </c>
      <c r="H232" s="4">
        <v>45172</v>
      </c>
      <c r="I232" s="4" t="str">
        <f>VLOOKUP(B232,Customers!$A:$D,4,FALSE)</f>
        <v>Premium</v>
      </c>
      <c r="J232" s="4" t="s">
        <v>37</v>
      </c>
      <c r="K232" s="4" t="s">
        <v>36</v>
      </c>
    </row>
    <row r="233" spans="1:11" x14ac:dyDescent="0.2">
      <c r="A233" s="4">
        <v>5232</v>
      </c>
      <c r="B233" s="4">
        <v>1251</v>
      </c>
      <c r="C233" s="8">
        <v>46129</v>
      </c>
      <c r="D233" s="8">
        <v>46138</v>
      </c>
      <c r="E233" s="10">
        <f t="shared" si="3"/>
        <v>9</v>
      </c>
      <c r="F233" s="4" t="s">
        <v>18</v>
      </c>
      <c r="G233" s="4" t="s">
        <v>12</v>
      </c>
      <c r="H233" s="4">
        <v>37353</v>
      </c>
      <c r="I233" s="4" t="str">
        <f>VLOOKUP(B233,Customers!$A:$D,4,FALSE)</f>
        <v>Premium</v>
      </c>
      <c r="J233" s="4" t="s">
        <v>35</v>
      </c>
      <c r="K233" s="4" t="s">
        <v>36</v>
      </c>
    </row>
    <row r="234" spans="1:11" x14ac:dyDescent="0.2">
      <c r="A234" s="4">
        <v>5233</v>
      </c>
      <c r="B234" s="4">
        <v>1017</v>
      </c>
      <c r="C234" s="8">
        <v>46079</v>
      </c>
      <c r="D234" s="8">
        <v>46085</v>
      </c>
      <c r="E234" s="10">
        <f t="shared" si="3"/>
        <v>6</v>
      </c>
      <c r="F234" s="4" t="s">
        <v>22</v>
      </c>
      <c r="G234" s="4" t="s">
        <v>13</v>
      </c>
      <c r="H234" s="4">
        <v>35532</v>
      </c>
      <c r="I234" s="4" t="str">
        <f>VLOOKUP(B234,Customers!$A:$D,4,FALSE)</f>
        <v>Regular</v>
      </c>
      <c r="J234" s="4" t="s">
        <v>37</v>
      </c>
      <c r="K234" s="4" t="s">
        <v>36</v>
      </c>
    </row>
    <row r="235" spans="1:11" x14ac:dyDescent="0.2">
      <c r="A235" s="4">
        <v>5234</v>
      </c>
      <c r="B235" s="4">
        <v>1290</v>
      </c>
      <c r="C235" s="8">
        <v>46066</v>
      </c>
      <c r="D235" s="8">
        <v>46075</v>
      </c>
      <c r="E235" s="10">
        <f t="shared" si="3"/>
        <v>9</v>
      </c>
      <c r="F235" s="4" t="s">
        <v>25</v>
      </c>
      <c r="G235" s="4" t="s">
        <v>11</v>
      </c>
      <c r="H235" s="4">
        <v>33776</v>
      </c>
      <c r="I235" s="4" t="str">
        <f>VLOOKUP(B235,Customers!$A:$D,4,FALSE)</f>
        <v>Regular</v>
      </c>
      <c r="J235" s="4" t="s">
        <v>35</v>
      </c>
      <c r="K235" s="4" t="s">
        <v>36</v>
      </c>
    </row>
    <row r="236" spans="1:11" x14ac:dyDescent="0.2">
      <c r="A236" s="4">
        <v>5235</v>
      </c>
      <c r="B236" s="4">
        <v>1138</v>
      </c>
      <c r="C236" s="8">
        <v>46169</v>
      </c>
      <c r="D236" s="8">
        <v>46172</v>
      </c>
      <c r="E236" s="10">
        <f t="shared" si="3"/>
        <v>3</v>
      </c>
      <c r="F236" s="4" t="s">
        <v>19</v>
      </c>
      <c r="G236" s="4" t="s">
        <v>11</v>
      </c>
      <c r="H236" s="4">
        <v>49896</v>
      </c>
      <c r="I236" s="4" t="str">
        <f>VLOOKUP(B236,Customers!$A:$D,4,FALSE)</f>
        <v>Premium</v>
      </c>
      <c r="J236" s="4" t="s">
        <v>35</v>
      </c>
      <c r="K236" s="4" t="s">
        <v>36</v>
      </c>
    </row>
    <row r="237" spans="1:11" x14ac:dyDescent="0.2">
      <c r="A237" s="4">
        <v>5236</v>
      </c>
      <c r="B237" s="4">
        <v>1112</v>
      </c>
      <c r="C237" s="8">
        <v>46135</v>
      </c>
      <c r="D237" s="8">
        <v>46145</v>
      </c>
      <c r="E237" s="10">
        <f t="shared" si="3"/>
        <v>10</v>
      </c>
      <c r="F237" s="4" t="s">
        <v>21</v>
      </c>
      <c r="G237" s="4" t="s">
        <v>12</v>
      </c>
      <c r="H237" s="4">
        <v>48533</v>
      </c>
      <c r="I237" s="4" t="str">
        <f>VLOOKUP(B237,Customers!$A:$D,4,FALSE)</f>
        <v>Premium</v>
      </c>
      <c r="J237" s="4" t="s">
        <v>35</v>
      </c>
      <c r="K237" s="4" t="s">
        <v>36</v>
      </c>
    </row>
    <row r="238" spans="1:11" x14ac:dyDescent="0.2">
      <c r="A238" s="4">
        <v>5237</v>
      </c>
      <c r="B238" s="4">
        <v>1231</v>
      </c>
      <c r="C238" s="8">
        <v>46099</v>
      </c>
      <c r="D238" s="8">
        <v>46101</v>
      </c>
      <c r="E238" s="10">
        <f t="shared" si="3"/>
        <v>2</v>
      </c>
      <c r="F238" s="4" t="s">
        <v>22</v>
      </c>
      <c r="G238" s="4" t="s">
        <v>14</v>
      </c>
      <c r="H238" s="4">
        <v>6000</v>
      </c>
      <c r="I238" s="4" t="str">
        <f>VLOOKUP(B238,Customers!$A:$D,4,FALSE)</f>
        <v>Premium</v>
      </c>
      <c r="J238" s="4" t="s">
        <v>37</v>
      </c>
      <c r="K238" s="4" t="s">
        <v>36</v>
      </c>
    </row>
    <row r="239" spans="1:11" x14ac:dyDescent="0.2">
      <c r="A239" s="4">
        <v>5238</v>
      </c>
      <c r="B239" s="4">
        <v>1108</v>
      </c>
      <c r="C239" s="8">
        <v>46053</v>
      </c>
      <c r="D239" s="8">
        <v>46058</v>
      </c>
      <c r="E239" s="10">
        <f t="shared" si="3"/>
        <v>5</v>
      </c>
      <c r="F239" s="4" t="s">
        <v>19</v>
      </c>
      <c r="G239" s="4" t="s">
        <v>11</v>
      </c>
      <c r="H239" s="4">
        <v>41769</v>
      </c>
      <c r="I239" s="4" t="str">
        <f>VLOOKUP(B239,Customers!$A:$D,4,FALSE)</f>
        <v>Regular</v>
      </c>
      <c r="J239" s="4" t="s">
        <v>37</v>
      </c>
      <c r="K239" s="4" t="s">
        <v>36</v>
      </c>
    </row>
    <row r="240" spans="1:11" x14ac:dyDescent="0.2">
      <c r="A240" s="4">
        <v>5239</v>
      </c>
      <c r="B240" s="4">
        <v>1106</v>
      </c>
      <c r="C240" s="8">
        <v>46065</v>
      </c>
      <c r="D240" s="8">
        <v>46069</v>
      </c>
      <c r="E240" s="10">
        <f t="shared" si="3"/>
        <v>4</v>
      </c>
      <c r="F240" s="4" t="s">
        <v>24</v>
      </c>
      <c r="G240" s="4" t="s">
        <v>12</v>
      </c>
      <c r="H240" s="4">
        <v>37660</v>
      </c>
      <c r="I240" s="4" t="str">
        <f>VLOOKUP(B240,Customers!$A:$D,4,FALSE)</f>
        <v>Premium</v>
      </c>
      <c r="J240" s="4" t="s">
        <v>37</v>
      </c>
      <c r="K240" s="4" t="s">
        <v>36</v>
      </c>
    </row>
    <row r="241" spans="1:11" x14ac:dyDescent="0.2">
      <c r="A241" s="4">
        <v>5240</v>
      </c>
      <c r="B241" s="4">
        <v>1276</v>
      </c>
      <c r="C241" s="8">
        <v>46159</v>
      </c>
      <c r="D241" s="8">
        <v>46165</v>
      </c>
      <c r="E241" s="10">
        <f t="shared" si="3"/>
        <v>6</v>
      </c>
      <c r="F241" s="4" t="s">
        <v>18</v>
      </c>
      <c r="G241" s="4" t="s">
        <v>14</v>
      </c>
      <c r="H241" s="4">
        <v>46440</v>
      </c>
      <c r="I241" s="4" t="str">
        <f>VLOOKUP(B241,Customers!$A:$D,4,FALSE)</f>
        <v>Premium</v>
      </c>
      <c r="J241" s="4" t="s">
        <v>37</v>
      </c>
      <c r="K241" s="4" t="s">
        <v>36</v>
      </c>
    </row>
    <row r="242" spans="1:11" x14ac:dyDescent="0.2">
      <c r="A242" s="4">
        <v>5241</v>
      </c>
      <c r="B242" s="4">
        <v>1264</v>
      </c>
      <c r="C242" s="8">
        <v>46097</v>
      </c>
      <c r="D242" s="8">
        <v>46103</v>
      </c>
      <c r="E242" s="10">
        <f t="shared" si="3"/>
        <v>6</v>
      </c>
      <c r="F242" s="4" t="s">
        <v>23</v>
      </c>
      <c r="G242" s="4" t="s">
        <v>13</v>
      </c>
      <c r="H242" s="4">
        <v>49458</v>
      </c>
      <c r="I242" s="4" t="str">
        <f>VLOOKUP(B242,Customers!$A:$D,4,FALSE)</f>
        <v>Premium</v>
      </c>
      <c r="J242" s="4" t="s">
        <v>37</v>
      </c>
      <c r="K242" s="4" t="s">
        <v>36</v>
      </c>
    </row>
    <row r="243" spans="1:11" x14ac:dyDescent="0.2">
      <c r="A243" s="4">
        <v>5242</v>
      </c>
      <c r="B243" s="4">
        <v>1065</v>
      </c>
      <c r="C243" s="8">
        <v>46038</v>
      </c>
      <c r="D243" s="8">
        <v>46044</v>
      </c>
      <c r="E243" s="10">
        <f t="shared" si="3"/>
        <v>6</v>
      </c>
      <c r="F243" s="4" t="s">
        <v>18</v>
      </c>
      <c r="G243" s="4" t="s">
        <v>13</v>
      </c>
      <c r="H243" s="4">
        <v>9884</v>
      </c>
      <c r="I243" s="4" t="str">
        <f>VLOOKUP(B243,Customers!$A:$D,4,FALSE)</f>
        <v>Premium</v>
      </c>
      <c r="J243" s="4" t="s">
        <v>37</v>
      </c>
      <c r="K243" s="4" t="s">
        <v>36</v>
      </c>
    </row>
    <row r="244" spans="1:11" x14ac:dyDescent="0.2">
      <c r="A244" s="4">
        <v>5243</v>
      </c>
      <c r="B244" s="4">
        <v>1251</v>
      </c>
      <c r="C244" s="8">
        <v>46086</v>
      </c>
      <c r="D244" s="8">
        <v>46094</v>
      </c>
      <c r="E244" s="10">
        <f t="shared" si="3"/>
        <v>8</v>
      </c>
      <c r="F244" s="4" t="s">
        <v>18</v>
      </c>
      <c r="G244" s="4" t="s">
        <v>11</v>
      </c>
      <c r="H244" s="4">
        <v>41745</v>
      </c>
      <c r="I244" s="4" t="str">
        <f>VLOOKUP(B244,Customers!$A:$D,4,FALSE)</f>
        <v>Premium</v>
      </c>
      <c r="J244" s="4" t="s">
        <v>37</v>
      </c>
      <c r="K244" s="4" t="s">
        <v>36</v>
      </c>
    </row>
    <row r="245" spans="1:11" x14ac:dyDescent="0.2">
      <c r="A245" s="4">
        <v>5244</v>
      </c>
      <c r="B245" s="4">
        <v>1232</v>
      </c>
      <c r="C245" s="8">
        <v>46129</v>
      </c>
      <c r="D245" s="8">
        <v>46137</v>
      </c>
      <c r="E245" s="10">
        <f t="shared" si="3"/>
        <v>8</v>
      </c>
      <c r="F245" s="4" t="s">
        <v>23</v>
      </c>
      <c r="G245" s="4" t="s">
        <v>12</v>
      </c>
      <c r="H245" s="4">
        <v>26701</v>
      </c>
      <c r="I245" s="4" t="str">
        <f>VLOOKUP(B245,Customers!$A:$D,4,FALSE)</f>
        <v>Regular</v>
      </c>
      <c r="J245" s="4" t="s">
        <v>37</v>
      </c>
      <c r="K245" s="4" t="s">
        <v>36</v>
      </c>
    </row>
    <row r="246" spans="1:11" x14ac:dyDescent="0.2">
      <c r="A246" s="4">
        <v>5245</v>
      </c>
      <c r="B246" s="4">
        <v>1250</v>
      </c>
      <c r="C246" s="8">
        <v>46117</v>
      </c>
      <c r="D246" s="8">
        <v>46126</v>
      </c>
      <c r="E246" s="10">
        <f t="shared" si="3"/>
        <v>9</v>
      </c>
      <c r="F246" s="4" t="s">
        <v>19</v>
      </c>
      <c r="G246" s="4" t="s">
        <v>11</v>
      </c>
      <c r="H246" s="4">
        <v>462</v>
      </c>
      <c r="I246" s="4" t="str">
        <f>VLOOKUP(B246,Customers!$A:$D,4,FALSE)</f>
        <v>Regular</v>
      </c>
      <c r="J246" s="4" t="s">
        <v>35</v>
      </c>
      <c r="K246" s="4" t="s">
        <v>36</v>
      </c>
    </row>
    <row r="247" spans="1:11" x14ac:dyDescent="0.2">
      <c r="A247" s="4">
        <v>5246</v>
      </c>
      <c r="B247" s="4">
        <v>1033</v>
      </c>
      <c r="C247" s="8">
        <v>46140</v>
      </c>
      <c r="D247" s="8">
        <v>46147</v>
      </c>
      <c r="E247" s="10">
        <f t="shared" si="3"/>
        <v>7</v>
      </c>
      <c r="F247" s="4" t="s">
        <v>21</v>
      </c>
      <c r="G247" s="4" t="s">
        <v>13</v>
      </c>
      <c r="H247" s="4">
        <v>28457</v>
      </c>
      <c r="I247" s="4" t="str">
        <f>VLOOKUP(B247,Customers!$A:$D,4,FALSE)</f>
        <v>Premium</v>
      </c>
      <c r="J247" s="4" t="s">
        <v>35</v>
      </c>
      <c r="K247" s="4" t="s">
        <v>36</v>
      </c>
    </row>
    <row r="248" spans="1:11" x14ac:dyDescent="0.2">
      <c r="A248" s="4">
        <v>5247</v>
      </c>
      <c r="B248" s="4">
        <v>1166</v>
      </c>
      <c r="C248" s="8">
        <v>46149</v>
      </c>
      <c r="D248" s="8">
        <v>46155</v>
      </c>
      <c r="E248" s="10">
        <f t="shared" si="3"/>
        <v>6</v>
      </c>
      <c r="F248" s="4" t="s">
        <v>22</v>
      </c>
      <c r="G248" s="4" t="s">
        <v>14</v>
      </c>
      <c r="H248" s="4">
        <v>36168</v>
      </c>
      <c r="I248" s="4" t="str">
        <f>VLOOKUP(B248,Customers!$A:$D,4,FALSE)</f>
        <v>Premium</v>
      </c>
      <c r="J248" s="4" t="s">
        <v>35</v>
      </c>
      <c r="K248" s="4" t="s">
        <v>36</v>
      </c>
    </row>
    <row r="249" spans="1:11" x14ac:dyDescent="0.2">
      <c r="A249" s="4">
        <v>5248</v>
      </c>
      <c r="B249" s="4">
        <v>1176</v>
      </c>
      <c r="C249" s="8">
        <v>46167</v>
      </c>
      <c r="D249" s="8">
        <v>46176</v>
      </c>
      <c r="E249" s="10">
        <f t="shared" si="3"/>
        <v>9</v>
      </c>
      <c r="F249" s="4" t="s">
        <v>20</v>
      </c>
      <c r="G249" s="4" t="s">
        <v>12</v>
      </c>
      <c r="H249" s="4">
        <v>6825</v>
      </c>
      <c r="I249" s="4" t="str">
        <f>VLOOKUP(B249,Customers!$A:$D,4,FALSE)</f>
        <v>Premium</v>
      </c>
      <c r="J249" s="4" t="s">
        <v>37</v>
      </c>
      <c r="K249" s="4" t="s">
        <v>36</v>
      </c>
    </row>
    <row r="250" spans="1:11" x14ac:dyDescent="0.2">
      <c r="A250" s="4">
        <v>5249</v>
      </c>
      <c r="B250" s="4">
        <v>1081</v>
      </c>
      <c r="C250" s="8">
        <v>46027</v>
      </c>
      <c r="D250" s="8">
        <v>46030</v>
      </c>
      <c r="E250" s="10">
        <f t="shared" si="3"/>
        <v>3</v>
      </c>
      <c r="F250" s="4" t="s">
        <v>25</v>
      </c>
      <c r="G250" s="4" t="s">
        <v>15</v>
      </c>
      <c r="H250" s="4">
        <v>344</v>
      </c>
      <c r="I250" s="4" t="str">
        <f>VLOOKUP(B250,Customers!$A:$D,4,FALSE)</f>
        <v>Premium</v>
      </c>
      <c r="J250" s="4" t="s">
        <v>37</v>
      </c>
      <c r="K250" s="4" t="s">
        <v>36</v>
      </c>
    </row>
    <row r="251" spans="1:11" x14ac:dyDescent="0.2">
      <c r="A251" s="4">
        <v>5250</v>
      </c>
      <c r="B251" s="4">
        <v>1155</v>
      </c>
      <c r="C251" s="8">
        <v>46074</v>
      </c>
      <c r="D251" s="8">
        <v>46078</v>
      </c>
      <c r="E251" s="10">
        <f t="shared" si="3"/>
        <v>4</v>
      </c>
      <c r="F251" s="4" t="s">
        <v>18</v>
      </c>
      <c r="G251" s="4" t="s">
        <v>14</v>
      </c>
      <c r="H251" s="4">
        <v>6417</v>
      </c>
      <c r="I251" s="4" t="str">
        <f>VLOOKUP(B251,Customers!$A:$D,4,FALSE)</f>
        <v>Regular</v>
      </c>
      <c r="J251" s="4" t="s">
        <v>37</v>
      </c>
      <c r="K251" s="4" t="s">
        <v>36</v>
      </c>
    </row>
    <row r="252" spans="1:11" x14ac:dyDescent="0.2">
      <c r="A252" s="4">
        <v>5251</v>
      </c>
      <c r="B252" s="4">
        <v>1191</v>
      </c>
      <c r="C252" s="8">
        <v>46087</v>
      </c>
      <c r="D252" s="8">
        <v>46090</v>
      </c>
      <c r="E252" s="10">
        <f t="shared" si="3"/>
        <v>3</v>
      </c>
      <c r="F252" s="4" t="s">
        <v>18</v>
      </c>
      <c r="G252" s="4" t="s">
        <v>12</v>
      </c>
      <c r="H252" s="4">
        <v>26274</v>
      </c>
      <c r="I252" s="4" t="str">
        <f>VLOOKUP(B252,Customers!$A:$D,4,FALSE)</f>
        <v>Regular</v>
      </c>
      <c r="J252" s="4" t="s">
        <v>37</v>
      </c>
      <c r="K252" s="4" t="s">
        <v>36</v>
      </c>
    </row>
    <row r="253" spans="1:11" x14ac:dyDescent="0.2">
      <c r="A253" s="4">
        <v>5252</v>
      </c>
      <c r="B253" s="4">
        <v>1047</v>
      </c>
      <c r="C253" s="8">
        <v>46082</v>
      </c>
      <c r="D253" s="8">
        <v>46090</v>
      </c>
      <c r="E253" s="10">
        <f t="shared" si="3"/>
        <v>8</v>
      </c>
      <c r="F253" s="4" t="s">
        <v>23</v>
      </c>
      <c r="G253" s="4" t="s">
        <v>12</v>
      </c>
      <c r="H253" s="4">
        <v>14286</v>
      </c>
      <c r="I253" s="4" t="str">
        <f>VLOOKUP(B253,Customers!$A:$D,4,FALSE)</f>
        <v>Regular</v>
      </c>
      <c r="J253" s="4" t="s">
        <v>37</v>
      </c>
      <c r="K253" s="4" t="s">
        <v>36</v>
      </c>
    </row>
    <row r="254" spans="1:11" x14ac:dyDescent="0.2">
      <c r="A254" s="4">
        <v>5253</v>
      </c>
      <c r="B254" s="4">
        <v>1116</v>
      </c>
      <c r="C254" s="8">
        <v>46042</v>
      </c>
      <c r="D254" s="8">
        <v>46046</v>
      </c>
      <c r="E254" s="10">
        <f t="shared" si="3"/>
        <v>4</v>
      </c>
      <c r="F254" s="4" t="s">
        <v>25</v>
      </c>
      <c r="G254" s="4" t="s">
        <v>12</v>
      </c>
      <c r="H254" s="4">
        <v>828</v>
      </c>
      <c r="I254" s="4" t="str">
        <f>VLOOKUP(B254,Customers!$A:$D,4,FALSE)</f>
        <v>Premium</v>
      </c>
      <c r="J254" s="4" t="s">
        <v>37</v>
      </c>
      <c r="K254" s="4" t="s">
        <v>36</v>
      </c>
    </row>
    <row r="255" spans="1:11" x14ac:dyDescent="0.2">
      <c r="A255" s="4">
        <v>5254</v>
      </c>
      <c r="B255" s="4">
        <v>1068</v>
      </c>
      <c r="C255" s="8">
        <v>46053</v>
      </c>
      <c r="D255" s="8">
        <v>46061</v>
      </c>
      <c r="E255" s="10">
        <f t="shared" si="3"/>
        <v>8</v>
      </c>
      <c r="F255" s="4" t="s">
        <v>25</v>
      </c>
      <c r="G255" s="4" t="s">
        <v>12</v>
      </c>
      <c r="H255" s="4">
        <v>15304</v>
      </c>
      <c r="I255" s="4" t="str">
        <f>VLOOKUP(B255,Customers!$A:$D,4,FALSE)</f>
        <v>Premium</v>
      </c>
      <c r="J255" s="4" t="s">
        <v>37</v>
      </c>
      <c r="K255" s="4" t="s">
        <v>36</v>
      </c>
    </row>
    <row r="256" spans="1:11" x14ac:dyDescent="0.2">
      <c r="A256" s="4">
        <v>5255</v>
      </c>
      <c r="B256" s="4">
        <v>1053</v>
      </c>
      <c r="C256" s="8">
        <v>46045</v>
      </c>
      <c r="D256" s="8">
        <v>46048</v>
      </c>
      <c r="E256" s="10">
        <f t="shared" si="3"/>
        <v>3</v>
      </c>
      <c r="F256" s="4" t="s">
        <v>19</v>
      </c>
      <c r="G256" s="4" t="s">
        <v>14</v>
      </c>
      <c r="H256" s="4">
        <v>19911</v>
      </c>
      <c r="I256" s="4" t="str">
        <f>VLOOKUP(B256,Customers!$A:$D,4,FALSE)</f>
        <v>Regular</v>
      </c>
      <c r="J256" s="4" t="s">
        <v>35</v>
      </c>
      <c r="K256" s="4" t="s">
        <v>36</v>
      </c>
    </row>
    <row r="257" spans="1:11" x14ac:dyDescent="0.2">
      <c r="A257" s="4">
        <v>5256</v>
      </c>
      <c r="B257" s="4">
        <v>1074</v>
      </c>
      <c r="C257" s="8">
        <v>46120</v>
      </c>
      <c r="D257" s="8">
        <v>46124</v>
      </c>
      <c r="E257" s="10">
        <f t="shared" si="3"/>
        <v>4</v>
      </c>
      <c r="F257" s="4" t="s">
        <v>23</v>
      </c>
      <c r="G257" s="4" t="s">
        <v>11</v>
      </c>
      <c r="H257" s="4">
        <v>37215</v>
      </c>
      <c r="I257" s="4" t="str">
        <f>VLOOKUP(B257,Customers!$A:$D,4,FALSE)</f>
        <v>Regular</v>
      </c>
      <c r="J257" s="4" t="s">
        <v>35</v>
      </c>
      <c r="K257" s="4" t="s">
        <v>36</v>
      </c>
    </row>
    <row r="258" spans="1:11" x14ac:dyDescent="0.2">
      <c r="A258" s="4">
        <v>5257</v>
      </c>
      <c r="B258" s="4">
        <v>1180</v>
      </c>
      <c r="C258" s="8">
        <v>46065</v>
      </c>
      <c r="D258" s="8">
        <v>46074</v>
      </c>
      <c r="E258" s="10">
        <f t="shared" si="3"/>
        <v>9</v>
      </c>
      <c r="F258" s="4" t="s">
        <v>24</v>
      </c>
      <c r="G258" s="4" t="s">
        <v>13</v>
      </c>
      <c r="H258" s="4">
        <v>27281</v>
      </c>
      <c r="I258" s="4" t="str">
        <f>VLOOKUP(B258,Customers!$A:$D,4,FALSE)</f>
        <v>Regular</v>
      </c>
      <c r="J258" s="4" t="s">
        <v>37</v>
      </c>
      <c r="K258" s="4" t="s">
        <v>36</v>
      </c>
    </row>
    <row r="259" spans="1:11" x14ac:dyDescent="0.2">
      <c r="A259" s="4">
        <v>5258</v>
      </c>
      <c r="B259" s="4">
        <v>1052</v>
      </c>
      <c r="C259" s="8">
        <v>46078</v>
      </c>
      <c r="D259" s="8">
        <v>46081</v>
      </c>
      <c r="E259" s="10">
        <f t="shared" ref="E259:E322" si="4">D259-C259</f>
        <v>3</v>
      </c>
      <c r="F259" s="4" t="s">
        <v>18</v>
      </c>
      <c r="G259" s="4" t="s">
        <v>12</v>
      </c>
      <c r="H259" s="4">
        <v>38938</v>
      </c>
      <c r="I259" s="4" t="str">
        <f>VLOOKUP(B259,Customers!$A:$D,4,FALSE)</f>
        <v>Premium</v>
      </c>
      <c r="J259" s="4" t="s">
        <v>37</v>
      </c>
      <c r="K259" s="4" t="s">
        <v>36</v>
      </c>
    </row>
    <row r="260" spans="1:11" x14ac:dyDescent="0.2">
      <c r="A260" s="4">
        <v>5259</v>
      </c>
      <c r="B260" s="4">
        <v>1162</v>
      </c>
      <c r="C260" s="8">
        <v>46112</v>
      </c>
      <c r="D260" s="8">
        <v>46120</v>
      </c>
      <c r="E260" s="10">
        <f t="shared" si="4"/>
        <v>8</v>
      </c>
      <c r="F260" s="4" t="s">
        <v>18</v>
      </c>
      <c r="G260" s="4" t="s">
        <v>13</v>
      </c>
      <c r="H260" s="4">
        <v>18451</v>
      </c>
      <c r="I260" s="4" t="str">
        <f>VLOOKUP(B260,Customers!$A:$D,4,FALSE)</f>
        <v>Premium</v>
      </c>
      <c r="J260" s="4" t="s">
        <v>35</v>
      </c>
      <c r="K260" s="4" t="s">
        <v>36</v>
      </c>
    </row>
    <row r="261" spans="1:11" x14ac:dyDescent="0.2">
      <c r="A261" s="4">
        <v>5260</v>
      </c>
      <c r="B261" s="4">
        <v>1146</v>
      </c>
      <c r="C261" s="8">
        <v>46086</v>
      </c>
      <c r="D261" s="8">
        <v>46096</v>
      </c>
      <c r="E261" s="10">
        <f t="shared" si="4"/>
        <v>10</v>
      </c>
      <c r="F261" s="4" t="s">
        <v>20</v>
      </c>
      <c r="G261" s="4" t="s">
        <v>14</v>
      </c>
      <c r="H261" s="4">
        <v>13764</v>
      </c>
      <c r="I261" s="4" t="str">
        <f>VLOOKUP(B261,Customers!$A:$D,4,FALSE)</f>
        <v>Regular</v>
      </c>
      <c r="J261" s="4" t="s">
        <v>35</v>
      </c>
      <c r="K261" s="4" t="s">
        <v>36</v>
      </c>
    </row>
    <row r="262" spans="1:11" x14ac:dyDescent="0.2">
      <c r="A262" s="4">
        <v>5261</v>
      </c>
      <c r="B262" s="4">
        <v>1028</v>
      </c>
      <c r="C262" s="8">
        <v>46123</v>
      </c>
      <c r="D262" s="8">
        <v>46129</v>
      </c>
      <c r="E262" s="10">
        <f t="shared" si="4"/>
        <v>6</v>
      </c>
      <c r="F262" s="4" t="s">
        <v>24</v>
      </c>
      <c r="G262" s="4" t="s">
        <v>15</v>
      </c>
      <c r="H262" s="4">
        <v>25589</v>
      </c>
      <c r="I262" s="4" t="str">
        <f>VLOOKUP(B262,Customers!$A:$D,4,FALSE)</f>
        <v>Regular</v>
      </c>
      <c r="J262" s="4" t="s">
        <v>35</v>
      </c>
      <c r="K262" s="4" t="s">
        <v>36</v>
      </c>
    </row>
    <row r="263" spans="1:11" x14ac:dyDescent="0.2">
      <c r="A263" s="4">
        <v>5262</v>
      </c>
      <c r="B263" s="4">
        <v>1037</v>
      </c>
      <c r="C263" s="8">
        <v>46084</v>
      </c>
      <c r="D263" s="8">
        <v>46093</v>
      </c>
      <c r="E263" s="10">
        <f t="shared" si="4"/>
        <v>9</v>
      </c>
      <c r="F263" s="4" t="s">
        <v>20</v>
      </c>
      <c r="G263" s="4" t="s">
        <v>14</v>
      </c>
      <c r="H263" s="4">
        <v>21040</v>
      </c>
      <c r="I263" s="4" t="str">
        <f>VLOOKUP(B263,Customers!$A:$D,4,FALSE)</f>
        <v>Premium</v>
      </c>
      <c r="J263" s="4" t="s">
        <v>35</v>
      </c>
      <c r="K263" s="4" t="s">
        <v>36</v>
      </c>
    </row>
    <row r="264" spans="1:11" x14ac:dyDescent="0.2">
      <c r="A264" s="4">
        <v>5263</v>
      </c>
      <c r="B264" s="4">
        <v>1188</v>
      </c>
      <c r="C264" s="8">
        <v>46122</v>
      </c>
      <c r="D264" s="8">
        <v>46130</v>
      </c>
      <c r="E264" s="10">
        <f t="shared" si="4"/>
        <v>8</v>
      </c>
      <c r="F264" s="4" t="s">
        <v>18</v>
      </c>
      <c r="G264" s="4" t="s">
        <v>15</v>
      </c>
      <c r="H264" s="4">
        <v>5083</v>
      </c>
      <c r="I264" s="4" t="str">
        <f>VLOOKUP(B264,Customers!$A:$D,4,FALSE)</f>
        <v>Premium</v>
      </c>
      <c r="J264" s="4" t="s">
        <v>35</v>
      </c>
      <c r="K264" s="4" t="s">
        <v>36</v>
      </c>
    </row>
    <row r="265" spans="1:11" x14ac:dyDescent="0.2">
      <c r="A265" s="4">
        <v>5264</v>
      </c>
      <c r="B265" s="4">
        <v>1008</v>
      </c>
      <c r="C265" s="8">
        <v>46173</v>
      </c>
      <c r="D265" s="8">
        <v>46176</v>
      </c>
      <c r="E265" s="10">
        <f t="shared" si="4"/>
        <v>3</v>
      </c>
      <c r="F265" s="4" t="s">
        <v>22</v>
      </c>
      <c r="G265" s="4" t="s">
        <v>13</v>
      </c>
      <c r="H265" s="4">
        <v>2910</v>
      </c>
      <c r="I265" s="4" t="str">
        <f>VLOOKUP(B265,Customers!$A:$D,4,FALSE)</f>
        <v>Premium</v>
      </c>
      <c r="J265" s="4" t="s">
        <v>35</v>
      </c>
      <c r="K265" s="4" t="s">
        <v>36</v>
      </c>
    </row>
    <row r="266" spans="1:11" x14ac:dyDescent="0.2">
      <c r="A266" s="4">
        <v>5265</v>
      </c>
      <c r="B266" s="4">
        <v>1147</v>
      </c>
      <c r="C266" s="8">
        <v>46124</v>
      </c>
      <c r="D266" s="8">
        <v>46134</v>
      </c>
      <c r="E266" s="10">
        <f t="shared" si="4"/>
        <v>10</v>
      </c>
      <c r="F266" s="4" t="s">
        <v>21</v>
      </c>
      <c r="G266" s="4" t="s">
        <v>15</v>
      </c>
      <c r="H266" s="4">
        <v>46293</v>
      </c>
      <c r="I266" s="4" t="str">
        <f>VLOOKUP(B266,Customers!$A:$D,4,FALSE)</f>
        <v>Premium</v>
      </c>
      <c r="J266" s="4" t="s">
        <v>37</v>
      </c>
      <c r="K266" s="4" t="s">
        <v>36</v>
      </c>
    </row>
    <row r="267" spans="1:11" x14ac:dyDescent="0.2">
      <c r="A267" s="4">
        <v>5266</v>
      </c>
      <c r="B267" s="4">
        <v>1276</v>
      </c>
      <c r="C267" s="8">
        <v>46044</v>
      </c>
      <c r="D267" s="8">
        <v>46054</v>
      </c>
      <c r="E267" s="10">
        <f t="shared" si="4"/>
        <v>10</v>
      </c>
      <c r="F267" s="4" t="s">
        <v>18</v>
      </c>
      <c r="G267" s="4" t="s">
        <v>14</v>
      </c>
      <c r="H267" s="4">
        <v>5778</v>
      </c>
      <c r="I267" s="4" t="str">
        <f>VLOOKUP(B267,Customers!$A:$D,4,FALSE)</f>
        <v>Premium</v>
      </c>
      <c r="J267" s="4" t="s">
        <v>37</v>
      </c>
      <c r="K267" s="4" t="s">
        <v>36</v>
      </c>
    </row>
    <row r="268" spans="1:11" x14ac:dyDescent="0.2">
      <c r="A268" s="4">
        <v>5267</v>
      </c>
      <c r="B268" s="4">
        <v>1105</v>
      </c>
      <c r="C268" s="8">
        <v>46043</v>
      </c>
      <c r="D268" s="8">
        <v>46053</v>
      </c>
      <c r="E268" s="10">
        <f t="shared" si="4"/>
        <v>10</v>
      </c>
      <c r="F268" s="4" t="s">
        <v>18</v>
      </c>
      <c r="G268" s="4" t="s">
        <v>11</v>
      </c>
      <c r="H268" s="4">
        <v>21713</v>
      </c>
      <c r="I268" s="4" t="str">
        <f>VLOOKUP(B268,Customers!$A:$D,4,FALSE)</f>
        <v>Regular</v>
      </c>
      <c r="J268" s="4" t="s">
        <v>37</v>
      </c>
      <c r="K268" s="4" t="s">
        <v>36</v>
      </c>
    </row>
    <row r="269" spans="1:11" x14ac:dyDescent="0.2">
      <c r="A269" s="4">
        <v>5268</v>
      </c>
      <c r="B269" s="4">
        <v>1159</v>
      </c>
      <c r="C269" s="8">
        <v>46173</v>
      </c>
      <c r="D269" s="8">
        <v>46176</v>
      </c>
      <c r="E269" s="10">
        <f t="shared" si="4"/>
        <v>3</v>
      </c>
      <c r="F269" s="4" t="s">
        <v>21</v>
      </c>
      <c r="G269" s="4" t="s">
        <v>13</v>
      </c>
      <c r="H269" s="4">
        <v>4094</v>
      </c>
      <c r="I269" s="4" t="str">
        <f>VLOOKUP(B269,Customers!$A:$D,4,FALSE)</f>
        <v>Regular</v>
      </c>
      <c r="J269" s="4" t="s">
        <v>35</v>
      </c>
      <c r="K269" s="4" t="s">
        <v>36</v>
      </c>
    </row>
    <row r="270" spans="1:11" x14ac:dyDescent="0.2">
      <c r="A270" s="4">
        <v>5269</v>
      </c>
      <c r="B270" s="4">
        <v>1060</v>
      </c>
      <c r="C270" s="8">
        <v>46045</v>
      </c>
      <c r="D270" s="8">
        <v>46053</v>
      </c>
      <c r="E270" s="10">
        <f t="shared" si="4"/>
        <v>8</v>
      </c>
      <c r="F270" s="4" t="s">
        <v>25</v>
      </c>
      <c r="G270" s="4" t="s">
        <v>11</v>
      </c>
      <c r="H270" s="4">
        <v>40200</v>
      </c>
      <c r="I270" s="4" t="str">
        <f>VLOOKUP(B270,Customers!$A:$D,4,FALSE)</f>
        <v>Regular</v>
      </c>
      <c r="J270" s="4" t="s">
        <v>35</v>
      </c>
      <c r="K270" s="4" t="s">
        <v>36</v>
      </c>
    </row>
    <row r="271" spans="1:11" x14ac:dyDescent="0.2">
      <c r="A271" s="4">
        <v>5270</v>
      </c>
      <c r="B271" s="4">
        <v>1062</v>
      </c>
      <c r="C271" s="8">
        <v>46102</v>
      </c>
      <c r="D271" s="8">
        <v>46106</v>
      </c>
      <c r="E271" s="10">
        <f t="shared" si="4"/>
        <v>4</v>
      </c>
      <c r="F271" s="4" t="s">
        <v>20</v>
      </c>
      <c r="G271" s="4" t="s">
        <v>13</v>
      </c>
      <c r="H271" s="4">
        <v>46273</v>
      </c>
      <c r="I271" s="4" t="str">
        <f>VLOOKUP(B271,Customers!$A:$D,4,FALSE)</f>
        <v>Premium</v>
      </c>
      <c r="J271" s="4" t="s">
        <v>35</v>
      </c>
      <c r="K271" s="4" t="s">
        <v>36</v>
      </c>
    </row>
    <row r="272" spans="1:11" x14ac:dyDescent="0.2">
      <c r="A272" s="4">
        <v>5271</v>
      </c>
      <c r="B272" s="4">
        <v>1178</v>
      </c>
      <c r="C272" s="8">
        <v>46064</v>
      </c>
      <c r="D272" s="8">
        <v>46073</v>
      </c>
      <c r="E272" s="10">
        <f t="shared" si="4"/>
        <v>9</v>
      </c>
      <c r="F272" s="4" t="s">
        <v>22</v>
      </c>
      <c r="G272" s="4" t="s">
        <v>13</v>
      </c>
      <c r="H272" s="4">
        <v>24670</v>
      </c>
      <c r="I272" s="4" t="str">
        <f>VLOOKUP(B272,Customers!$A:$D,4,FALSE)</f>
        <v>Premium</v>
      </c>
      <c r="J272" s="4" t="s">
        <v>35</v>
      </c>
      <c r="K272" s="4" t="s">
        <v>36</v>
      </c>
    </row>
    <row r="273" spans="1:11" x14ac:dyDescent="0.2">
      <c r="A273" s="4">
        <v>5272</v>
      </c>
      <c r="B273" s="4">
        <v>1016</v>
      </c>
      <c r="C273" s="8">
        <v>46091</v>
      </c>
      <c r="D273" s="8">
        <v>46094</v>
      </c>
      <c r="E273" s="10">
        <f t="shared" si="4"/>
        <v>3</v>
      </c>
      <c r="F273" s="4" t="s">
        <v>19</v>
      </c>
      <c r="G273" s="4" t="s">
        <v>15</v>
      </c>
      <c r="H273" s="4">
        <v>18124</v>
      </c>
      <c r="I273" s="4" t="str">
        <f>VLOOKUP(B273,Customers!$A:$D,4,FALSE)</f>
        <v>Premium</v>
      </c>
      <c r="J273" s="4" t="s">
        <v>35</v>
      </c>
      <c r="K273" s="4" t="s">
        <v>36</v>
      </c>
    </row>
    <row r="274" spans="1:11" x14ac:dyDescent="0.2">
      <c r="A274" s="4">
        <v>5273</v>
      </c>
      <c r="B274" s="4">
        <v>1255</v>
      </c>
      <c r="C274" s="8">
        <v>46090</v>
      </c>
      <c r="D274" s="8">
        <v>46093</v>
      </c>
      <c r="E274" s="10">
        <f t="shared" si="4"/>
        <v>3</v>
      </c>
      <c r="F274" s="4" t="s">
        <v>25</v>
      </c>
      <c r="G274" s="4" t="s">
        <v>11</v>
      </c>
      <c r="H274" s="4">
        <v>23901</v>
      </c>
      <c r="I274" s="4" t="str">
        <f>VLOOKUP(B274,Customers!$A:$D,4,FALSE)</f>
        <v>Regular</v>
      </c>
      <c r="J274" s="4" t="s">
        <v>35</v>
      </c>
      <c r="K274" s="4" t="s">
        <v>36</v>
      </c>
    </row>
    <row r="275" spans="1:11" x14ac:dyDescent="0.2">
      <c r="A275" s="4">
        <v>5274</v>
      </c>
      <c r="B275" s="4">
        <v>1189</v>
      </c>
      <c r="C275" s="8">
        <v>46150</v>
      </c>
      <c r="D275" s="8">
        <v>46154</v>
      </c>
      <c r="E275" s="10">
        <f t="shared" si="4"/>
        <v>4</v>
      </c>
      <c r="F275" s="4" t="s">
        <v>18</v>
      </c>
      <c r="G275" s="4" t="s">
        <v>14</v>
      </c>
      <c r="H275" s="4">
        <v>7043</v>
      </c>
      <c r="I275" s="4" t="str">
        <f>VLOOKUP(B275,Customers!$A:$D,4,FALSE)</f>
        <v>Regular</v>
      </c>
      <c r="J275" s="4" t="s">
        <v>35</v>
      </c>
      <c r="K275" s="4" t="s">
        <v>36</v>
      </c>
    </row>
    <row r="276" spans="1:11" x14ac:dyDescent="0.2">
      <c r="A276" s="4">
        <v>5275</v>
      </c>
      <c r="B276" s="4">
        <v>1002</v>
      </c>
      <c r="C276" s="8">
        <v>46081</v>
      </c>
      <c r="D276" s="8">
        <v>46091</v>
      </c>
      <c r="E276" s="10">
        <f t="shared" si="4"/>
        <v>10</v>
      </c>
      <c r="F276" s="4" t="s">
        <v>20</v>
      </c>
      <c r="G276" s="4" t="s">
        <v>12</v>
      </c>
      <c r="H276" s="4">
        <v>16326</v>
      </c>
      <c r="I276" s="4" t="str">
        <f>VLOOKUP(B276,Customers!$A:$D,4,FALSE)</f>
        <v>Regular</v>
      </c>
      <c r="J276" s="4" t="s">
        <v>35</v>
      </c>
      <c r="K276" s="4" t="s">
        <v>36</v>
      </c>
    </row>
    <row r="277" spans="1:11" x14ac:dyDescent="0.2">
      <c r="A277" s="4">
        <v>5276</v>
      </c>
      <c r="B277" s="4">
        <v>1197</v>
      </c>
      <c r="C277" s="8">
        <v>46143</v>
      </c>
      <c r="D277" s="8">
        <v>46150</v>
      </c>
      <c r="E277" s="10">
        <f t="shared" si="4"/>
        <v>7</v>
      </c>
      <c r="F277" s="4" t="s">
        <v>18</v>
      </c>
      <c r="G277" s="4" t="s">
        <v>13</v>
      </c>
      <c r="H277" s="4">
        <v>2617</v>
      </c>
      <c r="I277" s="4" t="str">
        <f>VLOOKUP(B277,Customers!$A:$D,4,FALSE)</f>
        <v>Regular</v>
      </c>
      <c r="J277" s="4" t="s">
        <v>37</v>
      </c>
      <c r="K277" s="4" t="s">
        <v>36</v>
      </c>
    </row>
    <row r="278" spans="1:11" x14ac:dyDescent="0.2">
      <c r="A278" s="4">
        <v>5277</v>
      </c>
      <c r="B278" s="4">
        <v>1128</v>
      </c>
      <c r="C278" s="8">
        <v>46080</v>
      </c>
      <c r="D278" s="8">
        <v>46087</v>
      </c>
      <c r="E278" s="10">
        <f t="shared" si="4"/>
        <v>7</v>
      </c>
      <c r="F278" s="4" t="s">
        <v>21</v>
      </c>
      <c r="G278" s="4" t="s">
        <v>14</v>
      </c>
      <c r="H278" s="4">
        <v>18077</v>
      </c>
      <c r="I278" s="4" t="str">
        <f>VLOOKUP(B278,Customers!$A:$D,4,FALSE)</f>
        <v>Premium</v>
      </c>
      <c r="J278" s="4" t="s">
        <v>35</v>
      </c>
      <c r="K278" s="4" t="s">
        <v>36</v>
      </c>
    </row>
    <row r="279" spans="1:11" x14ac:dyDescent="0.2">
      <c r="A279" s="4">
        <v>5278</v>
      </c>
      <c r="B279" s="4">
        <v>1062</v>
      </c>
      <c r="C279" s="8">
        <v>46169</v>
      </c>
      <c r="D279" s="8">
        <v>46176</v>
      </c>
      <c r="E279" s="10">
        <f t="shared" si="4"/>
        <v>7</v>
      </c>
      <c r="F279" s="4" t="s">
        <v>20</v>
      </c>
      <c r="G279" s="4" t="s">
        <v>13</v>
      </c>
      <c r="H279" s="4">
        <v>14926</v>
      </c>
      <c r="I279" s="4" t="str">
        <f>VLOOKUP(B279,Customers!$A:$D,4,FALSE)</f>
        <v>Premium</v>
      </c>
      <c r="J279" s="4" t="s">
        <v>35</v>
      </c>
      <c r="K279" s="4" t="s">
        <v>36</v>
      </c>
    </row>
    <row r="280" spans="1:11" x14ac:dyDescent="0.2">
      <c r="A280" s="4">
        <v>5279</v>
      </c>
      <c r="B280" s="4">
        <v>1239</v>
      </c>
      <c r="C280" s="8">
        <v>46125</v>
      </c>
      <c r="D280" s="8">
        <v>46128</v>
      </c>
      <c r="E280" s="10">
        <f t="shared" si="4"/>
        <v>3</v>
      </c>
      <c r="F280" s="4" t="s">
        <v>22</v>
      </c>
      <c r="G280" s="4" t="s">
        <v>14</v>
      </c>
      <c r="H280" s="4">
        <v>21749</v>
      </c>
      <c r="I280" s="4" t="str">
        <f>VLOOKUP(B280,Customers!$A:$D,4,FALSE)</f>
        <v>Premium</v>
      </c>
      <c r="J280" s="4" t="s">
        <v>35</v>
      </c>
      <c r="K280" s="4" t="s">
        <v>36</v>
      </c>
    </row>
    <row r="281" spans="1:11" x14ac:dyDescent="0.2">
      <c r="A281" s="4">
        <v>5280</v>
      </c>
      <c r="B281" s="4">
        <v>1005</v>
      </c>
      <c r="C281" s="8">
        <v>46164</v>
      </c>
      <c r="D281" s="8">
        <v>46173</v>
      </c>
      <c r="E281" s="10">
        <f t="shared" si="4"/>
        <v>9</v>
      </c>
      <c r="F281" s="4" t="s">
        <v>19</v>
      </c>
      <c r="G281" s="4" t="s">
        <v>13</v>
      </c>
      <c r="H281" s="4">
        <v>19409</v>
      </c>
      <c r="I281" s="4" t="str">
        <f>VLOOKUP(B281,Customers!$A:$D,4,FALSE)</f>
        <v>Regular</v>
      </c>
      <c r="J281" s="4" t="s">
        <v>37</v>
      </c>
      <c r="K281" s="4" t="s">
        <v>36</v>
      </c>
    </row>
    <row r="282" spans="1:11" x14ac:dyDescent="0.2">
      <c r="A282" s="4">
        <v>5281</v>
      </c>
      <c r="B282" s="4">
        <v>1189</v>
      </c>
      <c r="C282" s="8">
        <v>46085</v>
      </c>
      <c r="D282" s="8">
        <v>46094</v>
      </c>
      <c r="E282" s="10">
        <f t="shared" si="4"/>
        <v>9</v>
      </c>
      <c r="F282" s="4" t="s">
        <v>25</v>
      </c>
      <c r="G282" s="4" t="s">
        <v>13</v>
      </c>
      <c r="H282" s="4">
        <v>48302</v>
      </c>
      <c r="I282" s="4" t="str">
        <f>VLOOKUP(B282,Customers!$A:$D,4,FALSE)</f>
        <v>Regular</v>
      </c>
      <c r="J282" s="4" t="s">
        <v>35</v>
      </c>
      <c r="K282" s="4" t="s">
        <v>36</v>
      </c>
    </row>
    <row r="283" spans="1:11" x14ac:dyDescent="0.2">
      <c r="A283" s="4">
        <v>5282</v>
      </c>
      <c r="B283" s="4">
        <v>1210</v>
      </c>
      <c r="C283" s="8">
        <v>46061</v>
      </c>
      <c r="D283" s="8">
        <v>46063</v>
      </c>
      <c r="E283" s="10">
        <f t="shared" si="4"/>
        <v>2</v>
      </c>
      <c r="F283" s="4" t="s">
        <v>20</v>
      </c>
      <c r="G283" s="4" t="s">
        <v>13</v>
      </c>
      <c r="H283" s="4">
        <v>35790</v>
      </c>
      <c r="I283" s="4" t="str">
        <f>VLOOKUP(B283,Customers!$A:$D,4,FALSE)</f>
        <v>Premium</v>
      </c>
      <c r="J283" s="4" t="s">
        <v>37</v>
      </c>
      <c r="K283" s="4" t="s">
        <v>36</v>
      </c>
    </row>
    <row r="284" spans="1:11" x14ac:dyDescent="0.2">
      <c r="A284" s="4">
        <v>5283</v>
      </c>
      <c r="B284" s="4">
        <v>1001</v>
      </c>
      <c r="C284" s="8">
        <v>46025</v>
      </c>
      <c r="D284" s="8">
        <v>46032</v>
      </c>
      <c r="E284" s="10">
        <f t="shared" si="4"/>
        <v>7</v>
      </c>
      <c r="F284" s="4" t="s">
        <v>21</v>
      </c>
      <c r="G284" s="4" t="s">
        <v>14</v>
      </c>
      <c r="H284" s="4">
        <v>7112</v>
      </c>
      <c r="I284" s="4" t="str">
        <f>VLOOKUP(B284,Customers!$A:$D,4,FALSE)</f>
        <v>Regular</v>
      </c>
      <c r="J284" s="4" t="s">
        <v>35</v>
      </c>
      <c r="K284" s="4" t="s">
        <v>36</v>
      </c>
    </row>
    <row r="285" spans="1:11" x14ac:dyDescent="0.2">
      <c r="A285" s="4">
        <v>5284</v>
      </c>
      <c r="B285" s="4">
        <v>1215</v>
      </c>
      <c r="C285" s="8">
        <v>46158</v>
      </c>
      <c r="D285" s="8">
        <v>46163</v>
      </c>
      <c r="E285" s="10">
        <f t="shared" si="4"/>
        <v>5</v>
      </c>
      <c r="F285" s="4" t="s">
        <v>25</v>
      </c>
      <c r="G285" s="4" t="s">
        <v>12</v>
      </c>
      <c r="H285" s="4">
        <v>9630</v>
      </c>
      <c r="I285" s="4" t="str">
        <f>VLOOKUP(B285,Customers!$A:$D,4,FALSE)</f>
        <v>Premium</v>
      </c>
      <c r="J285" s="4" t="s">
        <v>37</v>
      </c>
      <c r="K285" s="4" t="s">
        <v>36</v>
      </c>
    </row>
    <row r="286" spans="1:11" x14ac:dyDescent="0.2">
      <c r="A286" s="4">
        <v>5285</v>
      </c>
      <c r="B286" s="4">
        <v>1119</v>
      </c>
      <c r="C286" s="8">
        <v>46046</v>
      </c>
      <c r="D286" s="8">
        <v>46048</v>
      </c>
      <c r="E286" s="10">
        <f t="shared" si="4"/>
        <v>2</v>
      </c>
      <c r="F286" s="4" t="s">
        <v>21</v>
      </c>
      <c r="G286" s="4" t="s">
        <v>14</v>
      </c>
      <c r="H286" s="4">
        <v>30345</v>
      </c>
      <c r="I286" s="4" t="str">
        <f>VLOOKUP(B286,Customers!$A:$D,4,FALSE)</f>
        <v>Premium</v>
      </c>
      <c r="J286" s="4" t="s">
        <v>35</v>
      </c>
      <c r="K286" s="4" t="s">
        <v>36</v>
      </c>
    </row>
    <row r="287" spans="1:11" x14ac:dyDescent="0.2">
      <c r="A287" s="4">
        <v>5286</v>
      </c>
      <c r="B287" s="4">
        <v>1259</v>
      </c>
      <c r="C287" s="8">
        <v>46171</v>
      </c>
      <c r="D287" s="8">
        <v>46174</v>
      </c>
      <c r="E287" s="10">
        <f t="shared" si="4"/>
        <v>3</v>
      </c>
      <c r="F287" s="4" t="s">
        <v>18</v>
      </c>
      <c r="G287" s="4" t="s">
        <v>15</v>
      </c>
      <c r="H287" s="4">
        <v>5204</v>
      </c>
      <c r="I287" s="4" t="str">
        <f>VLOOKUP(B287,Customers!$A:$D,4,FALSE)</f>
        <v>Premium</v>
      </c>
      <c r="J287" s="4" t="s">
        <v>35</v>
      </c>
      <c r="K287" s="4" t="s">
        <v>36</v>
      </c>
    </row>
    <row r="288" spans="1:11" x14ac:dyDescent="0.2">
      <c r="A288" s="4">
        <v>5287</v>
      </c>
      <c r="B288" s="4">
        <v>1122</v>
      </c>
      <c r="C288" s="8">
        <v>46134</v>
      </c>
      <c r="D288" s="8">
        <v>46138</v>
      </c>
      <c r="E288" s="10">
        <f t="shared" si="4"/>
        <v>4</v>
      </c>
      <c r="F288" s="4" t="s">
        <v>22</v>
      </c>
      <c r="G288" s="4" t="s">
        <v>14</v>
      </c>
      <c r="H288" s="4">
        <v>20944</v>
      </c>
      <c r="I288" s="4" t="str">
        <f>VLOOKUP(B288,Customers!$A:$D,4,FALSE)</f>
        <v>Regular</v>
      </c>
      <c r="J288" s="4" t="s">
        <v>37</v>
      </c>
      <c r="K288" s="4" t="s">
        <v>36</v>
      </c>
    </row>
    <row r="289" spans="1:11" x14ac:dyDescent="0.2">
      <c r="A289" s="4">
        <v>5288</v>
      </c>
      <c r="B289" s="4">
        <v>1232</v>
      </c>
      <c r="C289" s="8">
        <v>46106</v>
      </c>
      <c r="D289" s="8">
        <v>46113</v>
      </c>
      <c r="E289" s="10">
        <f t="shared" si="4"/>
        <v>7</v>
      </c>
      <c r="F289" s="4" t="s">
        <v>22</v>
      </c>
      <c r="G289" s="4" t="s">
        <v>13</v>
      </c>
      <c r="H289" s="4">
        <v>5194</v>
      </c>
      <c r="I289" s="4" t="str">
        <f>VLOOKUP(B289,Customers!$A:$D,4,FALSE)</f>
        <v>Regular</v>
      </c>
      <c r="J289" s="4" t="s">
        <v>35</v>
      </c>
      <c r="K289" s="4" t="s">
        <v>36</v>
      </c>
    </row>
    <row r="290" spans="1:11" x14ac:dyDescent="0.2">
      <c r="A290" s="4">
        <v>5289</v>
      </c>
      <c r="B290" s="4">
        <v>1080</v>
      </c>
      <c r="C290" s="8">
        <v>46057</v>
      </c>
      <c r="D290" s="8">
        <v>46060</v>
      </c>
      <c r="E290" s="10">
        <f t="shared" si="4"/>
        <v>3</v>
      </c>
      <c r="F290" s="4" t="s">
        <v>23</v>
      </c>
      <c r="G290" s="4" t="s">
        <v>13</v>
      </c>
      <c r="H290" s="4">
        <v>29762</v>
      </c>
      <c r="I290" s="4" t="str">
        <f>VLOOKUP(B290,Customers!$A:$D,4,FALSE)</f>
        <v>Premium</v>
      </c>
      <c r="J290" s="4" t="s">
        <v>37</v>
      </c>
      <c r="K290" s="4" t="s">
        <v>36</v>
      </c>
    </row>
    <row r="291" spans="1:11" x14ac:dyDescent="0.2">
      <c r="A291" s="4">
        <v>5290</v>
      </c>
      <c r="B291" s="4">
        <v>1062</v>
      </c>
      <c r="C291" s="8">
        <v>46103</v>
      </c>
      <c r="D291" s="8">
        <v>46111</v>
      </c>
      <c r="E291" s="10">
        <f t="shared" si="4"/>
        <v>8</v>
      </c>
      <c r="F291" s="4" t="s">
        <v>19</v>
      </c>
      <c r="G291" s="4" t="s">
        <v>13</v>
      </c>
      <c r="H291" s="4">
        <v>29916</v>
      </c>
      <c r="I291" s="4" t="str">
        <f>VLOOKUP(B291,Customers!$A:$D,4,FALSE)</f>
        <v>Premium</v>
      </c>
      <c r="J291" s="4" t="s">
        <v>37</v>
      </c>
      <c r="K291" s="4" t="s">
        <v>36</v>
      </c>
    </row>
    <row r="292" spans="1:11" x14ac:dyDescent="0.2">
      <c r="A292" s="4">
        <v>5291</v>
      </c>
      <c r="B292" s="4">
        <v>1062</v>
      </c>
      <c r="C292" s="8">
        <v>46141</v>
      </c>
      <c r="D292" s="8">
        <v>46147</v>
      </c>
      <c r="E292" s="10">
        <f t="shared" si="4"/>
        <v>6</v>
      </c>
      <c r="F292" s="4" t="s">
        <v>23</v>
      </c>
      <c r="G292" s="4" t="s">
        <v>13</v>
      </c>
      <c r="H292" s="4">
        <v>45261</v>
      </c>
      <c r="I292" s="4" t="str">
        <f>VLOOKUP(B292,Customers!$A:$D,4,FALSE)</f>
        <v>Premium</v>
      </c>
      <c r="J292" s="4" t="s">
        <v>37</v>
      </c>
      <c r="K292" s="4" t="s">
        <v>36</v>
      </c>
    </row>
    <row r="293" spans="1:11" x14ac:dyDescent="0.2">
      <c r="A293" s="4">
        <v>5292</v>
      </c>
      <c r="B293" s="4">
        <v>1168</v>
      </c>
      <c r="C293" s="8">
        <v>46033</v>
      </c>
      <c r="D293" s="8">
        <v>46038</v>
      </c>
      <c r="E293" s="10">
        <f t="shared" si="4"/>
        <v>5</v>
      </c>
      <c r="F293" s="4" t="s">
        <v>18</v>
      </c>
      <c r="G293" s="4" t="s">
        <v>12</v>
      </c>
      <c r="H293" s="4">
        <v>46906</v>
      </c>
      <c r="I293" s="4" t="str">
        <f>VLOOKUP(B293,Customers!$A:$D,4,FALSE)</f>
        <v>Premium</v>
      </c>
      <c r="J293" s="4" t="s">
        <v>35</v>
      </c>
      <c r="K293" s="4" t="s">
        <v>36</v>
      </c>
    </row>
    <row r="294" spans="1:11" x14ac:dyDescent="0.2">
      <c r="A294" s="4">
        <v>5293</v>
      </c>
      <c r="B294" s="4">
        <v>1263</v>
      </c>
      <c r="C294" s="8">
        <v>46114</v>
      </c>
      <c r="D294" s="8">
        <v>46122</v>
      </c>
      <c r="E294" s="10">
        <f t="shared" si="4"/>
        <v>8</v>
      </c>
      <c r="F294" s="4" t="s">
        <v>20</v>
      </c>
      <c r="G294" s="4" t="s">
        <v>14</v>
      </c>
      <c r="H294" s="4">
        <v>17350</v>
      </c>
      <c r="I294" s="4" t="str">
        <f>VLOOKUP(B294,Customers!$A:$D,4,FALSE)</f>
        <v>Premium</v>
      </c>
      <c r="J294" s="4" t="s">
        <v>35</v>
      </c>
      <c r="K294" s="4" t="s">
        <v>36</v>
      </c>
    </row>
    <row r="295" spans="1:11" x14ac:dyDescent="0.2">
      <c r="A295" s="4">
        <v>5294</v>
      </c>
      <c r="B295" s="4">
        <v>1232</v>
      </c>
      <c r="C295" s="8">
        <v>46030</v>
      </c>
      <c r="D295" s="8">
        <v>46038</v>
      </c>
      <c r="E295" s="10">
        <f t="shared" si="4"/>
        <v>8</v>
      </c>
      <c r="F295" s="4" t="s">
        <v>24</v>
      </c>
      <c r="G295" s="4" t="s">
        <v>12</v>
      </c>
      <c r="H295" s="4">
        <v>30580</v>
      </c>
      <c r="I295" s="4" t="str">
        <f>VLOOKUP(B295,Customers!$A:$D,4,FALSE)</f>
        <v>Regular</v>
      </c>
      <c r="J295" s="4" t="s">
        <v>35</v>
      </c>
      <c r="K295" s="4" t="s">
        <v>36</v>
      </c>
    </row>
    <row r="296" spans="1:11" x14ac:dyDescent="0.2">
      <c r="A296" s="4">
        <v>5295</v>
      </c>
      <c r="B296" s="4">
        <v>1007</v>
      </c>
      <c r="C296" s="8">
        <v>46058</v>
      </c>
      <c r="D296" s="8">
        <v>46061</v>
      </c>
      <c r="E296" s="10">
        <f t="shared" si="4"/>
        <v>3</v>
      </c>
      <c r="F296" s="4" t="s">
        <v>20</v>
      </c>
      <c r="G296" s="4" t="s">
        <v>13</v>
      </c>
      <c r="H296" s="4">
        <v>8866</v>
      </c>
      <c r="I296" s="4" t="str">
        <f>VLOOKUP(B296,Customers!$A:$D,4,FALSE)</f>
        <v>Regular</v>
      </c>
      <c r="J296" s="4" t="s">
        <v>35</v>
      </c>
      <c r="K296" s="4" t="s">
        <v>36</v>
      </c>
    </row>
    <row r="297" spans="1:11" x14ac:dyDescent="0.2">
      <c r="A297" s="4">
        <v>5296</v>
      </c>
      <c r="B297" s="4">
        <v>1044</v>
      </c>
      <c r="C297" s="8">
        <v>46125</v>
      </c>
      <c r="D297" s="8">
        <v>46132</v>
      </c>
      <c r="E297" s="10">
        <f t="shared" si="4"/>
        <v>7</v>
      </c>
      <c r="F297" s="4" t="s">
        <v>22</v>
      </c>
      <c r="G297" s="4" t="s">
        <v>12</v>
      </c>
      <c r="H297" s="4">
        <v>1728</v>
      </c>
      <c r="I297" s="4" t="str">
        <f>VLOOKUP(B297,Customers!$A:$D,4,FALSE)</f>
        <v>Premium</v>
      </c>
      <c r="J297" s="4" t="s">
        <v>35</v>
      </c>
      <c r="K297" s="4" t="s">
        <v>36</v>
      </c>
    </row>
    <row r="298" spans="1:11" x14ac:dyDescent="0.2">
      <c r="A298" s="4">
        <v>5297</v>
      </c>
      <c r="B298" s="4">
        <v>1066</v>
      </c>
      <c r="C298" s="8">
        <v>46073</v>
      </c>
      <c r="D298" s="8">
        <v>46082</v>
      </c>
      <c r="E298" s="10">
        <f t="shared" si="4"/>
        <v>9</v>
      </c>
      <c r="F298" s="4" t="s">
        <v>23</v>
      </c>
      <c r="G298" s="4" t="s">
        <v>14</v>
      </c>
      <c r="H298" s="4">
        <v>8329</v>
      </c>
      <c r="I298" s="4" t="str">
        <f>VLOOKUP(B298,Customers!$A:$D,4,FALSE)</f>
        <v>Regular</v>
      </c>
      <c r="J298" s="4" t="s">
        <v>35</v>
      </c>
      <c r="K298" s="4" t="s">
        <v>36</v>
      </c>
    </row>
    <row r="299" spans="1:11" x14ac:dyDescent="0.2">
      <c r="A299" s="4">
        <v>5298</v>
      </c>
      <c r="B299" s="4">
        <v>1087</v>
      </c>
      <c r="C299" s="8">
        <v>46141</v>
      </c>
      <c r="D299" s="8">
        <v>46143</v>
      </c>
      <c r="E299" s="10">
        <f t="shared" si="4"/>
        <v>2</v>
      </c>
      <c r="F299" s="4" t="s">
        <v>21</v>
      </c>
      <c r="G299" s="4" t="s">
        <v>15</v>
      </c>
      <c r="H299" s="4">
        <v>32814</v>
      </c>
      <c r="I299" s="4" t="str">
        <f>VLOOKUP(B299,Customers!$A:$D,4,FALSE)</f>
        <v>Premium</v>
      </c>
      <c r="J299" s="4" t="s">
        <v>35</v>
      </c>
      <c r="K299" s="4" t="s">
        <v>36</v>
      </c>
    </row>
    <row r="300" spans="1:11" x14ac:dyDescent="0.2">
      <c r="A300" s="4">
        <v>5299</v>
      </c>
      <c r="B300" s="4">
        <v>1089</v>
      </c>
      <c r="C300" s="8">
        <v>46120</v>
      </c>
      <c r="D300" s="8">
        <v>46128</v>
      </c>
      <c r="E300" s="10">
        <f t="shared" si="4"/>
        <v>8</v>
      </c>
      <c r="F300" s="4" t="s">
        <v>19</v>
      </c>
      <c r="G300" s="4" t="s">
        <v>13</v>
      </c>
      <c r="H300" s="4">
        <v>12565</v>
      </c>
      <c r="I300" s="4" t="str">
        <f>VLOOKUP(B300,Customers!$A:$D,4,FALSE)</f>
        <v>Regular</v>
      </c>
      <c r="J300" s="4" t="s">
        <v>37</v>
      </c>
      <c r="K300" s="4" t="s">
        <v>36</v>
      </c>
    </row>
    <row r="301" spans="1:11" x14ac:dyDescent="0.2">
      <c r="A301" s="4">
        <v>5300</v>
      </c>
      <c r="B301" s="4">
        <v>1077</v>
      </c>
      <c r="C301" s="8">
        <v>46094</v>
      </c>
      <c r="D301" s="8">
        <v>46103</v>
      </c>
      <c r="E301" s="10">
        <f t="shared" si="4"/>
        <v>9</v>
      </c>
      <c r="F301" s="4" t="s">
        <v>20</v>
      </c>
      <c r="G301" s="4" t="s">
        <v>11</v>
      </c>
      <c r="H301" s="4">
        <v>40878</v>
      </c>
      <c r="I301" s="4" t="str">
        <f>VLOOKUP(B301,Customers!$A:$D,4,FALSE)</f>
        <v>Regular</v>
      </c>
      <c r="J301" s="4" t="s">
        <v>35</v>
      </c>
      <c r="K301" s="4" t="s">
        <v>36</v>
      </c>
    </row>
    <row r="302" spans="1:11" x14ac:dyDescent="0.2">
      <c r="A302" s="4">
        <v>5301</v>
      </c>
      <c r="B302" s="4">
        <v>1211</v>
      </c>
      <c r="C302" s="8">
        <v>46098</v>
      </c>
      <c r="D302" s="8">
        <v>46107</v>
      </c>
      <c r="E302" s="10">
        <f t="shared" si="4"/>
        <v>9</v>
      </c>
      <c r="F302" s="4" t="s">
        <v>25</v>
      </c>
      <c r="G302" s="4" t="s">
        <v>12</v>
      </c>
      <c r="H302" s="4">
        <v>6048</v>
      </c>
      <c r="I302" s="4" t="str">
        <f>VLOOKUP(B302,Customers!$A:$D,4,FALSE)</f>
        <v>Regular</v>
      </c>
      <c r="J302" s="4" t="s">
        <v>37</v>
      </c>
      <c r="K302" s="4" t="s">
        <v>36</v>
      </c>
    </row>
    <row r="303" spans="1:11" x14ac:dyDescent="0.2">
      <c r="A303" s="4">
        <v>5302</v>
      </c>
      <c r="B303" s="4">
        <v>1215</v>
      </c>
      <c r="C303" s="8">
        <v>46121</v>
      </c>
      <c r="D303" s="8">
        <v>46125</v>
      </c>
      <c r="E303" s="10">
        <f t="shared" si="4"/>
        <v>4</v>
      </c>
      <c r="F303" s="4" t="s">
        <v>24</v>
      </c>
      <c r="G303" s="4" t="s">
        <v>11</v>
      </c>
      <c r="H303" s="4">
        <v>16628</v>
      </c>
      <c r="I303" s="4" t="str">
        <f>VLOOKUP(B303,Customers!$A:$D,4,FALSE)</f>
        <v>Premium</v>
      </c>
      <c r="J303" s="4" t="s">
        <v>35</v>
      </c>
      <c r="K303" s="4" t="s">
        <v>36</v>
      </c>
    </row>
    <row r="304" spans="1:11" x14ac:dyDescent="0.2">
      <c r="A304" s="4">
        <v>5303</v>
      </c>
      <c r="B304" s="4">
        <v>1246</v>
      </c>
      <c r="C304" s="8">
        <v>46120</v>
      </c>
      <c r="D304" s="8">
        <v>46127</v>
      </c>
      <c r="E304" s="10">
        <f t="shared" si="4"/>
        <v>7</v>
      </c>
      <c r="F304" s="4" t="s">
        <v>25</v>
      </c>
      <c r="G304" s="4" t="s">
        <v>14</v>
      </c>
      <c r="H304" s="4">
        <v>37370</v>
      </c>
      <c r="I304" s="4" t="str">
        <f>VLOOKUP(B304,Customers!$A:$D,4,FALSE)</f>
        <v>Premium</v>
      </c>
      <c r="J304" s="4" t="s">
        <v>37</v>
      </c>
      <c r="K304" s="4" t="s">
        <v>36</v>
      </c>
    </row>
    <row r="305" spans="1:11" x14ac:dyDescent="0.2">
      <c r="A305" s="4">
        <v>5304</v>
      </c>
      <c r="B305" s="4">
        <v>1093</v>
      </c>
      <c r="C305" s="8">
        <v>46122</v>
      </c>
      <c r="D305" s="8">
        <v>46128</v>
      </c>
      <c r="E305" s="10">
        <f t="shared" si="4"/>
        <v>6</v>
      </c>
      <c r="F305" s="4" t="s">
        <v>20</v>
      </c>
      <c r="G305" s="4" t="s">
        <v>14</v>
      </c>
      <c r="H305" s="4">
        <v>39432</v>
      </c>
      <c r="I305" s="4" t="str">
        <f>VLOOKUP(B305,Customers!$A:$D,4,FALSE)</f>
        <v>Regular</v>
      </c>
      <c r="J305" s="4" t="s">
        <v>35</v>
      </c>
      <c r="K305" s="4" t="s">
        <v>36</v>
      </c>
    </row>
    <row r="306" spans="1:11" x14ac:dyDescent="0.2">
      <c r="A306" s="4">
        <v>5305</v>
      </c>
      <c r="B306" s="4">
        <v>1030</v>
      </c>
      <c r="C306" s="8">
        <v>46030</v>
      </c>
      <c r="D306" s="8">
        <v>46036</v>
      </c>
      <c r="E306" s="10">
        <f t="shared" si="4"/>
        <v>6</v>
      </c>
      <c r="F306" s="4" t="s">
        <v>25</v>
      </c>
      <c r="G306" s="4" t="s">
        <v>11</v>
      </c>
      <c r="H306" s="4">
        <v>23724</v>
      </c>
      <c r="I306" s="4" t="str">
        <f>VLOOKUP(B306,Customers!$A:$D,4,FALSE)</f>
        <v>Premium</v>
      </c>
      <c r="J306" s="4" t="s">
        <v>35</v>
      </c>
      <c r="K306" s="4" t="s">
        <v>36</v>
      </c>
    </row>
    <row r="307" spans="1:11" x14ac:dyDescent="0.2">
      <c r="A307" s="4">
        <v>5306</v>
      </c>
      <c r="B307" s="4">
        <v>1127</v>
      </c>
      <c r="C307" s="8">
        <v>46063</v>
      </c>
      <c r="D307" s="8">
        <v>46066</v>
      </c>
      <c r="E307" s="10">
        <f t="shared" si="4"/>
        <v>3</v>
      </c>
      <c r="F307" s="4" t="s">
        <v>24</v>
      </c>
      <c r="G307" s="4" t="s">
        <v>14</v>
      </c>
      <c r="H307" s="4">
        <v>35275</v>
      </c>
      <c r="I307" s="4" t="str">
        <f>VLOOKUP(B307,Customers!$A:$D,4,FALSE)</f>
        <v>Regular</v>
      </c>
      <c r="J307" s="4" t="s">
        <v>35</v>
      </c>
      <c r="K307" s="4" t="s">
        <v>36</v>
      </c>
    </row>
    <row r="308" spans="1:11" x14ac:dyDescent="0.2">
      <c r="A308" s="4">
        <v>5307</v>
      </c>
      <c r="B308" s="4">
        <v>1182</v>
      </c>
      <c r="C308" s="8">
        <v>46079</v>
      </c>
      <c r="D308" s="8">
        <v>46087</v>
      </c>
      <c r="E308" s="10">
        <f t="shared" si="4"/>
        <v>8</v>
      </c>
      <c r="F308" s="4" t="s">
        <v>18</v>
      </c>
      <c r="G308" s="4" t="s">
        <v>13</v>
      </c>
      <c r="H308" s="4">
        <v>15802</v>
      </c>
      <c r="I308" s="4" t="str">
        <f>VLOOKUP(B308,Customers!$A:$D,4,FALSE)</f>
        <v>Regular</v>
      </c>
      <c r="J308" s="4" t="s">
        <v>37</v>
      </c>
      <c r="K308" s="4" t="s">
        <v>36</v>
      </c>
    </row>
    <row r="309" spans="1:11" x14ac:dyDescent="0.2">
      <c r="A309" s="4">
        <v>5308</v>
      </c>
      <c r="B309" s="4">
        <v>1181</v>
      </c>
      <c r="C309" s="8">
        <v>46114</v>
      </c>
      <c r="D309" s="8">
        <v>46116</v>
      </c>
      <c r="E309" s="10">
        <f t="shared" si="4"/>
        <v>2</v>
      </c>
      <c r="F309" s="4" t="s">
        <v>18</v>
      </c>
      <c r="G309" s="4" t="s">
        <v>11</v>
      </c>
      <c r="H309" s="4">
        <v>12636</v>
      </c>
      <c r="I309" s="4" t="str">
        <f>VLOOKUP(B309,Customers!$A:$D,4,FALSE)</f>
        <v>Regular</v>
      </c>
      <c r="J309" s="4" t="s">
        <v>37</v>
      </c>
      <c r="K309" s="4" t="s">
        <v>36</v>
      </c>
    </row>
    <row r="310" spans="1:11" x14ac:dyDescent="0.2">
      <c r="A310" s="4">
        <v>5309</v>
      </c>
      <c r="B310" s="4">
        <v>1090</v>
      </c>
      <c r="C310" s="8">
        <v>46161</v>
      </c>
      <c r="D310" s="8">
        <v>46167</v>
      </c>
      <c r="E310" s="10">
        <f t="shared" si="4"/>
        <v>6</v>
      </c>
      <c r="F310" s="4" t="s">
        <v>25</v>
      </c>
      <c r="G310" s="4" t="s">
        <v>12</v>
      </c>
      <c r="H310" s="4">
        <v>6215</v>
      </c>
      <c r="I310" s="4" t="str">
        <f>VLOOKUP(B310,Customers!$A:$D,4,FALSE)</f>
        <v>Regular</v>
      </c>
      <c r="J310" s="4" t="s">
        <v>35</v>
      </c>
      <c r="K310" s="4" t="s">
        <v>36</v>
      </c>
    </row>
    <row r="311" spans="1:11" x14ac:dyDescent="0.2">
      <c r="A311" s="4">
        <v>5310</v>
      </c>
      <c r="B311" s="4">
        <v>1011</v>
      </c>
      <c r="C311" s="8">
        <v>46082</v>
      </c>
      <c r="D311" s="8">
        <v>46087</v>
      </c>
      <c r="E311" s="10">
        <f t="shared" si="4"/>
        <v>5</v>
      </c>
      <c r="F311" s="4" t="s">
        <v>25</v>
      </c>
      <c r="G311" s="4" t="s">
        <v>12</v>
      </c>
      <c r="H311" s="4">
        <v>22040</v>
      </c>
      <c r="I311" s="4" t="str">
        <f>VLOOKUP(B311,Customers!$A:$D,4,FALSE)</f>
        <v>Regular</v>
      </c>
      <c r="J311" s="4" t="s">
        <v>35</v>
      </c>
      <c r="K311" s="4" t="s">
        <v>36</v>
      </c>
    </row>
    <row r="312" spans="1:11" x14ac:dyDescent="0.2">
      <c r="A312" s="4">
        <v>5311</v>
      </c>
      <c r="B312" s="4">
        <v>1091</v>
      </c>
      <c r="C312" s="8">
        <v>46056</v>
      </c>
      <c r="D312" s="8">
        <v>46063</v>
      </c>
      <c r="E312" s="10">
        <f t="shared" si="4"/>
        <v>7</v>
      </c>
      <c r="F312" s="4" t="s">
        <v>19</v>
      </c>
      <c r="G312" s="4" t="s">
        <v>12</v>
      </c>
      <c r="H312" s="4">
        <v>1736</v>
      </c>
      <c r="I312" s="4" t="str">
        <f>VLOOKUP(B312,Customers!$A:$D,4,FALSE)</f>
        <v>Premium</v>
      </c>
      <c r="J312" s="4" t="s">
        <v>35</v>
      </c>
      <c r="K312" s="4" t="s">
        <v>36</v>
      </c>
    </row>
    <row r="313" spans="1:11" x14ac:dyDescent="0.2">
      <c r="A313" s="4">
        <v>5312</v>
      </c>
      <c r="B313" s="4">
        <v>1057</v>
      </c>
      <c r="C313" s="8">
        <v>46173</v>
      </c>
      <c r="D313" s="8">
        <v>46177</v>
      </c>
      <c r="E313" s="10">
        <f t="shared" si="4"/>
        <v>4</v>
      </c>
      <c r="F313" s="4" t="s">
        <v>19</v>
      </c>
      <c r="G313" s="4" t="s">
        <v>12</v>
      </c>
      <c r="H313" s="4">
        <v>24783</v>
      </c>
      <c r="I313" s="4" t="str">
        <f>VLOOKUP(B313,Customers!$A:$D,4,FALSE)</f>
        <v>Regular</v>
      </c>
      <c r="J313" s="4" t="s">
        <v>37</v>
      </c>
      <c r="K313" s="4" t="s">
        <v>36</v>
      </c>
    </row>
    <row r="314" spans="1:11" x14ac:dyDescent="0.2">
      <c r="A314" s="4">
        <v>5313</v>
      </c>
      <c r="B314" s="4">
        <v>1173</v>
      </c>
      <c r="C314" s="8">
        <v>46173</v>
      </c>
      <c r="D314" s="8">
        <v>46176</v>
      </c>
      <c r="E314" s="10">
        <f t="shared" si="4"/>
        <v>3</v>
      </c>
      <c r="F314" s="4" t="s">
        <v>22</v>
      </c>
      <c r="G314" s="4" t="s">
        <v>14</v>
      </c>
      <c r="H314" s="4">
        <v>9242</v>
      </c>
      <c r="I314" s="4" t="str">
        <f>VLOOKUP(B314,Customers!$A:$D,4,FALSE)</f>
        <v>Regular</v>
      </c>
      <c r="J314" s="4" t="s">
        <v>35</v>
      </c>
      <c r="K314" s="4" t="s">
        <v>36</v>
      </c>
    </row>
    <row r="315" spans="1:11" x14ac:dyDescent="0.2">
      <c r="A315" s="4">
        <v>5314</v>
      </c>
      <c r="B315" s="4">
        <v>1163</v>
      </c>
      <c r="C315" s="8">
        <v>46134</v>
      </c>
      <c r="D315" s="8">
        <v>46143</v>
      </c>
      <c r="E315" s="10">
        <f t="shared" si="4"/>
        <v>9</v>
      </c>
      <c r="F315" s="4" t="s">
        <v>18</v>
      </c>
      <c r="G315" s="4" t="s">
        <v>11</v>
      </c>
      <c r="H315" s="4">
        <v>45753</v>
      </c>
      <c r="I315" s="4" t="str">
        <f>VLOOKUP(B315,Customers!$A:$D,4,FALSE)</f>
        <v>Regular</v>
      </c>
      <c r="J315" s="4" t="s">
        <v>37</v>
      </c>
      <c r="K315" s="4" t="s">
        <v>36</v>
      </c>
    </row>
    <row r="316" spans="1:11" x14ac:dyDescent="0.2">
      <c r="A316" s="4">
        <v>5315</v>
      </c>
      <c r="B316" s="4">
        <v>1194</v>
      </c>
      <c r="C316" s="8">
        <v>46080</v>
      </c>
      <c r="D316" s="8">
        <v>46084</v>
      </c>
      <c r="E316" s="10">
        <f t="shared" si="4"/>
        <v>4</v>
      </c>
      <c r="F316" s="4" t="s">
        <v>22</v>
      </c>
      <c r="G316" s="4" t="s">
        <v>14</v>
      </c>
      <c r="H316" s="4">
        <v>8645</v>
      </c>
      <c r="I316" s="4" t="str">
        <f>VLOOKUP(B316,Customers!$A:$D,4,FALSE)</f>
        <v>Regular</v>
      </c>
      <c r="J316" s="4" t="s">
        <v>35</v>
      </c>
      <c r="K316" s="4" t="s">
        <v>36</v>
      </c>
    </row>
    <row r="317" spans="1:11" x14ac:dyDescent="0.2">
      <c r="A317" s="4">
        <v>5316</v>
      </c>
      <c r="B317" s="4">
        <v>1291</v>
      </c>
      <c r="C317" s="8">
        <v>46023</v>
      </c>
      <c r="D317" s="8">
        <v>46031</v>
      </c>
      <c r="E317" s="10">
        <f t="shared" si="4"/>
        <v>8</v>
      </c>
      <c r="F317" s="4" t="s">
        <v>20</v>
      </c>
      <c r="G317" s="4" t="s">
        <v>13</v>
      </c>
      <c r="H317" s="4">
        <v>39778</v>
      </c>
      <c r="I317" s="4" t="str">
        <f>VLOOKUP(B317,Customers!$A:$D,4,FALSE)</f>
        <v>Regular</v>
      </c>
      <c r="J317" s="4" t="s">
        <v>37</v>
      </c>
      <c r="K317" s="4" t="s">
        <v>36</v>
      </c>
    </row>
    <row r="318" spans="1:11" x14ac:dyDescent="0.2">
      <c r="A318" s="4">
        <v>5317</v>
      </c>
      <c r="B318" s="4">
        <v>1255</v>
      </c>
      <c r="C318" s="8">
        <v>46079</v>
      </c>
      <c r="D318" s="8">
        <v>46082</v>
      </c>
      <c r="E318" s="10">
        <f t="shared" si="4"/>
        <v>3</v>
      </c>
      <c r="F318" s="4" t="s">
        <v>18</v>
      </c>
      <c r="G318" s="4" t="s">
        <v>14</v>
      </c>
      <c r="H318" s="4">
        <v>49146</v>
      </c>
      <c r="I318" s="4" t="str">
        <f>VLOOKUP(B318,Customers!$A:$D,4,FALSE)</f>
        <v>Regular</v>
      </c>
      <c r="J318" s="4" t="s">
        <v>35</v>
      </c>
      <c r="K318" s="4" t="s">
        <v>36</v>
      </c>
    </row>
    <row r="319" spans="1:11" x14ac:dyDescent="0.2">
      <c r="A319" s="4">
        <v>5318</v>
      </c>
      <c r="B319" s="4">
        <v>1164</v>
      </c>
      <c r="C319" s="8">
        <v>46083</v>
      </c>
      <c r="D319" s="8">
        <v>46090</v>
      </c>
      <c r="E319" s="10">
        <f t="shared" si="4"/>
        <v>7</v>
      </c>
      <c r="F319" s="4" t="s">
        <v>18</v>
      </c>
      <c r="G319" s="4" t="s">
        <v>12</v>
      </c>
      <c r="H319" s="4">
        <v>46762</v>
      </c>
      <c r="I319" s="4" t="str">
        <f>VLOOKUP(B319,Customers!$A:$D,4,FALSE)</f>
        <v>Premium</v>
      </c>
      <c r="J319" s="4" t="s">
        <v>37</v>
      </c>
      <c r="K319" s="4" t="s">
        <v>36</v>
      </c>
    </row>
    <row r="320" spans="1:11" x14ac:dyDescent="0.2">
      <c r="A320" s="4">
        <v>5319</v>
      </c>
      <c r="B320" s="4">
        <v>1136</v>
      </c>
      <c r="C320" s="8">
        <v>46137</v>
      </c>
      <c r="D320" s="8">
        <v>46139</v>
      </c>
      <c r="E320" s="10">
        <f t="shared" si="4"/>
        <v>2</v>
      </c>
      <c r="F320" s="4" t="s">
        <v>24</v>
      </c>
      <c r="G320" s="4" t="s">
        <v>13</v>
      </c>
      <c r="H320" s="4">
        <v>45727</v>
      </c>
      <c r="I320" s="4" t="str">
        <f>VLOOKUP(B320,Customers!$A:$D,4,FALSE)</f>
        <v>Regular</v>
      </c>
      <c r="J320" s="4" t="s">
        <v>35</v>
      </c>
      <c r="K320" s="4" t="s">
        <v>36</v>
      </c>
    </row>
    <row r="321" spans="1:11" x14ac:dyDescent="0.2">
      <c r="A321" s="4">
        <v>5320</v>
      </c>
      <c r="B321" s="4">
        <v>1056</v>
      </c>
      <c r="C321" s="8">
        <v>46112</v>
      </c>
      <c r="D321" s="8">
        <v>46118</v>
      </c>
      <c r="E321" s="10">
        <f t="shared" si="4"/>
        <v>6</v>
      </c>
      <c r="F321" s="4" t="s">
        <v>20</v>
      </c>
      <c r="G321" s="4" t="s">
        <v>12</v>
      </c>
      <c r="H321" s="4">
        <v>25592</v>
      </c>
      <c r="I321" s="4" t="str">
        <f>VLOOKUP(B321,Customers!$A:$D,4,FALSE)</f>
        <v>Regular</v>
      </c>
      <c r="J321" s="4" t="s">
        <v>37</v>
      </c>
      <c r="K321" s="4" t="s">
        <v>36</v>
      </c>
    </row>
    <row r="322" spans="1:11" x14ac:dyDescent="0.2">
      <c r="A322" s="4">
        <v>5321</v>
      </c>
      <c r="B322" s="4">
        <v>1212</v>
      </c>
      <c r="C322" s="8">
        <v>46130</v>
      </c>
      <c r="D322" s="8">
        <v>46134</v>
      </c>
      <c r="E322" s="10">
        <f t="shared" si="4"/>
        <v>4</v>
      </c>
      <c r="F322" s="4" t="s">
        <v>25</v>
      </c>
      <c r="G322" s="4" t="s">
        <v>15</v>
      </c>
      <c r="H322" s="4">
        <v>23318</v>
      </c>
      <c r="I322" s="4" t="str">
        <f>VLOOKUP(B322,Customers!$A:$D,4,FALSE)</f>
        <v>Premium</v>
      </c>
      <c r="J322" s="4" t="s">
        <v>37</v>
      </c>
      <c r="K322" s="4" t="s">
        <v>36</v>
      </c>
    </row>
    <row r="323" spans="1:11" x14ac:dyDescent="0.2">
      <c r="A323" s="4">
        <v>5322</v>
      </c>
      <c r="B323" s="4">
        <v>1296</v>
      </c>
      <c r="C323" s="8">
        <v>46048</v>
      </c>
      <c r="D323" s="8">
        <v>46057</v>
      </c>
      <c r="E323" s="10">
        <f t="shared" ref="E323:E386" si="5">D323-C323</f>
        <v>9</v>
      </c>
      <c r="F323" s="4" t="s">
        <v>24</v>
      </c>
      <c r="G323" s="4" t="s">
        <v>13</v>
      </c>
      <c r="H323" s="4">
        <v>29875</v>
      </c>
      <c r="I323" s="4" t="str">
        <f>VLOOKUP(B323,Customers!$A:$D,4,FALSE)</f>
        <v>Regular</v>
      </c>
      <c r="J323" s="4" t="s">
        <v>35</v>
      </c>
      <c r="K323" s="4" t="s">
        <v>36</v>
      </c>
    </row>
    <row r="324" spans="1:11" x14ac:dyDescent="0.2">
      <c r="A324" s="4">
        <v>5323</v>
      </c>
      <c r="B324" s="4">
        <v>1011</v>
      </c>
      <c r="C324" s="8">
        <v>46031</v>
      </c>
      <c r="D324" s="8">
        <v>46037</v>
      </c>
      <c r="E324" s="10">
        <f t="shared" si="5"/>
        <v>6</v>
      </c>
      <c r="F324" s="4" t="s">
        <v>19</v>
      </c>
      <c r="G324" s="4" t="s">
        <v>14</v>
      </c>
      <c r="H324" s="4">
        <v>7163</v>
      </c>
      <c r="I324" s="4" t="str">
        <f>VLOOKUP(B324,Customers!$A:$D,4,FALSE)</f>
        <v>Regular</v>
      </c>
      <c r="J324" s="4" t="s">
        <v>35</v>
      </c>
      <c r="K324" s="4" t="s">
        <v>36</v>
      </c>
    </row>
    <row r="325" spans="1:11" x14ac:dyDescent="0.2">
      <c r="A325" s="4">
        <v>5324</v>
      </c>
      <c r="B325" s="4">
        <v>1193</v>
      </c>
      <c r="C325" s="8">
        <v>46110</v>
      </c>
      <c r="D325" s="8">
        <v>46114</v>
      </c>
      <c r="E325" s="10">
        <f t="shared" si="5"/>
        <v>4</v>
      </c>
      <c r="F325" s="4" t="s">
        <v>18</v>
      </c>
      <c r="G325" s="4" t="s">
        <v>12</v>
      </c>
      <c r="H325" s="4">
        <v>36151</v>
      </c>
      <c r="I325" s="4" t="str">
        <f>VLOOKUP(B325,Customers!$A:$D,4,FALSE)</f>
        <v>Regular</v>
      </c>
      <c r="J325" s="4" t="s">
        <v>35</v>
      </c>
      <c r="K325" s="4" t="s">
        <v>36</v>
      </c>
    </row>
    <row r="326" spans="1:11" x14ac:dyDescent="0.2">
      <c r="A326" s="4">
        <v>5325</v>
      </c>
      <c r="B326" s="4">
        <v>1016</v>
      </c>
      <c r="C326" s="8">
        <v>46109</v>
      </c>
      <c r="D326" s="8">
        <v>46118</v>
      </c>
      <c r="E326" s="10">
        <f t="shared" si="5"/>
        <v>9</v>
      </c>
      <c r="F326" s="4" t="s">
        <v>21</v>
      </c>
      <c r="G326" s="4" t="s">
        <v>13</v>
      </c>
      <c r="H326" s="4">
        <v>40101</v>
      </c>
      <c r="I326" s="4" t="str">
        <f>VLOOKUP(B326,Customers!$A:$D,4,FALSE)</f>
        <v>Premium</v>
      </c>
      <c r="J326" s="4" t="s">
        <v>37</v>
      </c>
      <c r="K326" s="4" t="s">
        <v>36</v>
      </c>
    </row>
    <row r="327" spans="1:11" x14ac:dyDescent="0.2">
      <c r="A327" s="4">
        <v>5326</v>
      </c>
      <c r="B327" s="4">
        <v>1052</v>
      </c>
      <c r="C327" s="8">
        <v>46063</v>
      </c>
      <c r="D327" s="8">
        <v>46065</v>
      </c>
      <c r="E327" s="10">
        <f t="shared" si="5"/>
        <v>2</v>
      </c>
      <c r="F327" s="4" t="s">
        <v>19</v>
      </c>
      <c r="G327" s="4" t="s">
        <v>13</v>
      </c>
      <c r="H327" s="4">
        <v>12750</v>
      </c>
      <c r="I327" s="4" t="str">
        <f>VLOOKUP(B327,Customers!$A:$D,4,FALSE)</f>
        <v>Premium</v>
      </c>
      <c r="J327" s="4" t="s">
        <v>37</v>
      </c>
      <c r="K327" s="4" t="s">
        <v>36</v>
      </c>
    </row>
    <row r="328" spans="1:11" x14ac:dyDescent="0.2">
      <c r="A328" s="4">
        <v>5327</v>
      </c>
      <c r="B328" s="4">
        <v>1136</v>
      </c>
      <c r="C328" s="8">
        <v>46164</v>
      </c>
      <c r="D328" s="8">
        <v>46174</v>
      </c>
      <c r="E328" s="10">
        <f t="shared" si="5"/>
        <v>10</v>
      </c>
      <c r="F328" s="4" t="s">
        <v>22</v>
      </c>
      <c r="G328" s="4" t="s">
        <v>14</v>
      </c>
      <c r="H328" s="4">
        <v>15867</v>
      </c>
      <c r="I328" s="4" t="str">
        <f>VLOOKUP(B328,Customers!$A:$D,4,FALSE)</f>
        <v>Regular</v>
      </c>
      <c r="J328" s="4" t="s">
        <v>35</v>
      </c>
      <c r="K328" s="4" t="s">
        <v>36</v>
      </c>
    </row>
    <row r="329" spans="1:11" x14ac:dyDescent="0.2">
      <c r="A329" s="4">
        <v>5328</v>
      </c>
      <c r="B329" s="4">
        <v>1293</v>
      </c>
      <c r="C329" s="8">
        <v>46035</v>
      </c>
      <c r="D329" s="8">
        <v>46043</v>
      </c>
      <c r="E329" s="10">
        <f t="shared" si="5"/>
        <v>8</v>
      </c>
      <c r="F329" s="4" t="s">
        <v>25</v>
      </c>
      <c r="G329" s="4" t="s">
        <v>13</v>
      </c>
      <c r="H329" s="4">
        <v>3872</v>
      </c>
      <c r="I329" s="4" t="str">
        <f>VLOOKUP(B329,Customers!$A:$D,4,FALSE)</f>
        <v>Premium</v>
      </c>
      <c r="J329" s="4" t="s">
        <v>37</v>
      </c>
      <c r="K329" s="4" t="s">
        <v>36</v>
      </c>
    </row>
    <row r="330" spans="1:11" x14ac:dyDescent="0.2">
      <c r="A330" s="4">
        <v>5329</v>
      </c>
      <c r="B330" s="4">
        <v>1045</v>
      </c>
      <c r="C330" s="8">
        <v>46023</v>
      </c>
      <c r="D330" s="8">
        <v>46031</v>
      </c>
      <c r="E330" s="10">
        <f t="shared" si="5"/>
        <v>8</v>
      </c>
      <c r="F330" s="4" t="s">
        <v>22</v>
      </c>
      <c r="G330" s="4" t="s">
        <v>11</v>
      </c>
      <c r="H330" s="4">
        <v>31778</v>
      </c>
      <c r="I330" s="4" t="str">
        <f>VLOOKUP(B330,Customers!$A:$D,4,FALSE)</f>
        <v>Premium</v>
      </c>
      <c r="J330" s="4" t="s">
        <v>35</v>
      </c>
      <c r="K330" s="4" t="s">
        <v>36</v>
      </c>
    </row>
    <row r="331" spans="1:11" x14ac:dyDescent="0.2">
      <c r="A331" s="4">
        <v>5330</v>
      </c>
      <c r="B331" s="4">
        <v>1106</v>
      </c>
      <c r="C331" s="8">
        <v>46047</v>
      </c>
      <c r="D331" s="8">
        <v>46049</v>
      </c>
      <c r="E331" s="10">
        <f t="shared" si="5"/>
        <v>2</v>
      </c>
      <c r="F331" s="4" t="s">
        <v>18</v>
      </c>
      <c r="G331" s="4" t="s">
        <v>14</v>
      </c>
      <c r="H331" s="4">
        <v>5669</v>
      </c>
      <c r="I331" s="4" t="str">
        <f>VLOOKUP(B331,Customers!$A:$D,4,FALSE)</f>
        <v>Premium</v>
      </c>
      <c r="J331" s="4" t="s">
        <v>37</v>
      </c>
      <c r="K331" s="4" t="s">
        <v>36</v>
      </c>
    </row>
    <row r="332" spans="1:11" x14ac:dyDescent="0.2">
      <c r="A332" s="4">
        <v>5331</v>
      </c>
      <c r="B332" s="4">
        <v>1204</v>
      </c>
      <c r="C332" s="8">
        <v>46052</v>
      </c>
      <c r="D332" s="8">
        <v>46058</v>
      </c>
      <c r="E332" s="10">
        <f t="shared" si="5"/>
        <v>6</v>
      </c>
      <c r="F332" s="4" t="s">
        <v>25</v>
      </c>
      <c r="G332" s="4" t="s">
        <v>15</v>
      </c>
      <c r="H332" s="4">
        <v>43621</v>
      </c>
      <c r="I332" s="4" t="str">
        <f>VLOOKUP(B332,Customers!$A:$D,4,FALSE)</f>
        <v>Premium</v>
      </c>
      <c r="J332" s="4" t="s">
        <v>37</v>
      </c>
      <c r="K332" s="4" t="s">
        <v>36</v>
      </c>
    </row>
    <row r="333" spans="1:11" x14ac:dyDescent="0.2">
      <c r="A333" s="4">
        <v>5332</v>
      </c>
      <c r="B333" s="4">
        <v>1199</v>
      </c>
      <c r="C333" s="8">
        <v>46046</v>
      </c>
      <c r="D333" s="8">
        <v>46056</v>
      </c>
      <c r="E333" s="10">
        <f t="shared" si="5"/>
        <v>10</v>
      </c>
      <c r="F333" s="4" t="s">
        <v>18</v>
      </c>
      <c r="G333" s="4" t="s">
        <v>14</v>
      </c>
      <c r="H333" s="4">
        <v>25298</v>
      </c>
      <c r="I333" s="4" t="str">
        <f>VLOOKUP(B333,Customers!$A:$D,4,FALSE)</f>
        <v>Regular</v>
      </c>
      <c r="J333" s="4" t="s">
        <v>37</v>
      </c>
      <c r="K333" s="4" t="s">
        <v>36</v>
      </c>
    </row>
    <row r="334" spans="1:11" x14ac:dyDescent="0.2">
      <c r="A334" s="4">
        <v>5333</v>
      </c>
      <c r="B334" s="4">
        <v>1023</v>
      </c>
      <c r="C334" s="8">
        <v>46070</v>
      </c>
      <c r="D334" s="8">
        <v>46079</v>
      </c>
      <c r="E334" s="10">
        <f t="shared" si="5"/>
        <v>9</v>
      </c>
      <c r="F334" s="4" t="s">
        <v>22</v>
      </c>
      <c r="G334" s="4" t="s">
        <v>15</v>
      </c>
      <c r="H334" s="4">
        <v>30778</v>
      </c>
      <c r="I334" s="4" t="str">
        <f>VLOOKUP(B334,Customers!$A:$D,4,FALSE)</f>
        <v>Regular</v>
      </c>
      <c r="J334" s="4" t="s">
        <v>37</v>
      </c>
      <c r="K334" s="4" t="s">
        <v>36</v>
      </c>
    </row>
    <row r="335" spans="1:11" x14ac:dyDescent="0.2">
      <c r="A335" s="4">
        <v>5334</v>
      </c>
      <c r="B335" s="4">
        <v>1289</v>
      </c>
      <c r="C335" s="8">
        <v>46080</v>
      </c>
      <c r="D335" s="8">
        <v>46086</v>
      </c>
      <c r="E335" s="10">
        <f t="shared" si="5"/>
        <v>6</v>
      </c>
      <c r="F335" s="4" t="s">
        <v>20</v>
      </c>
      <c r="G335" s="4" t="s">
        <v>13</v>
      </c>
      <c r="H335" s="4">
        <v>49598</v>
      </c>
      <c r="I335" s="4" t="str">
        <f>VLOOKUP(B335,Customers!$A:$D,4,FALSE)</f>
        <v>Regular</v>
      </c>
      <c r="J335" s="4" t="s">
        <v>35</v>
      </c>
      <c r="K335" s="4" t="s">
        <v>36</v>
      </c>
    </row>
    <row r="336" spans="1:11" x14ac:dyDescent="0.2">
      <c r="A336" s="4">
        <v>5335</v>
      </c>
      <c r="B336" s="4">
        <v>1278</v>
      </c>
      <c r="C336" s="8">
        <v>46044</v>
      </c>
      <c r="D336" s="8">
        <v>46051</v>
      </c>
      <c r="E336" s="10">
        <f t="shared" si="5"/>
        <v>7</v>
      </c>
      <c r="F336" s="4" t="s">
        <v>21</v>
      </c>
      <c r="G336" s="4" t="s">
        <v>11</v>
      </c>
      <c r="H336" s="4">
        <v>15210</v>
      </c>
      <c r="I336" s="4" t="str">
        <f>VLOOKUP(B336,Customers!$A:$D,4,FALSE)</f>
        <v>Regular</v>
      </c>
      <c r="J336" s="4" t="s">
        <v>35</v>
      </c>
      <c r="K336" s="4" t="s">
        <v>36</v>
      </c>
    </row>
    <row r="337" spans="1:11" x14ac:dyDescent="0.2">
      <c r="A337" s="4">
        <v>5336</v>
      </c>
      <c r="B337" s="4">
        <v>1215</v>
      </c>
      <c r="C337" s="8">
        <v>46122</v>
      </c>
      <c r="D337" s="8">
        <v>46132</v>
      </c>
      <c r="E337" s="10">
        <f t="shared" si="5"/>
        <v>10</v>
      </c>
      <c r="F337" s="4" t="s">
        <v>25</v>
      </c>
      <c r="G337" s="4" t="s">
        <v>11</v>
      </c>
      <c r="H337" s="4">
        <v>15743</v>
      </c>
      <c r="I337" s="4" t="str">
        <f>VLOOKUP(B337,Customers!$A:$D,4,FALSE)</f>
        <v>Premium</v>
      </c>
      <c r="J337" s="4" t="s">
        <v>37</v>
      </c>
      <c r="K337" s="4" t="s">
        <v>36</v>
      </c>
    </row>
    <row r="338" spans="1:11" x14ac:dyDescent="0.2">
      <c r="A338" s="4">
        <v>5337</v>
      </c>
      <c r="B338" s="4">
        <v>1203</v>
      </c>
      <c r="C338" s="8">
        <v>46099</v>
      </c>
      <c r="D338" s="8">
        <v>46102</v>
      </c>
      <c r="E338" s="10">
        <f t="shared" si="5"/>
        <v>3</v>
      </c>
      <c r="F338" s="4" t="s">
        <v>20</v>
      </c>
      <c r="G338" s="4" t="s">
        <v>11</v>
      </c>
      <c r="H338" s="4">
        <v>37735</v>
      </c>
      <c r="I338" s="4" t="str">
        <f>VLOOKUP(B338,Customers!$A:$D,4,FALSE)</f>
        <v>Regular</v>
      </c>
      <c r="J338" s="4" t="s">
        <v>35</v>
      </c>
      <c r="K338" s="4" t="s">
        <v>36</v>
      </c>
    </row>
    <row r="339" spans="1:11" x14ac:dyDescent="0.2">
      <c r="A339" s="4">
        <v>5338</v>
      </c>
      <c r="B339" s="4">
        <v>1089</v>
      </c>
      <c r="C339" s="8">
        <v>46053</v>
      </c>
      <c r="D339" s="8">
        <v>46062</v>
      </c>
      <c r="E339" s="10">
        <f t="shared" si="5"/>
        <v>9</v>
      </c>
      <c r="F339" s="4" t="s">
        <v>18</v>
      </c>
      <c r="G339" s="4" t="s">
        <v>13</v>
      </c>
      <c r="H339" s="4">
        <v>12930</v>
      </c>
      <c r="I339" s="4" t="str">
        <f>VLOOKUP(B339,Customers!$A:$D,4,FALSE)</f>
        <v>Regular</v>
      </c>
      <c r="J339" s="4" t="s">
        <v>35</v>
      </c>
      <c r="K339" s="4" t="s">
        <v>36</v>
      </c>
    </row>
    <row r="340" spans="1:11" x14ac:dyDescent="0.2">
      <c r="A340" s="4">
        <v>5339</v>
      </c>
      <c r="B340" s="4">
        <v>1041</v>
      </c>
      <c r="C340" s="8">
        <v>46033</v>
      </c>
      <c r="D340" s="8">
        <v>46041</v>
      </c>
      <c r="E340" s="10">
        <f t="shared" si="5"/>
        <v>8</v>
      </c>
      <c r="F340" s="4" t="s">
        <v>21</v>
      </c>
      <c r="G340" s="4" t="s">
        <v>13</v>
      </c>
      <c r="H340" s="4">
        <v>41405</v>
      </c>
      <c r="I340" s="4" t="str">
        <f>VLOOKUP(B340,Customers!$A:$D,4,FALSE)</f>
        <v>Regular</v>
      </c>
      <c r="J340" s="4" t="s">
        <v>35</v>
      </c>
      <c r="K340" s="4" t="s">
        <v>36</v>
      </c>
    </row>
    <row r="341" spans="1:11" x14ac:dyDescent="0.2">
      <c r="A341" s="4">
        <v>5340</v>
      </c>
      <c r="B341" s="4">
        <v>1035</v>
      </c>
      <c r="C341" s="8">
        <v>46089</v>
      </c>
      <c r="D341" s="8">
        <v>46096</v>
      </c>
      <c r="E341" s="10">
        <f t="shared" si="5"/>
        <v>7</v>
      </c>
      <c r="F341" s="4" t="s">
        <v>23</v>
      </c>
      <c r="G341" s="4" t="s">
        <v>15</v>
      </c>
      <c r="H341" s="4">
        <v>36761</v>
      </c>
      <c r="I341" s="4" t="str">
        <f>VLOOKUP(B341,Customers!$A:$D,4,FALSE)</f>
        <v>Regular</v>
      </c>
      <c r="J341" s="4" t="s">
        <v>37</v>
      </c>
      <c r="K341" s="4" t="s">
        <v>36</v>
      </c>
    </row>
    <row r="342" spans="1:11" x14ac:dyDescent="0.2">
      <c r="A342" s="4">
        <v>5341</v>
      </c>
      <c r="B342" s="4">
        <v>1142</v>
      </c>
      <c r="C342" s="8">
        <v>46164</v>
      </c>
      <c r="D342" s="8">
        <v>46171</v>
      </c>
      <c r="E342" s="10">
        <f t="shared" si="5"/>
        <v>7</v>
      </c>
      <c r="F342" s="4" t="s">
        <v>25</v>
      </c>
      <c r="G342" s="4" t="s">
        <v>12</v>
      </c>
      <c r="H342" s="4">
        <v>46202</v>
      </c>
      <c r="I342" s="4" t="str">
        <f>VLOOKUP(B342,Customers!$A:$D,4,FALSE)</f>
        <v>Premium</v>
      </c>
      <c r="J342" s="4" t="s">
        <v>37</v>
      </c>
      <c r="K342" s="4" t="s">
        <v>36</v>
      </c>
    </row>
    <row r="343" spans="1:11" x14ac:dyDescent="0.2">
      <c r="A343" s="4">
        <v>5342</v>
      </c>
      <c r="B343" s="4">
        <v>1077</v>
      </c>
      <c r="C343" s="8">
        <v>46051</v>
      </c>
      <c r="D343" s="8">
        <v>46059</v>
      </c>
      <c r="E343" s="10">
        <f t="shared" si="5"/>
        <v>8</v>
      </c>
      <c r="F343" s="4" t="s">
        <v>18</v>
      </c>
      <c r="G343" s="4" t="s">
        <v>11</v>
      </c>
      <c r="H343" s="4">
        <v>38830</v>
      </c>
      <c r="I343" s="4" t="str">
        <f>VLOOKUP(B343,Customers!$A:$D,4,FALSE)</f>
        <v>Regular</v>
      </c>
      <c r="J343" s="4" t="s">
        <v>35</v>
      </c>
      <c r="K343" s="4" t="s">
        <v>36</v>
      </c>
    </row>
    <row r="344" spans="1:11" x14ac:dyDescent="0.2">
      <c r="A344" s="4">
        <v>5343</v>
      </c>
      <c r="B344" s="4">
        <v>1147</v>
      </c>
      <c r="C344" s="8">
        <v>46050</v>
      </c>
      <c r="D344" s="8">
        <v>46053</v>
      </c>
      <c r="E344" s="10">
        <f t="shared" si="5"/>
        <v>3</v>
      </c>
      <c r="F344" s="4" t="s">
        <v>19</v>
      </c>
      <c r="G344" s="4" t="s">
        <v>15</v>
      </c>
      <c r="H344" s="4">
        <v>17610</v>
      </c>
      <c r="I344" s="4" t="str">
        <f>VLOOKUP(B344,Customers!$A:$D,4,FALSE)</f>
        <v>Premium</v>
      </c>
      <c r="J344" s="4" t="s">
        <v>37</v>
      </c>
      <c r="K344" s="4" t="s">
        <v>36</v>
      </c>
    </row>
    <row r="345" spans="1:11" x14ac:dyDescent="0.2">
      <c r="A345" s="4">
        <v>5344</v>
      </c>
      <c r="B345" s="4">
        <v>1020</v>
      </c>
      <c r="C345" s="8">
        <v>46147</v>
      </c>
      <c r="D345" s="8">
        <v>46156</v>
      </c>
      <c r="E345" s="10">
        <f t="shared" si="5"/>
        <v>9</v>
      </c>
      <c r="F345" s="4" t="s">
        <v>18</v>
      </c>
      <c r="G345" s="4" t="s">
        <v>14</v>
      </c>
      <c r="H345" s="4">
        <v>26709</v>
      </c>
      <c r="I345" s="4" t="str">
        <f>VLOOKUP(B345,Customers!$A:$D,4,FALSE)</f>
        <v>Premium</v>
      </c>
      <c r="J345" s="4" t="s">
        <v>35</v>
      </c>
      <c r="K345" s="4" t="s">
        <v>36</v>
      </c>
    </row>
    <row r="346" spans="1:11" x14ac:dyDescent="0.2">
      <c r="A346" s="4">
        <v>5345</v>
      </c>
      <c r="B346" s="4">
        <v>1203</v>
      </c>
      <c r="C346" s="8">
        <v>46125</v>
      </c>
      <c r="D346" s="8">
        <v>46127</v>
      </c>
      <c r="E346" s="10">
        <f t="shared" si="5"/>
        <v>2</v>
      </c>
      <c r="F346" s="4" t="s">
        <v>19</v>
      </c>
      <c r="G346" s="4" t="s">
        <v>13</v>
      </c>
      <c r="H346" s="4">
        <v>3530</v>
      </c>
      <c r="I346" s="4" t="str">
        <f>VLOOKUP(B346,Customers!$A:$D,4,FALSE)</f>
        <v>Regular</v>
      </c>
      <c r="J346" s="4" t="s">
        <v>37</v>
      </c>
      <c r="K346" s="4" t="s">
        <v>36</v>
      </c>
    </row>
    <row r="347" spans="1:11" x14ac:dyDescent="0.2">
      <c r="A347" s="4">
        <v>5346</v>
      </c>
      <c r="B347" s="4">
        <v>1011</v>
      </c>
      <c r="C347" s="8">
        <v>46091</v>
      </c>
      <c r="D347" s="8">
        <v>46098</v>
      </c>
      <c r="E347" s="10">
        <f t="shared" si="5"/>
        <v>7</v>
      </c>
      <c r="F347" s="4" t="s">
        <v>19</v>
      </c>
      <c r="G347" s="4" t="s">
        <v>14</v>
      </c>
      <c r="H347" s="4">
        <v>20678</v>
      </c>
      <c r="I347" s="4" t="str">
        <f>VLOOKUP(B347,Customers!$A:$D,4,FALSE)</f>
        <v>Regular</v>
      </c>
      <c r="J347" s="4" t="s">
        <v>37</v>
      </c>
      <c r="K347" s="4" t="s">
        <v>36</v>
      </c>
    </row>
    <row r="348" spans="1:11" x14ac:dyDescent="0.2">
      <c r="A348" s="4">
        <v>5347</v>
      </c>
      <c r="B348" s="4">
        <v>1117</v>
      </c>
      <c r="C348" s="8">
        <v>46148</v>
      </c>
      <c r="D348" s="8">
        <v>46151</v>
      </c>
      <c r="E348" s="10">
        <f t="shared" si="5"/>
        <v>3</v>
      </c>
      <c r="F348" s="4" t="s">
        <v>18</v>
      </c>
      <c r="G348" s="4" t="s">
        <v>14</v>
      </c>
      <c r="H348" s="4">
        <v>49040</v>
      </c>
      <c r="I348" s="4" t="str">
        <f>VLOOKUP(B348,Customers!$A:$D,4,FALSE)</f>
        <v>Premium</v>
      </c>
      <c r="J348" s="4" t="s">
        <v>37</v>
      </c>
      <c r="K348" s="4" t="s">
        <v>36</v>
      </c>
    </row>
    <row r="349" spans="1:11" x14ac:dyDescent="0.2">
      <c r="A349" s="4">
        <v>5348</v>
      </c>
      <c r="B349" s="4">
        <v>1214</v>
      </c>
      <c r="C349" s="8">
        <v>46105</v>
      </c>
      <c r="D349" s="8">
        <v>46111</v>
      </c>
      <c r="E349" s="10">
        <f t="shared" si="5"/>
        <v>6</v>
      </c>
      <c r="F349" s="4" t="s">
        <v>23</v>
      </c>
      <c r="G349" s="4" t="s">
        <v>13</v>
      </c>
      <c r="H349" s="4">
        <v>29248</v>
      </c>
      <c r="I349" s="4" t="str">
        <f>VLOOKUP(B349,Customers!$A:$D,4,FALSE)</f>
        <v>Premium</v>
      </c>
      <c r="J349" s="4" t="s">
        <v>35</v>
      </c>
      <c r="K349" s="4" t="s">
        <v>36</v>
      </c>
    </row>
    <row r="350" spans="1:11" x14ac:dyDescent="0.2">
      <c r="A350" s="4">
        <v>5349</v>
      </c>
      <c r="B350" s="4">
        <v>1265</v>
      </c>
      <c r="C350" s="8">
        <v>46127</v>
      </c>
      <c r="D350" s="8">
        <v>46136</v>
      </c>
      <c r="E350" s="10">
        <f t="shared" si="5"/>
        <v>9</v>
      </c>
      <c r="F350" s="4" t="s">
        <v>19</v>
      </c>
      <c r="G350" s="4" t="s">
        <v>12</v>
      </c>
      <c r="H350" s="4">
        <v>34068</v>
      </c>
      <c r="I350" s="4" t="str">
        <f>VLOOKUP(B350,Customers!$A:$D,4,FALSE)</f>
        <v>Regular</v>
      </c>
      <c r="J350" s="4" t="s">
        <v>35</v>
      </c>
      <c r="K350" s="4" t="s">
        <v>36</v>
      </c>
    </row>
    <row r="351" spans="1:11" x14ac:dyDescent="0.2">
      <c r="A351" s="4">
        <v>5350</v>
      </c>
      <c r="B351" s="4">
        <v>1260</v>
      </c>
      <c r="C351" s="8">
        <v>46039</v>
      </c>
      <c r="D351" s="8">
        <v>46045</v>
      </c>
      <c r="E351" s="10">
        <f t="shared" si="5"/>
        <v>6</v>
      </c>
      <c r="F351" s="4" t="s">
        <v>21</v>
      </c>
      <c r="G351" s="4" t="s">
        <v>13</v>
      </c>
      <c r="H351" s="4">
        <v>34659</v>
      </c>
      <c r="I351" s="4" t="str">
        <f>VLOOKUP(B351,Customers!$A:$D,4,FALSE)</f>
        <v>Regular</v>
      </c>
      <c r="J351" s="4" t="s">
        <v>35</v>
      </c>
      <c r="K351" s="4" t="s">
        <v>36</v>
      </c>
    </row>
    <row r="352" spans="1:11" x14ac:dyDescent="0.2">
      <c r="A352" s="4">
        <v>5351</v>
      </c>
      <c r="B352" s="4">
        <v>1103</v>
      </c>
      <c r="C352" s="8">
        <v>46067</v>
      </c>
      <c r="D352" s="8">
        <v>46072</v>
      </c>
      <c r="E352" s="10">
        <f t="shared" si="5"/>
        <v>5</v>
      </c>
      <c r="F352" s="4" t="s">
        <v>20</v>
      </c>
      <c r="G352" s="4" t="s">
        <v>13</v>
      </c>
      <c r="H352" s="4">
        <v>2467</v>
      </c>
      <c r="I352" s="4" t="str">
        <f>VLOOKUP(B352,Customers!$A:$D,4,FALSE)</f>
        <v>Premium</v>
      </c>
      <c r="J352" s="4" t="s">
        <v>37</v>
      </c>
      <c r="K352" s="4" t="s">
        <v>36</v>
      </c>
    </row>
    <row r="353" spans="1:11" x14ac:dyDescent="0.2">
      <c r="A353" s="4">
        <v>5352</v>
      </c>
      <c r="B353" s="4">
        <v>1102</v>
      </c>
      <c r="C353" s="8">
        <v>46035</v>
      </c>
      <c r="D353" s="8">
        <v>46042</v>
      </c>
      <c r="E353" s="10">
        <f t="shared" si="5"/>
        <v>7</v>
      </c>
      <c r="F353" s="4" t="s">
        <v>22</v>
      </c>
      <c r="G353" s="4" t="s">
        <v>14</v>
      </c>
      <c r="H353" s="4">
        <v>30723</v>
      </c>
      <c r="I353" s="4" t="str">
        <f>VLOOKUP(B353,Customers!$A:$D,4,FALSE)</f>
        <v>Premium</v>
      </c>
      <c r="J353" s="4" t="s">
        <v>37</v>
      </c>
      <c r="K353" s="4" t="s">
        <v>36</v>
      </c>
    </row>
    <row r="354" spans="1:11" x14ac:dyDescent="0.2">
      <c r="A354" s="4">
        <v>5353</v>
      </c>
      <c r="B354" s="4">
        <v>1124</v>
      </c>
      <c r="C354" s="8">
        <v>46054</v>
      </c>
      <c r="D354" s="8">
        <v>46056</v>
      </c>
      <c r="E354" s="10">
        <f t="shared" si="5"/>
        <v>2</v>
      </c>
      <c r="F354" s="4" t="s">
        <v>19</v>
      </c>
      <c r="G354" s="4" t="s">
        <v>15</v>
      </c>
      <c r="H354" s="4">
        <v>39231</v>
      </c>
      <c r="I354" s="4" t="str">
        <f>VLOOKUP(B354,Customers!$A:$D,4,FALSE)</f>
        <v>Premium</v>
      </c>
      <c r="J354" s="4" t="s">
        <v>37</v>
      </c>
      <c r="K354" s="4" t="s">
        <v>36</v>
      </c>
    </row>
    <row r="355" spans="1:11" x14ac:dyDescent="0.2">
      <c r="A355" s="4">
        <v>5354</v>
      </c>
      <c r="B355" s="4">
        <v>1283</v>
      </c>
      <c r="C355" s="8">
        <v>46068</v>
      </c>
      <c r="D355" s="8">
        <v>46077</v>
      </c>
      <c r="E355" s="10">
        <f t="shared" si="5"/>
        <v>9</v>
      </c>
      <c r="F355" s="4" t="s">
        <v>19</v>
      </c>
      <c r="G355" s="4" t="s">
        <v>14</v>
      </c>
      <c r="H355" s="4">
        <v>11016</v>
      </c>
      <c r="I355" s="4" t="str">
        <f>VLOOKUP(B355,Customers!$A:$D,4,FALSE)</f>
        <v>Premium</v>
      </c>
      <c r="J355" s="4" t="s">
        <v>37</v>
      </c>
      <c r="K355" s="4" t="s">
        <v>36</v>
      </c>
    </row>
    <row r="356" spans="1:11" x14ac:dyDescent="0.2">
      <c r="A356" s="4">
        <v>5355</v>
      </c>
      <c r="B356" s="4">
        <v>1015</v>
      </c>
      <c r="C356" s="8">
        <v>46046</v>
      </c>
      <c r="D356" s="8">
        <v>46052</v>
      </c>
      <c r="E356" s="10">
        <f t="shared" si="5"/>
        <v>6</v>
      </c>
      <c r="F356" s="4" t="s">
        <v>21</v>
      </c>
      <c r="G356" s="4" t="s">
        <v>12</v>
      </c>
      <c r="H356" s="4">
        <v>10976</v>
      </c>
      <c r="I356" s="4" t="str">
        <f>VLOOKUP(B356,Customers!$A:$D,4,FALSE)</f>
        <v>Regular</v>
      </c>
      <c r="J356" s="4" t="s">
        <v>35</v>
      </c>
      <c r="K356" s="4" t="s">
        <v>36</v>
      </c>
    </row>
    <row r="357" spans="1:11" x14ac:dyDescent="0.2">
      <c r="A357" s="4">
        <v>5356</v>
      </c>
      <c r="B357" s="4">
        <v>1106</v>
      </c>
      <c r="C357" s="8">
        <v>46079</v>
      </c>
      <c r="D357" s="8">
        <v>46084</v>
      </c>
      <c r="E357" s="10">
        <f t="shared" si="5"/>
        <v>5</v>
      </c>
      <c r="F357" s="4" t="s">
        <v>22</v>
      </c>
      <c r="G357" s="4" t="s">
        <v>15</v>
      </c>
      <c r="H357" s="4">
        <v>33938</v>
      </c>
      <c r="I357" s="4" t="str">
        <f>VLOOKUP(B357,Customers!$A:$D,4,FALSE)</f>
        <v>Premium</v>
      </c>
      <c r="J357" s="4" t="s">
        <v>35</v>
      </c>
      <c r="K357" s="4" t="s">
        <v>36</v>
      </c>
    </row>
    <row r="358" spans="1:11" x14ac:dyDescent="0.2">
      <c r="A358" s="4">
        <v>5357</v>
      </c>
      <c r="B358" s="4">
        <v>1068</v>
      </c>
      <c r="C358" s="8">
        <v>46025</v>
      </c>
      <c r="D358" s="8">
        <v>46034</v>
      </c>
      <c r="E358" s="10">
        <f t="shared" si="5"/>
        <v>9</v>
      </c>
      <c r="F358" s="4" t="s">
        <v>18</v>
      </c>
      <c r="G358" s="4" t="s">
        <v>11</v>
      </c>
      <c r="H358" s="4">
        <v>854</v>
      </c>
      <c r="I358" s="4" t="str">
        <f>VLOOKUP(B358,Customers!$A:$D,4,FALSE)</f>
        <v>Premium</v>
      </c>
      <c r="J358" s="4" t="s">
        <v>35</v>
      </c>
      <c r="K358" s="4" t="s">
        <v>36</v>
      </c>
    </row>
    <row r="359" spans="1:11" x14ac:dyDescent="0.2">
      <c r="A359" s="4">
        <v>5358</v>
      </c>
      <c r="B359" s="4">
        <v>1141</v>
      </c>
      <c r="C359" s="8">
        <v>46087</v>
      </c>
      <c r="D359" s="8">
        <v>46093</v>
      </c>
      <c r="E359" s="10">
        <f t="shared" si="5"/>
        <v>6</v>
      </c>
      <c r="F359" s="4" t="s">
        <v>21</v>
      </c>
      <c r="G359" s="4" t="s">
        <v>15</v>
      </c>
      <c r="H359" s="4">
        <v>23153</v>
      </c>
      <c r="I359" s="4" t="str">
        <f>VLOOKUP(B359,Customers!$A:$D,4,FALSE)</f>
        <v>Premium</v>
      </c>
      <c r="J359" s="4" t="s">
        <v>37</v>
      </c>
      <c r="K359" s="4" t="s">
        <v>36</v>
      </c>
    </row>
    <row r="360" spans="1:11" x14ac:dyDescent="0.2">
      <c r="A360" s="4">
        <v>5359</v>
      </c>
      <c r="B360" s="4">
        <v>1239</v>
      </c>
      <c r="C360" s="8">
        <v>46087</v>
      </c>
      <c r="D360" s="8">
        <v>46092</v>
      </c>
      <c r="E360" s="10">
        <f t="shared" si="5"/>
        <v>5</v>
      </c>
      <c r="F360" s="4" t="s">
        <v>22</v>
      </c>
      <c r="G360" s="4" t="s">
        <v>11</v>
      </c>
      <c r="H360" s="4">
        <v>41168</v>
      </c>
      <c r="I360" s="4" t="str">
        <f>VLOOKUP(B360,Customers!$A:$D,4,FALSE)</f>
        <v>Premium</v>
      </c>
      <c r="J360" s="4" t="s">
        <v>37</v>
      </c>
      <c r="K360" s="4" t="s">
        <v>36</v>
      </c>
    </row>
    <row r="361" spans="1:11" x14ac:dyDescent="0.2">
      <c r="A361" s="4">
        <v>5360</v>
      </c>
      <c r="B361" s="4">
        <v>1004</v>
      </c>
      <c r="C361" s="8">
        <v>46172</v>
      </c>
      <c r="D361" s="8">
        <v>46175</v>
      </c>
      <c r="E361" s="10">
        <f t="shared" si="5"/>
        <v>3</v>
      </c>
      <c r="F361" s="4" t="s">
        <v>19</v>
      </c>
      <c r="G361" s="4" t="s">
        <v>11</v>
      </c>
      <c r="H361" s="4">
        <v>42724</v>
      </c>
      <c r="I361" s="4" t="str">
        <f>VLOOKUP(B361,Customers!$A:$D,4,FALSE)</f>
        <v>Regular</v>
      </c>
      <c r="J361" s="4" t="s">
        <v>37</v>
      </c>
      <c r="K361" s="4" t="s">
        <v>36</v>
      </c>
    </row>
    <row r="362" spans="1:11" x14ac:dyDescent="0.2">
      <c r="A362" s="4">
        <v>5361</v>
      </c>
      <c r="B362" s="4">
        <v>1247</v>
      </c>
      <c r="C362" s="8">
        <v>46099</v>
      </c>
      <c r="D362" s="8">
        <v>46102</v>
      </c>
      <c r="E362" s="10">
        <f t="shared" si="5"/>
        <v>3</v>
      </c>
      <c r="F362" s="4" t="s">
        <v>23</v>
      </c>
      <c r="G362" s="4" t="s">
        <v>14</v>
      </c>
      <c r="H362" s="4">
        <v>18419</v>
      </c>
      <c r="I362" s="4" t="str">
        <f>VLOOKUP(B362,Customers!$A:$D,4,FALSE)</f>
        <v>Regular</v>
      </c>
      <c r="J362" s="4" t="s">
        <v>37</v>
      </c>
      <c r="K362" s="4" t="s">
        <v>36</v>
      </c>
    </row>
    <row r="363" spans="1:11" x14ac:dyDescent="0.2">
      <c r="A363" s="4">
        <v>5362</v>
      </c>
      <c r="B363" s="4">
        <v>1153</v>
      </c>
      <c r="C363" s="8">
        <v>46093</v>
      </c>
      <c r="D363" s="8">
        <v>46099</v>
      </c>
      <c r="E363" s="10">
        <f t="shared" si="5"/>
        <v>6</v>
      </c>
      <c r="F363" s="4" t="s">
        <v>24</v>
      </c>
      <c r="G363" s="4" t="s">
        <v>13</v>
      </c>
      <c r="H363" s="4">
        <v>34201</v>
      </c>
      <c r="I363" s="4" t="str">
        <f>VLOOKUP(B363,Customers!$A:$D,4,FALSE)</f>
        <v>Regular</v>
      </c>
      <c r="J363" s="4" t="s">
        <v>35</v>
      </c>
      <c r="K363" s="4" t="s">
        <v>36</v>
      </c>
    </row>
    <row r="364" spans="1:11" x14ac:dyDescent="0.2">
      <c r="A364" s="4">
        <v>5363</v>
      </c>
      <c r="B364" s="4">
        <v>1164</v>
      </c>
      <c r="C364" s="8">
        <v>46037</v>
      </c>
      <c r="D364" s="8">
        <v>46045</v>
      </c>
      <c r="E364" s="10">
        <f t="shared" si="5"/>
        <v>8</v>
      </c>
      <c r="F364" s="4" t="s">
        <v>18</v>
      </c>
      <c r="G364" s="4" t="s">
        <v>12</v>
      </c>
      <c r="H364" s="4">
        <v>43252</v>
      </c>
      <c r="I364" s="4" t="str">
        <f>VLOOKUP(B364,Customers!$A:$D,4,FALSE)</f>
        <v>Premium</v>
      </c>
      <c r="J364" s="4" t="s">
        <v>37</v>
      </c>
      <c r="K364" s="4" t="s">
        <v>36</v>
      </c>
    </row>
    <row r="365" spans="1:11" x14ac:dyDescent="0.2">
      <c r="A365" s="4">
        <v>5364</v>
      </c>
      <c r="B365" s="4">
        <v>1215</v>
      </c>
      <c r="C365" s="8">
        <v>46098</v>
      </c>
      <c r="D365" s="8">
        <v>46104</v>
      </c>
      <c r="E365" s="10">
        <f t="shared" si="5"/>
        <v>6</v>
      </c>
      <c r="F365" s="4" t="s">
        <v>21</v>
      </c>
      <c r="G365" s="4" t="s">
        <v>15</v>
      </c>
      <c r="H365" s="4">
        <v>48582</v>
      </c>
      <c r="I365" s="4" t="str">
        <f>VLOOKUP(B365,Customers!$A:$D,4,FALSE)</f>
        <v>Premium</v>
      </c>
      <c r="J365" s="4" t="s">
        <v>35</v>
      </c>
      <c r="K365" s="4" t="s">
        <v>36</v>
      </c>
    </row>
    <row r="366" spans="1:11" x14ac:dyDescent="0.2">
      <c r="A366" s="4">
        <v>5365</v>
      </c>
      <c r="B366" s="4">
        <v>1176</v>
      </c>
      <c r="C366" s="8">
        <v>46172</v>
      </c>
      <c r="D366" s="8">
        <v>46177</v>
      </c>
      <c r="E366" s="10">
        <f t="shared" si="5"/>
        <v>5</v>
      </c>
      <c r="F366" s="4" t="s">
        <v>24</v>
      </c>
      <c r="G366" s="4" t="s">
        <v>11</v>
      </c>
      <c r="H366" s="4">
        <v>42132</v>
      </c>
      <c r="I366" s="4" t="str">
        <f>VLOOKUP(B366,Customers!$A:$D,4,FALSE)</f>
        <v>Premium</v>
      </c>
      <c r="J366" s="4" t="s">
        <v>37</v>
      </c>
      <c r="K366" s="4" t="s">
        <v>36</v>
      </c>
    </row>
    <row r="367" spans="1:11" x14ac:dyDescent="0.2">
      <c r="A367" s="4">
        <v>5366</v>
      </c>
      <c r="B367" s="4">
        <v>1154</v>
      </c>
      <c r="C367" s="8">
        <v>46114</v>
      </c>
      <c r="D367" s="8">
        <v>46124</v>
      </c>
      <c r="E367" s="10">
        <f t="shared" si="5"/>
        <v>10</v>
      </c>
      <c r="F367" s="4" t="s">
        <v>18</v>
      </c>
      <c r="G367" s="4" t="s">
        <v>11</v>
      </c>
      <c r="H367" s="4">
        <v>12170</v>
      </c>
      <c r="I367" s="4" t="str">
        <f>VLOOKUP(B367,Customers!$A:$D,4,FALSE)</f>
        <v>Regular</v>
      </c>
      <c r="J367" s="4" t="s">
        <v>37</v>
      </c>
      <c r="K367" s="4" t="s">
        <v>36</v>
      </c>
    </row>
    <row r="368" spans="1:11" x14ac:dyDescent="0.2">
      <c r="A368" s="4">
        <v>5367</v>
      </c>
      <c r="B368" s="4">
        <v>1066</v>
      </c>
      <c r="C368" s="8">
        <v>46047</v>
      </c>
      <c r="D368" s="8">
        <v>46056</v>
      </c>
      <c r="E368" s="10">
        <f t="shared" si="5"/>
        <v>9</v>
      </c>
      <c r="F368" s="4" t="s">
        <v>22</v>
      </c>
      <c r="G368" s="4" t="s">
        <v>11</v>
      </c>
      <c r="H368" s="4">
        <v>12297</v>
      </c>
      <c r="I368" s="4" t="str">
        <f>VLOOKUP(B368,Customers!$A:$D,4,FALSE)</f>
        <v>Regular</v>
      </c>
      <c r="J368" s="4" t="s">
        <v>37</v>
      </c>
      <c r="K368" s="4" t="s">
        <v>36</v>
      </c>
    </row>
    <row r="369" spans="1:11" x14ac:dyDescent="0.2">
      <c r="A369" s="4">
        <v>5368</v>
      </c>
      <c r="B369" s="4">
        <v>1182</v>
      </c>
      <c r="C369" s="8">
        <v>46045</v>
      </c>
      <c r="D369" s="8">
        <v>46050</v>
      </c>
      <c r="E369" s="10">
        <f t="shared" si="5"/>
        <v>5</v>
      </c>
      <c r="F369" s="4" t="s">
        <v>24</v>
      </c>
      <c r="G369" s="4" t="s">
        <v>14</v>
      </c>
      <c r="H369" s="4">
        <v>27856</v>
      </c>
      <c r="I369" s="4" t="str">
        <f>VLOOKUP(B369,Customers!$A:$D,4,FALSE)</f>
        <v>Regular</v>
      </c>
      <c r="J369" s="4" t="s">
        <v>37</v>
      </c>
      <c r="K369" s="4" t="s">
        <v>36</v>
      </c>
    </row>
    <row r="370" spans="1:11" x14ac:dyDescent="0.2">
      <c r="A370" s="4">
        <v>5369</v>
      </c>
      <c r="B370" s="4">
        <v>1300</v>
      </c>
      <c r="C370" s="8">
        <v>46118</v>
      </c>
      <c r="D370" s="8">
        <v>46124</v>
      </c>
      <c r="E370" s="10">
        <f t="shared" si="5"/>
        <v>6</v>
      </c>
      <c r="F370" s="4" t="s">
        <v>22</v>
      </c>
      <c r="G370" s="4" t="s">
        <v>15</v>
      </c>
      <c r="H370" s="4">
        <v>8018</v>
      </c>
      <c r="I370" s="4" t="str">
        <f>VLOOKUP(B370,Customers!$A:$D,4,FALSE)</f>
        <v>Regular</v>
      </c>
      <c r="J370" s="4" t="s">
        <v>37</v>
      </c>
      <c r="K370" s="4" t="s">
        <v>36</v>
      </c>
    </row>
    <row r="371" spans="1:11" x14ac:dyDescent="0.2">
      <c r="A371" s="4">
        <v>5370</v>
      </c>
      <c r="B371" s="4">
        <v>1242</v>
      </c>
      <c r="C371" s="8">
        <v>46036</v>
      </c>
      <c r="D371" s="8">
        <v>46039</v>
      </c>
      <c r="E371" s="10">
        <f t="shared" si="5"/>
        <v>3</v>
      </c>
      <c r="F371" s="4" t="s">
        <v>24</v>
      </c>
      <c r="G371" s="4" t="s">
        <v>11</v>
      </c>
      <c r="H371" s="4">
        <v>8152</v>
      </c>
      <c r="I371" s="4" t="str">
        <f>VLOOKUP(B371,Customers!$A:$D,4,FALSE)</f>
        <v>Premium</v>
      </c>
      <c r="J371" s="4" t="s">
        <v>37</v>
      </c>
      <c r="K371" s="4" t="s">
        <v>36</v>
      </c>
    </row>
    <row r="372" spans="1:11" x14ac:dyDescent="0.2">
      <c r="A372" s="4">
        <v>5371</v>
      </c>
      <c r="B372" s="4">
        <v>1212</v>
      </c>
      <c r="C372" s="8">
        <v>46158</v>
      </c>
      <c r="D372" s="8">
        <v>46164</v>
      </c>
      <c r="E372" s="10">
        <f t="shared" si="5"/>
        <v>6</v>
      </c>
      <c r="F372" s="4" t="s">
        <v>20</v>
      </c>
      <c r="G372" s="4" t="s">
        <v>13</v>
      </c>
      <c r="H372" s="4">
        <v>9302</v>
      </c>
      <c r="I372" s="4" t="str">
        <f>VLOOKUP(B372,Customers!$A:$D,4,FALSE)</f>
        <v>Premium</v>
      </c>
      <c r="J372" s="4" t="s">
        <v>35</v>
      </c>
      <c r="K372" s="4" t="s">
        <v>36</v>
      </c>
    </row>
    <row r="373" spans="1:11" x14ac:dyDescent="0.2">
      <c r="A373" s="4">
        <v>5372</v>
      </c>
      <c r="B373" s="4">
        <v>1292</v>
      </c>
      <c r="C373" s="8">
        <v>46110</v>
      </c>
      <c r="D373" s="8">
        <v>46118</v>
      </c>
      <c r="E373" s="10">
        <f t="shared" si="5"/>
        <v>8</v>
      </c>
      <c r="F373" s="4" t="s">
        <v>25</v>
      </c>
      <c r="G373" s="4" t="s">
        <v>13</v>
      </c>
      <c r="H373" s="4">
        <v>21034</v>
      </c>
      <c r="I373" s="4" t="str">
        <f>VLOOKUP(B373,Customers!$A:$D,4,FALSE)</f>
        <v>Regular</v>
      </c>
      <c r="J373" s="4" t="s">
        <v>35</v>
      </c>
      <c r="K373" s="4" t="s">
        <v>36</v>
      </c>
    </row>
    <row r="374" spans="1:11" x14ac:dyDescent="0.2">
      <c r="A374" s="4">
        <v>5373</v>
      </c>
      <c r="B374" s="4">
        <v>1171</v>
      </c>
      <c r="C374" s="8">
        <v>46043</v>
      </c>
      <c r="D374" s="8">
        <v>46052</v>
      </c>
      <c r="E374" s="10">
        <f t="shared" si="5"/>
        <v>9</v>
      </c>
      <c r="F374" s="4" t="s">
        <v>18</v>
      </c>
      <c r="G374" s="4" t="s">
        <v>14</v>
      </c>
      <c r="H374" s="4">
        <v>41882</v>
      </c>
      <c r="I374" s="4" t="str">
        <f>VLOOKUP(B374,Customers!$A:$D,4,FALSE)</f>
        <v>Premium</v>
      </c>
      <c r="J374" s="4" t="s">
        <v>35</v>
      </c>
      <c r="K374" s="4" t="s">
        <v>36</v>
      </c>
    </row>
    <row r="375" spans="1:11" x14ac:dyDescent="0.2">
      <c r="A375" s="4">
        <v>5374</v>
      </c>
      <c r="B375" s="4">
        <v>1141</v>
      </c>
      <c r="C375" s="8">
        <v>46024</v>
      </c>
      <c r="D375" s="8">
        <v>46033</v>
      </c>
      <c r="E375" s="10">
        <f t="shared" si="5"/>
        <v>9</v>
      </c>
      <c r="F375" s="4" t="s">
        <v>24</v>
      </c>
      <c r="G375" s="4" t="s">
        <v>13</v>
      </c>
      <c r="H375" s="4">
        <v>38067</v>
      </c>
      <c r="I375" s="4" t="str">
        <f>VLOOKUP(B375,Customers!$A:$D,4,FALSE)</f>
        <v>Premium</v>
      </c>
      <c r="J375" s="4" t="s">
        <v>35</v>
      </c>
      <c r="K375" s="4" t="s">
        <v>36</v>
      </c>
    </row>
    <row r="376" spans="1:11" x14ac:dyDescent="0.2">
      <c r="A376" s="4">
        <v>5375</v>
      </c>
      <c r="B376" s="4">
        <v>1067</v>
      </c>
      <c r="C376" s="8">
        <v>46148</v>
      </c>
      <c r="D376" s="8">
        <v>46151</v>
      </c>
      <c r="E376" s="10">
        <f t="shared" si="5"/>
        <v>3</v>
      </c>
      <c r="F376" s="4" t="s">
        <v>21</v>
      </c>
      <c r="G376" s="4" t="s">
        <v>15</v>
      </c>
      <c r="H376" s="4">
        <v>26736</v>
      </c>
      <c r="I376" s="4" t="str">
        <f>VLOOKUP(B376,Customers!$A:$D,4,FALSE)</f>
        <v>Regular</v>
      </c>
      <c r="J376" s="4" t="s">
        <v>37</v>
      </c>
      <c r="K376" s="4" t="s">
        <v>36</v>
      </c>
    </row>
    <row r="377" spans="1:11" x14ac:dyDescent="0.2">
      <c r="A377" s="4">
        <v>5376</v>
      </c>
      <c r="B377" s="4">
        <v>1003</v>
      </c>
      <c r="C377" s="8">
        <v>46145</v>
      </c>
      <c r="D377" s="8">
        <v>46153</v>
      </c>
      <c r="E377" s="10">
        <f t="shared" si="5"/>
        <v>8</v>
      </c>
      <c r="F377" s="4" t="s">
        <v>20</v>
      </c>
      <c r="G377" s="4" t="s">
        <v>11</v>
      </c>
      <c r="H377" s="4">
        <v>13368</v>
      </c>
      <c r="I377" s="4" t="str">
        <f>VLOOKUP(B377,Customers!$A:$D,4,FALSE)</f>
        <v>Premium</v>
      </c>
      <c r="J377" s="4" t="s">
        <v>37</v>
      </c>
      <c r="K377" s="4" t="s">
        <v>36</v>
      </c>
    </row>
    <row r="378" spans="1:11" x14ac:dyDescent="0.2">
      <c r="A378" s="4">
        <v>5377</v>
      </c>
      <c r="B378" s="4">
        <v>1272</v>
      </c>
      <c r="C378" s="8">
        <v>46026</v>
      </c>
      <c r="D378" s="8">
        <v>46033</v>
      </c>
      <c r="E378" s="10">
        <f t="shared" si="5"/>
        <v>7</v>
      </c>
      <c r="F378" s="4" t="s">
        <v>24</v>
      </c>
      <c r="G378" s="4" t="s">
        <v>12</v>
      </c>
      <c r="H378" s="4">
        <v>44651</v>
      </c>
      <c r="I378" s="4" t="str">
        <f>VLOOKUP(B378,Customers!$A:$D,4,FALSE)</f>
        <v>Premium</v>
      </c>
      <c r="J378" s="4" t="s">
        <v>35</v>
      </c>
      <c r="K378" s="4" t="s">
        <v>36</v>
      </c>
    </row>
    <row r="379" spans="1:11" x14ac:dyDescent="0.2">
      <c r="A379" s="4">
        <v>5378</v>
      </c>
      <c r="B379" s="4">
        <v>1177</v>
      </c>
      <c r="C379" s="8">
        <v>46086</v>
      </c>
      <c r="D379" s="8">
        <v>46091</v>
      </c>
      <c r="E379" s="10">
        <f t="shared" si="5"/>
        <v>5</v>
      </c>
      <c r="F379" s="4" t="s">
        <v>22</v>
      </c>
      <c r="G379" s="4" t="s">
        <v>13</v>
      </c>
      <c r="H379" s="4">
        <v>7031</v>
      </c>
      <c r="I379" s="4" t="str">
        <f>VLOOKUP(B379,Customers!$A:$D,4,FALSE)</f>
        <v>Premium</v>
      </c>
      <c r="J379" s="4" t="s">
        <v>37</v>
      </c>
      <c r="K379" s="4" t="s">
        <v>36</v>
      </c>
    </row>
    <row r="380" spans="1:11" x14ac:dyDescent="0.2">
      <c r="A380" s="4">
        <v>5379</v>
      </c>
      <c r="B380" s="4">
        <v>1086</v>
      </c>
      <c r="C380" s="8">
        <v>46151</v>
      </c>
      <c r="D380" s="8">
        <v>46157</v>
      </c>
      <c r="E380" s="10">
        <f t="shared" si="5"/>
        <v>6</v>
      </c>
      <c r="F380" s="4" t="s">
        <v>23</v>
      </c>
      <c r="G380" s="4" t="s">
        <v>12</v>
      </c>
      <c r="H380" s="4">
        <v>19842</v>
      </c>
      <c r="I380" s="4" t="str">
        <f>VLOOKUP(B380,Customers!$A:$D,4,FALSE)</f>
        <v>Premium</v>
      </c>
      <c r="J380" s="4" t="s">
        <v>37</v>
      </c>
      <c r="K380" s="4" t="s">
        <v>36</v>
      </c>
    </row>
    <row r="381" spans="1:11" x14ac:dyDescent="0.2">
      <c r="A381" s="4">
        <v>5380</v>
      </c>
      <c r="B381" s="4">
        <v>1269</v>
      </c>
      <c r="C381" s="8">
        <v>46139</v>
      </c>
      <c r="D381" s="8">
        <v>46149</v>
      </c>
      <c r="E381" s="10">
        <f t="shared" si="5"/>
        <v>10</v>
      </c>
      <c r="F381" s="4" t="s">
        <v>19</v>
      </c>
      <c r="G381" s="4" t="s">
        <v>15</v>
      </c>
      <c r="H381" s="4">
        <v>45308</v>
      </c>
      <c r="I381" s="4" t="str">
        <f>VLOOKUP(B381,Customers!$A:$D,4,FALSE)</f>
        <v>Premium</v>
      </c>
      <c r="J381" s="4" t="s">
        <v>35</v>
      </c>
      <c r="K381" s="4" t="s">
        <v>36</v>
      </c>
    </row>
    <row r="382" spans="1:11" x14ac:dyDescent="0.2">
      <c r="A382" s="4">
        <v>5381</v>
      </c>
      <c r="B382" s="4">
        <v>1184</v>
      </c>
      <c r="C382" s="8">
        <v>46110</v>
      </c>
      <c r="D382" s="8">
        <v>46119</v>
      </c>
      <c r="E382" s="10">
        <f t="shared" si="5"/>
        <v>9</v>
      </c>
      <c r="F382" s="4" t="s">
        <v>24</v>
      </c>
      <c r="G382" s="4" t="s">
        <v>13</v>
      </c>
      <c r="H382" s="4">
        <v>26736</v>
      </c>
      <c r="I382" s="4" t="str">
        <f>VLOOKUP(B382,Customers!$A:$D,4,FALSE)</f>
        <v>Premium</v>
      </c>
      <c r="J382" s="4" t="s">
        <v>35</v>
      </c>
      <c r="K382" s="4" t="s">
        <v>36</v>
      </c>
    </row>
    <row r="383" spans="1:11" x14ac:dyDescent="0.2">
      <c r="A383" s="4">
        <v>5382</v>
      </c>
      <c r="B383" s="4">
        <v>1068</v>
      </c>
      <c r="C383" s="8">
        <v>46081</v>
      </c>
      <c r="D383" s="8">
        <v>46086</v>
      </c>
      <c r="E383" s="10">
        <f t="shared" si="5"/>
        <v>5</v>
      </c>
      <c r="F383" s="4" t="s">
        <v>24</v>
      </c>
      <c r="G383" s="4" t="s">
        <v>12</v>
      </c>
      <c r="H383" s="4">
        <v>38946</v>
      </c>
      <c r="I383" s="4" t="str">
        <f>VLOOKUP(B383,Customers!$A:$D,4,FALSE)</f>
        <v>Premium</v>
      </c>
      <c r="J383" s="4" t="s">
        <v>35</v>
      </c>
      <c r="K383" s="4" t="s">
        <v>36</v>
      </c>
    </row>
    <row r="384" spans="1:11" x14ac:dyDescent="0.2">
      <c r="A384" s="4">
        <v>5383</v>
      </c>
      <c r="B384" s="4">
        <v>1020</v>
      </c>
      <c r="C384" s="8">
        <v>46054</v>
      </c>
      <c r="D384" s="8">
        <v>46061</v>
      </c>
      <c r="E384" s="10">
        <f t="shared" si="5"/>
        <v>7</v>
      </c>
      <c r="F384" s="4" t="s">
        <v>21</v>
      </c>
      <c r="G384" s="4" t="s">
        <v>14</v>
      </c>
      <c r="H384" s="4">
        <v>35344</v>
      </c>
      <c r="I384" s="4" t="str">
        <f>VLOOKUP(B384,Customers!$A:$D,4,FALSE)</f>
        <v>Premium</v>
      </c>
      <c r="J384" s="4" t="s">
        <v>35</v>
      </c>
      <c r="K384" s="4" t="s">
        <v>36</v>
      </c>
    </row>
    <row r="385" spans="1:11" x14ac:dyDescent="0.2">
      <c r="A385" s="4">
        <v>5384</v>
      </c>
      <c r="B385" s="4">
        <v>1011</v>
      </c>
      <c r="C385" s="8">
        <v>46035</v>
      </c>
      <c r="D385" s="8">
        <v>46038</v>
      </c>
      <c r="E385" s="10">
        <f t="shared" si="5"/>
        <v>3</v>
      </c>
      <c r="F385" s="4" t="s">
        <v>20</v>
      </c>
      <c r="G385" s="4" t="s">
        <v>12</v>
      </c>
      <c r="H385" s="4">
        <v>27613</v>
      </c>
      <c r="I385" s="4" t="str">
        <f>VLOOKUP(B385,Customers!$A:$D,4,FALSE)</f>
        <v>Regular</v>
      </c>
      <c r="J385" s="4" t="s">
        <v>37</v>
      </c>
      <c r="K385" s="4" t="s">
        <v>36</v>
      </c>
    </row>
    <row r="386" spans="1:11" x14ac:dyDescent="0.2">
      <c r="A386" s="4">
        <v>5385</v>
      </c>
      <c r="B386" s="4">
        <v>1281</v>
      </c>
      <c r="C386" s="8">
        <v>46120</v>
      </c>
      <c r="D386" s="8">
        <v>46123</v>
      </c>
      <c r="E386" s="10">
        <f t="shared" si="5"/>
        <v>3</v>
      </c>
      <c r="F386" s="4" t="s">
        <v>22</v>
      </c>
      <c r="G386" s="4" t="s">
        <v>15</v>
      </c>
      <c r="H386" s="4">
        <v>46297</v>
      </c>
      <c r="I386" s="4" t="str">
        <f>VLOOKUP(B386,Customers!$A:$D,4,FALSE)</f>
        <v>Premium</v>
      </c>
      <c r="J386" s="4" t="s">
        <v>35</v>
      </c>
      <c r="K386" s="4" t="s">
        <v>36</v>
      </c>
    </row>
    <row r="387" spans="1:11" x14ac:dyDescent="0.2">
      <c r="A387" s="4">
        <v>5386</v>
      </c>
      <c r="B387" s="4">
        <v>1155</v>
      </c>
      <c r="C387" s="8">
        <v>46075</v>
      </c>
      <c r="D387" s="8">
        <v>46077</v>
      </c>
      <c r="E387" s="10">
        <f t="shared" ref="E387:E450" si="6">D387-C387</f>
        <v>2</v>
      </c>
      <c r="F387" s="4" t="s">
        <v>21</v>
      </c>
      <c r="G387" s="4" t="s">
        <v>12</v>
      </c>
      <c r="H387" s="4">
        <v>43716</v>
      </c>
      <c r="I387" s="4" t="str">
        <f>VLOOKUP(B387,Customers!$A:$D,4,FALSE)</f>
        <v>Regular</v>
      </c>
      <c r="J387" s="4" t="s">
        <v>37</v>
      </c>
      <c r="K387" s="4" t="s">
        <v>36</v>
      </c>
    </row>
    <row r="388" spans="1:11" x14ac:dyDescent="0.2">
      <c r="A388" s="4">
        <v>5387</v>
      </c>
      <c r="B388" s="4">
        <v>1054</v>
      </c>
      <c r="C388" s="8">
        <v>46058</v>
      </c>
      <c r="D388" s="8">
        <v>46066</v>
      </c>
      <c r="E388" s="10">
        <f t="shared" si="6"/>
        <v>8</v>
      </c>
      <c r="F388" s="4" t="s">
        <v>23</v>
      </c>
      <c r="G388" s="4" t="s">
        <v>14</v>
      </c>
      <c r="H388" s="4">
        <v>7771</v>
      </c>
      <c r="I388" s="4" t="str">
        <f>VLOOKUP(B388,Customers!$A:$D,4,FALSE)</f>
        <v>Premium</v>
      </c>
      <c r="J388" s="4" t="s">
        <v>35</v>
      </c>
      <c r="K388" s="4" t="s">
        <v>36</v>
      </c>
    </row>
    <row r="389" spans="1:11" x14ac:dyDescent="0.2">
      <c r="A389" s="4">
        <v>5388</v>
      </c>
      <c r="B389" s="4">
        <v>1103</v>
      </c>
      <c r="C389" s="8">
        <v>46150</v>
      </c>
      <c r="D389" s="8">
        <v>46155</v>
      </c>
      <c r="E389" s="10">
        <f t="shared" si="6"/>
        <v>5</v>
      </c>
      <c r="F389" s="4" t="s">
        <v>22</v>
      </c>
      <c r="G389" s="4" t="s">
        <v>11</v>
      </c>
      <c r="H389" s="4">
        <v>13516</v>
      </c>
      <c r="I389" s="4" t="str">
        <f>VLOOKUP(B389,Customers!$A:$D,4,FALSE)</f>
        <v>Premium</v>
      </c>
      <c r="J389" s="4" t="s">
        <v>37</v>
      </c>
      <c r="K389" s="4" t="s">
        <v>36</v>
      </c>
    </row>
    <row r="390" spans="1:11" x14ac:dyDescent="0.2">
      <c r="A390" s="4">
        <v>5389</v>
      </c>
      <c r="B390" s="4">
        <v>1083</v>
      </c>
      <c r="C390" s="8">
        <v>46127</v>
      </c>
      <c r="D390" s="8">
        <v>46133</v>
      </c>
      <c r="E390" s="10">
        <f t="shared" si="6"/>
        <v>6</v>
      </c>
      <c r="F390" s="4" t="s">
        <v>20</v>
      </c>
      <c r="G390" s="4" t="s">
        <v>11</v>
      </c>
      <c r="H390" s="4">
        <v>32829</v>
      </c>
      <c r="I390" s="4" t="str">
        <f>VLOOKUP(B390,Customers!$A:$D,4,FALSE)</f>
        <v>Premium</v>
      </c>
      <c r="J390" s="4" t="s">
        <v>35</v>
      </c>
      <c r="K390" s="4" t="s">
        <v>36</v>
      </c>
    </row>
    <row r="391" spans="1:11" x14ac:dyDescent="0.2">
      <c r="A391" s="4">
        <v>5390</v>
      </c>
      <c r="B391" s="4">
        <v>1121</v>
      </c>
      <c r="C391" s="8">
        <v>46146</v>
      </c>
      <c r="D391" s="8">
        <v>46153</v>
      </c>
      <c r="E391" s="10">
        <f t="shared" si="6"/>
        <v>7</v>
      </c>
      <c r="F391" s="4" t="s">
        <v>20</v>
      </c>
      <c r="G391" s="4" t="s">
        <v>12</v>
      </c>
      <c r="H391" s="4">
        <v>44316</v>
      </c>
      <c r="I391" s="4" t="str">
        <f>VLOOKUP(B391,Customers!$A:$D,4,FALSE)</f>
        <v>Regular</v>
      </c>
      <c r="J391" s="4" t="s">
        <v>35</v>
      </c>
      <c r="K391" s="4" t="s">
        <v>36</v>
      </c>
    </row>
    <row r="392" spans="1:11" x14ac:dyDescent="0.2">
      <c r="A392" s="4">
        <v>5391</v>
      </c>
      <c r="B392" s="4">
        <v>1077</v>
      </c>
      <c r="C392" s="8">
        <v>46051</v>
      </c>
      <c r="D392" s="8">
        <v>46060</v>
      </c>
      <c r="E392" s="10">
        <f t="shared" si="6"/>
        <v>9</v>
      </c>
      <c r="F392" s="4" t="s">
        <v>23</v>
      </c>
      <c r="G392" s="4" t="s">
        <v>11</v>
      </c>
      <c r="H392" s="4">
        <v>5218</v>
      </c>
      <c r="I392" s="4" t="str">
        <f>VLOOKUP(B392,Customers!$A:$D,4,FALSE)</f>
        <v>Regular</v>
      </c>
      <c r="J392" s="4" t="s">
        <v>35</v>
      </c>
      <c r="K392" s="4" t="s">
        <v>36</v>
      </c>
    </row>
    <row r="393" spans="1:11" x14ac:dyDescent="0.2">
      <c r="A393" s="4">
        <v>5392</v>
      </c>
      <c r="B393" s="4">
        <v>1234</v>
      </c>
      <c r="C393" s="8">
        <v>46088</v>
      </c>
      <c r="D393" s="8">
        <v>46093</v>
      </c>
      <c r="E393" s="10">
        <f t="shared" si="6"/>
        <v>5</v>
      </c>
      <c r="F393" s="4" t="s">
        <v>22</v>
      </c>
      <c r="G393" s="4" t="s">
        <v>14</v>
      </c>
      <c r="H393" s="4">
        <v>30726</v>
      </c>
      <c r="I393" s="4" t="str">
        <f>VLOOKUP(B393,Customers!$A:$D,4,FALSE)</f>
        <v>Premium</v>
      </c>
      <c r="J393" s="4" t="s">
        <v>35</v>
      </c>
      <c r="K393" s="4" t="s">
        <v>36</v>
      </c>
    </row>
    <row r="394" spans="1:11" x14ac:dyDescent="0.2">
      <c r="A394" s="4">
        <v>5393</v>
      </c>
      <c r="B394" s="4">
        <v>1021</v>
      </c>
      <c r="C394" s="8">
        <v>46048</v>
      </c>
      <c r="D394" s="8">
        <v>46052</v>
      </c>
      <c r="E394" s="10">
        <f t="shared" si="6"/>
        <v>4</v>
      </c>
      <c r="F394" s="4" t="s">
        <v>22</v>
      </c>
      <c r="G394" s="4" t="s">
        <v>14</v>
      </c>
      <c r="H394" s="4">
        <v>44652</v>
      </c>
      <c r="I394" s="4" t="str">
        <f>VLOOKUP(B394,Customers!$A:$D,4,FALSE)</f>
        <v>Premium</v>
      </c>
      <c r="J394" s="4" t="s">
        <v>37</v>
      </c>
      <c r="K394" s="4" t="s">
        <v>36</v>
      </c>
    </row>
    <row r="395" spans="1:11" x14ac:dyDescent="0.2">
      <c r="A395" s="4">
        <v>5394</v>
      </c>
      <c r="B395" s="4">
        <v>1049</v>
      </c>
      <c r="C395" s="8">
        <v>46132</v>
      </c>
      <c r="D395" s="8">
        <v>46135</v>
      </c>
      <c r="E395" s="10">
        <f t="shared" si="6"/>
        <v>3</v>
      </c>
      <c r="F395" s="4" t="s">
        <v>20</v>
      </c>
      <c r="G395" s="4" t="s">
        <v>12</v>
      </c>
      <c r="H395" s="4">
        <v>9369</v>
      </c>
      <c r="I395" s="4" t="str">
        <f>VLOOKUP(B395,Customers!$A:$D,4,FALSE)</f>
        <v>Regular</v>
      </c>
      <c r="J395" s="4" t="s">
        <v>35</v>
      </c>
      <c r="K395" s="4" t="s">
        <v>36</v>
      </c>
    </row>
    <row r="396" spans="1:11" x14ac:dyDescent="0.2">
      <c r="A396" s="4">
        <v>5395</v>
      </c>
      <c r="B396" s="4">
        <v>1225</v>
      </c>
      <c r="C396" s="8">
        <v>46107</v>
      </c>
      <c r="D396" s="8">
        <v>46114</v>
      </c>
      <c r="E396" s="10">
        <f t="shared" si="6"/>
        <v>7</v>
      </c>
      <c r="F396" s="4" t="s">
        <v>22</v>
      </c>
      <c r="G396" s="4" t="s">
        <v>12</v>
      </c>
      <c r="H396" s="4">
        <v>24720</v>
      </c>
      <c r="I396" s="4" t="str">
        <f>VLOOKUP(B396,Customers!$A:$D,4,FALSE)</f>
        <v>Regular</v>
      </c>
      <c r="J396" s="4" t="s">
        <v>37</v>
      </c>
      <c r="K396" s="4" t="s">
        <v>36</v>
      </c>
    </row>
    <row r="397" spans="1:11" x14ac:dyDescent="0.2">
      <c r="A397" s="4">
        <v>5396</v>
      </c>
      <c r="B397" s="4">
        <v>1206</v>
      </c>
      <c r="C397" s="8">
        <v>46069</v>
      </c>
      <c r="D397" s="8">
        <v>46072</v>
      </c>
      <c r="E397" s="10">
        <f t="shared" si="6"/>
        <v>3</v>
      </c>
      <c r="F397" s="4" t="s">
        <v>21</v>
      </c>
      <c r="G397" s="4" t="s">
        <v>15</v>
      </c>
      <c r="H397" s="4">
        <v>18114</v>
      </c>
      <c r="I397" s="4" t="str">
        <f>VLOOKUP(B397,Customers!$A:$D,4,FALSE)</f>
        <v>Regular</v>
      </c>
      <c r="J397" s="4" t="s">
        <v>37</v>
      </c>
      <c r="K397" s="4" t="s">
        <v>36</v>
      </c>
    </row>
    <row r="398" spans="1:11" x14ac:dyDescent="0.2">
      <c r="A398" s="4">
        <v>5397</v>
      </c>
      <c r="B398" s="4">
        <v>1086</v>
      </c>
      <c r="C398" s="8">
        <v>46145</v>
      </c>
      <c r="D398" s="8">
        <v>46153</v>
      </c>
      <c r="E398" s="10">
        <f t="shared" si="6"/>
        <v>8</v>
      </c>
      <c r="F398" s="4" t="s">
        <v>23</v>
      </c>
      <c r="G398" s="4" t="s">
        <v>13</v>
      </c>
      <c r="H398" s="4">
        <v>45924</v>
      </c>
      <c r="I398" s="4" t="str">
        <f>VLOOKUP(B398,Customers!$A:$D,4,FALSE)</f>
        <v>Premium</v>
      </c>
      <c r="J398" s="4" t="s">
        <v>35</v>
      </c>
      <c r="K398" s="4" t="s">
        <v>36</v>
      </c>
    </row>
    <row r="399" spans="1:11" x14ac:dyDescent="0.2">
      <c r="A399" s="4">
        <v>5398</v>
      </c>
      <c r="B399" s="4">
        <v>1214</v>
      </c>
      <c r="C399" s="8">
        <v>46063</v>
      </c>
      <c r="D399" s="8">
        <v>46066</v>
      </c>
      <c r="E399" s="10">
        <f t="shared" si="6"/>
        <v>3</v>
      </c>
      <c r="F399" s="4" t="s">
        <v>25</v>
      </c>
      <c r="G399" s="4" t="s">
        <v>11</v>
      </c>
      <c r="H399" s="4">
        <v>44759</v>
      </c>
      <c r="I399" s="4" t="str">
        <f>VLOOKUP(B399,Customers!$A:$D,4,FALSE)</f>
        <v>Premium</v>
      </c>
      <c r="J399" s="4" t="s">
        <v>37</v>
      </c>
      <c r="K399" s="4" t="s">
        <v>36</v>
      </c>
    </row>
    <row r="400" spans="1:11" x14ac:dyDescent="0.2">
      <c r="A400" s="4">
        <v>5399</v>
      </c>
      <c r="B400" s="4">
        <v>1184</v>
      </c>
      <c r="C400" s="8">
        <v>46069</v>
      </c>
      <c r="D400" s="8">
        <v>46077</v>
      </c>
      <c r="E400" s="10">
        <f t="shared" si="6"/>
        <v>8</v>
      </c>
      <c r="F400" s="4" t="s">
        <v>20</v>
      </c>
      <c r="G400" s="4" t="s">
        <v>13</v>
      </c>
      <c r="H400" s="4">
        <v>31959</v>
      </c>
      <c r="I400" s="4" t="str">
        <f>VLOOKUP(B400,Customers!$A:$D,4,FALSE)</f>
        <v>Premium</v>
      </c>
      <c r="J400" s="4" t="s">
        <v>37</v>
      </c>
      <c r="K400" s="4" t="s">
        <v>36</v>
      </c>
    </row>
    <row r="401" spans="1:11" x14ac:dyDescent="0.2">
      <c r="A401" s="4">
        <v>5400</v>
      </c>
      <c r="B401" s="4">
        <v>1226</v>
      </c>
      <c r="C401" s="8">
        <v>46051</v>
      </c>
      <c r="D401" s="8">
        <v>46059</v>
      </c>
      <c r="E401" s="10">
        <f t="shared" si="6"/>
        <v>8</v>
      </c>
      <c r="F401" s="4" t="s">
        <v>20</v>
      </c>
      <c r="G401" s="4" t="s">
        <v>12</v>
      </c>
      <c r="H401" s="4">
        <v>17445</v>
      </c>
      <c r="I401" s="4" t="str">
        <f>VLOOKUP(B401,Customers!$A:$D,4,FALSE)</f>
        <v>Regular</v>
      </c>
      <c r="J401" s="4" t="s">
        <v>37</v>
      </c>
      <c r="K401" s="4" t="s">
        <v>36</v>
      </c>
    </row>
    <row r="402" spans="1:11" x14ac:dyDescent="0.2">
      <c r="A402" s="4">
        <v>5401</v>
      </c>
      <c r="B402" s="4">
        <v>1296</v>
      </c>
      <c r="C402" s="8">
        <v>46026</v>
      </c>
      <c r="D402" s="8">
        <v>46036</v>
      </c>
      <c r="E402" s="10">
        <f t="shared" si="6"/>
        <v>10</v>
      </c>
      <c r="F402" s="4" t="s">
        <v>24</v>
      </c>
      <c r="G402" s="4" t="s">
        <v>14</v>
      </c>
      <c r="H402" s="4">
        <v>34319</v>
      </c>
      <c r="I402" s="4" t="str">
        <f>VLOOKUP(B402,Customers!$A:$D,4,FALSE)</f>
        <v>Regular</v>
      </c>
      <c r="J402" s="4" t="s">
        <v>35</v>
      </c>
      <c r="K402" s="4" t="s">
        <v>36</v>
      </c>
    </row>
    <row r="403" spans="1:11" x14ac:dyDescent="0.2">
      <c r="A403" s="4">
        <v>5402</v>
      </c>
      <c r="B403" s="4">
        <v>1247</v>
      </c>
      <c r="C403" s="8">
        <v>46133</v>
      </c>
      <c r="D403" s="8">
        <v>46138</v>
      </c>
      <c r="E403" s="10">
        <f t="shared" si="6"/>
        <v>5</v>
      </c>
      <c r="F403" s="4" t="s">
        <v>19</v>
      </c>
      <c r="G403" s="4" t="s">
        <v>15</v>
      </c>
      <c r="H403" s="4">
        <v>10042</v>
      </c>
      <c r="I403" s="4" t="str">
        <f>VLOOKUP(B403,Customers!$A:$D,4,FALSE)</f>
        <v>Regular</v>
      </c>
      <c r="J403" s="4" t="s">
        <v>35</v>
      </c>
      <c r="K403" s="4" t="s">
        <v>36</v>
      </c>
    </row>
    <row r="404" spans="1:11" x14ac:dyDescent="0.2">
      <c r="A404" s="4">
        <v>5403</v>
      </c>
      <c r="B404" s="4">
        <v>1259</v>
      </c>
      <c r="C404" s="8">
        <v>46025</v>
      </c>
      <c r="D404" s="8">
        <v>46029</v>
      </c>
      <c r="E404" s="10">
        <f t="shared" si="6"/>
        <v>4</v>
      </c>
      <c r="F404" s="4" t="s">
        <v>25</v>
      </c>
      <c r="G404" s="4" t="s">
        <v>15</v>
      </c>
      <c r="H404" s="4">
        <v>11139</v>
      </c>
      <c r="I404" s="4" t="str">
        <f>VLOOKUP(B404,Customers!$A:$D,4,FALSE)</f>
        <v>Premium</v>
      </c>
      <c r="J404" s="4" t="s">
        <v>35</v>
      </c>
      <c r="K404" s="4" t="s">
        <v>36</v>
      </c>
    </row>
    <row r="405" spans="1:11" x14ac:dyDescent="0.2">
      <c r="A405" s="4">
        <v>5404</v>
      </c>
      <c r="B405" s="4">
        <v>1124</v>
      </c>
      <c r="C405" s="8">
        <v>46148</v>
      </c>
      <c r="D405" s="8">
        <v>46155</v>
      </c>
      <c r="E405" s="10">
        <f t="shared" si="6"/>
        <v>7</v>
      </c>
      <c r="F405" s="4" t="s">
        <v>19</v>
      </c>
      <c r="G405" s="4" t="s">
        <v>14</v>
      </c>
      <c r="H405" s="4">
        <v>3599</v>
      </c>
      <c r="I405" s="4" t="str">
        <f>VLOOKUP(B405,Customers!$A:$D,4,FALSE)</f>
        <v>Premium</v>
      </c>
      <c r="J405" s="4" t="s">
        <v>35</v>
      </c>
      <c r="K405" s="4" t="s">
        <v>36</v>
      </c>
    </row>
    <row r="406" spans="1:11" x14ac:dyDescent="0.2">
      <c r="A406" s="4">
        <v>5405</v>
      </c>
      <c r="B406" s="4">
        <v>1207</v>
      </c>
      <c r="C406" s="8">
        <v>46163</v>
      </c>
      <c r="D406" s="8">
        <v>46171</v>
      </c>
      <c r="E406" s="10">
        <f t="shared" si="6"/>
        <v>8</v>
      </c>
      <c r="F406" s="4" t="s">
        <v>24</v>
      </c>
      <c r="G406" s="4" t="s">
        <v>12</v>
      </c>
      <c r="H406" s="4">
        <v>30387</v>
      </c>
      <c r="I406" s="4" t="str">
        <f>VLOOKUP(B406,Customers!$A:$D,4,FALSE)</f>
        <v>Premium</v>
      </c>
      <c r="J406" s="4" t="s">
        <v>37</v>
      </c>
      <c r="K406" s="4" t="s">
        <v>36</v>
      </c>
    </row>
    <row r="407" spans="1:11" x14ac:dyDescent="0.2">
      <c r="A407" s="4">
        <v>5406</v>
      </c>
      <c r="B407" s="4">
        <v>1046</v>
      </c>
      <c r="C407" s="8">
        <v>46169</v>
      </c>
      <c r="D407" s="8">
        <v>46178</v>
      </c>
      <c r="E407" s="10">
        <f t="shared" si="6"/>
        <v>9</v>
      </c>
      <c r="F407" s="4" t="s">
        <v>25</v>
      </c>
      <c r="G407" s="4" t="s">
        <v>15</v>
      </c>
      <c r="H407" s="4">
        <v>21013</v>
      </c>
      <c r="I407" s="4" t="str">
        <f>VLOOKUP(B407,Customers!$A:$D,4,FALSE)</f>
        <v>Regular</v>
      </c>
      <c r="J407" s="4" t="s">
        <v>35</v>
      </c>
      <c r="K407" s="4" t="s">
        <v>36</v>
      </c>
    </row>
    <row r="408" spans="1:11" x14ac:dyDescent="0.2">
      <c r="A408" s="4">
        <v>5407</v>
      </c>
      <c r="B408" s="4">
        <v>1053</v>
      </c>
      <c r="C408" s="8">
        <v>46150</v>
      </c>
      <c r="D408" s="8">
        <v>46152</v>
      </c>
      <c r="E408" s="10">
        <f t="shared" si="6"/>
        <v>2</v>
      </c>
      <c r="F408" s="4" t="s">
        <v>21</v>
      </c>
      <c r="G408" s="4" t="s">
        <v>15</v>
      </c>
      <c r="H408" s="4">
        <v>2648</v>
      </c>
      <c r="I408" s="4" t="str">
        <f>VLOOKUP(B408,Customers!$A:$D,4,FALSE)</f>
        <v>Regular</v>
      </c>
      <c r="J408" s="4" t="s">
        <v>35</v>
      </c>
      <c r="K408" s="4" t="s">
        <v>36</v>
      </c>
    </row>
    <row r="409" spans="1:11" x14ac:dyDescent="0.2">
      <c r="A409" s="4">
        <v>5408</v>
      </c>
      <c r="B409" s="4">
        <v>1261</v>
      </c>
      <c r="C409" s="8">
        <v>46046</v>
      </c>
      <c r="D409" s="8">
        <v>46052</v>
      </c>
      <c r="E409" s="10">
        <f t="shared" si="6"/>
        <v>6</v>
      </c>
      <c r="F409" s="4" t="s">
        <v>24</v>
      </c>
      <c r="G409" s="4" t="s">
        <v>15</v>
      </c>
      <c r="H409" s="4">
        <v>22638</v>
      </c>
      <c r="I409" s="4" t="str">
        <f>VLOOKUP(B409,Customers!$A:$D,4,FALSE)</f>
        <v>Regular</v>
      </c>
      <c r="J409" s="4" t="s">
        <v>37</v>
      </c>
      <c r="K409" s="4" t="s">
        <v>36</v>
      </c>
    </row>
    <row r="410" spans="1:11" x14ac:dyDescent="0.2">
      <c r="A410" s="4">
        <v>5409</v>
      </c>
      <c r="B410" s="4">
        <v>1233</v>
      </c>
      <c r="C410" s="8">
        <v>46036</v>
      </c>
      <c r="D410" s="8">
        <v>46041</v>
      </c>
      <c r="E410" s="10">
        <f t="shared" si="6"/>
        <v>5</v>
      </c>
      <c r="F410" s="4" t="s">
        <v>19</v>
      </c>
      <c r="G410" s="4" t="s">
        <v>11</v>
      </c>
      <c r="H410" s="4">
        <v>40916</v>
      </c>
      <c r="I410" s="4" t="str">
        <f>VLOOKUP(B410,Customers!$A:$D,4,FALSE)</f>
        <v>Regular</v>
      </c>
      <c r="J410" s="4" t="s">
        <v>37</v>
      </c>
      <c r="K410" s="4" t="s">
        <v>36</v>
      </c>
    </row>
    <row r="411" spans="1:11" x14ac:dyDescent="0.2">
      <c r="A411" s="4">
        <v>5410</v>
      </c>
      <c r="B411" s="4">
        <v>1059</v>
      </c>
      <c r="C411" s="8">
        <v>46116</v>
      </c>
      <c r="D411" s="8">
        <v>46125</v>
      </c>
      <c r="E411" s="10">
        <f t="shared" si="6"/>
        <v>9</v>
      </c>
      <c r="F411" s="4" t="s">
        <v>23</v>
      </c>
      <c r="G411" s="4" t="s">
        <v>13</v>
      </c>
      <c r="H411" s="4">
        <v>443</v>
      </c>
      <c r="I411" s="4" t="str">
        <f>VLOOKUP(B411,Customers!$A:$D,4,FALSE)</f>
        <v>Premium</v>
      </c>
      <c r="J411" s="4" t="s">
        <v>37</v>
      </c>
      <c r="K411" s="4" t="s">
        <v>36</v>
      </c>
    </row>
    <row r="412" spans="1:11" x14ac:dyDescent="0.2">
      <c r="A412" s="4">
        <v>5411</v>
      </c>
      <c r="B412" s="4">
        <v>1281</v>
      </c>
      <c r="C412" s="8">
        <v>46113</v>
      </c>
      <c r="D412" s="8">
        <v>46119</v>
      </c>
      <c r="E412" s="10">
        <f t="shared" si="6"/>
        <v>6</v>
      </c>
      <c r="F412" s="4" t="s">
        <v>19</v>
      </c>
      <c r="G412" s="4" t="s">
        <v>12</v>
      </c>
      <c r="H412" s="4">
        <v>3300</v>
      </c>
      <c r="I412" s="4" t="str">
        <f>VLOOKUP(B412,Customers!$A:$D,4,FALSE)</f>
        <v>Premium</v>
      </c>
      <c r="J412" s="4" t="s">
        <v>35</v>
      </c>
      <c r="K412" s="4" t="s">
        <v>36</v>
      </c>
    </row>
    <row r="413" spans="1:11" x14ac:dyDescent="0.2">
      <c r="A413" s="4">
        <v>5412</v>
      </c>
      <c r="B413" s="4">
        <v>1210</v>
      </c>
      <c r="C413" s="8">
        <v>46149</v>
      </c>
      <c r="D413" s="8">
        <v>46153</v>
      </c>
      <c r="E413" s="10">
        <f t="shared" si="6"/>
        <v>4</v>
      </c>
      <c r="F413" s="4" t="s">
        <v>23</v>
      </c>
      <c r="G413" s="4" t="s">
        <v>14</v>
      </c>
      <c r="H413" s="4">
        <v>40332</v>
      </c>
      <c r="I413" s="4" t="str">
        <f>VLOOKUP(B413,Customers!$A:$D,4,FALSE)</f>
        <v>Premium</v>
      </c>
      <c r="J413" s="4" t="s">
        <v>35</v>
      </c>
      <c r="K413" s="4" t="s">
        <v>36</v>
      </c>
    </row>
    <row r="414" spans="1:11" x14ac:dyDescent="0.2">
      <c r="A414" s="4">
        <v>5413</v>
      </c>
      <c r="B414" s="4">
        <v>1202</v>
      </c>
      <c r="C414" s="8">
        <v>46071</v>
      </c>
      <c r="D414" s="8">
        <v>46074</v>
      </c>
      <c r="E414" s="10">
        <f t="shared" si="6"/>
        <v>3</v>
      </c>
      <c r="F414" s="4" t="s">
        <v>24</v>
      </c>
      <c r="G414" s="4" t="s">
        <v>15</v>
      </c>
      <c r="H414" s="4">
        <v>12789</v>
      </c>
      <c r="I414" s="4" t="str">
        <f>VLOOKUP(B414,Customers!$A:$D,4,FALSE)</f>
        <v>Premium</v>
      </c>
      <c r="J414" s="4" t="s">
        <v>37</v>
      </c>
      <c r="K414" s="4" t="s">
        <v>36</v>
      </c>
    </row>
    <row r="415" spans="1:11" x14ac:dyDescent="0.2">
      <c r="A415" s="4">
        <v>5414</v>
      </c>
      <c r="B415" s="4">
        <v>1024</v>
      </c>
      <c r="C415" s="8">
        <v>46050</v>
      </c>
      <c r="D415" s="8">
        <v>46058</v>
      </c>
      <c r="E415" s="10">
        <f t="shared" si="6"/>
        <v>8</v>
      </c>
      <c r="F415" s="4" t="s">
        <v>23</v>
      </c>
      <c r="G415" s="4" t="s">
        <v>15</v>
      </c>
      <c r="H415" s="4">
        <v>30275</v>
      </c>
      <c r="I415" s="4" t="str">
        <f>VLOOKUP(B415,Customers!$A:$D,4,FALSE)</f>
        <v>Premium</v>
      </c>
      <c r="J415" s="4" t="s">
        <v>35</v>
      </c>
      <c r="K415" s="4" t="s">
        <v>36</v>
      </c>
    </row>
    <row r="416" spans="1:11" x14ac:dyDescent="0.2">
      <c r="A416" s="4">
        <v>5415</v>
      </c>
      <c r="B416" s="4">
        <v>1272</v>
      </c>
      <c r="C416" s="8">
        <v>46150</v>
      </c>
      <c r="D416" s="8">
        <v>46152</v>
      </c>
      <c r="E416" s="10">
        <f t="shared" si="6"/>
        <v>2</v>
      </c>
      <c r="F416" s="4" t="s">
        <v>20</v>
      </c>
      <c r="G416" s="4" t="s">
        <v>11</v>
      </c>
      <c r="H416" s="4">
        <v>28664</v>
      </c>
      <c r="I416" s="4" t="str">
        <f>VLOOKUP(B416,Customers!$A:$D,4,FALSE)</f>
        <v>Premium</v>
      </c>
      <c r="J416" s="4" t="s">
        <v>37</v>
      </c>
      <c r="K416" s="4" t="s">
        <v>36</v>
      </c>
    </row>
    <row r="417" spans="1:11" x14ac:dyDescent="0.2">
      <c r="A417" s="4">
        <v>5416</v>
      </c>
      <c r="B417" s="4">
        <v>1297</v>
      </c>
      <c r="C417" s="8">
        <v>46153</v>
      </c>
      <c r="D417" s="8">
        <v>46157</v>
      </c>
      <c r="E417" s="10">
        <f t="shared" si="6"/>
        <v>4</v>
      </c>
      <c r="F417" s="4" t="s">
        <v>18</v>
      </c>
      <c r="G417" s="4" t="s">
        <v>13</v>
      </c>
      <c r="H417" s="4">
        <v>7086</v>
      </c>
      <c r="I417" s="4" t="str">
        <f>VLOOKUP(B417,Customers!$A:$D,4,FALSE)</f>
        <v>Premium</v>
      </c>
      <c r="J417" s="4" t="s">
        <v>37</v>
      </c>
      <c r="K417" s="4" t="s">
        <v>36</v>
      </c>
    </row>
    <row r="418" spans="1:11" x14ac:dyDescent="0.2">
      <c r="A418" s="4">
        <v>5417</v>
      </c>
      <c r="B418" s="4">
        <v>1197</v>
      </c>
      <c r="C418" s="8">
        <v>46105</v>
      </c>
      <c r="D418" s="8">
        <v>46115</v>
      </c>
      <c r="E418" s="10">
        <f t="shared" si="6"/>
        <v>10</v>
      </c>
      <c r="F418" s="4" t="s">
        <v>21</v>
      </c>
      <c r="G418" s="4" t="s">
        <v>11</v>
      </c>
      <c r="H418" s="4">
        <v>45684</v>
      </c>
      <c r="I418" s="4" t="str">
        <f>VLOOKUP(B418,Customers!$A:$D,4,FALSE)</f>
        <v>Regular</v>
      </c>
      <c r="J418" s="4" t="s">
        <v>35</v>
      </c>
      <c r="K418" s="4" t="s">
        <v>36</v>
      </c>
    </row>
    <row r="419" spans="1:11" x14ac:dyDescent="0.2">
      <c r="A419" s="4">
        <v>5418</v>
      </c>
      <c r="B419" s="4">
        <v>1176</v>
      </c>
      <c r="C419" s="8">
        <v>46093</v>
      </c>
      <c r="D419" s="8">
        <v>46101</v>
      </c>
      <c r="E419" s="10">
        <f t="shared" si="6"/>
        <v>8</v>
      </c>
      <c r="F419" s="4" t="s">
        <v>22</v>
      </c>
      <c r="G419" s="4" t="s">
        <v>15</v>
      </c>
      <c r="H419" s="4">
        <v>9040</v>
      </c>
      <c r="I419" s="4" t="str">
        <f>VLOOKUP(B419,Customers!$A:$D,4,FALSE)</f>
        <v>Premium</v>
      </c>
      <c r="J419" s="4" t="s">
        <v>35</v>
      </c>
      <c r="K419" s="4" t="s">
        <v>36</v>
      </c>
    </row>
    <row r="420" spans="1:11" x14ac:dyDescent="0.2">
      <c r="A420" s="4">
        <v>5419</v>
      </c>
      <c r="B420" s="4">
        <v>1154</v>
      </c>
      <c r="C420" s="8">
        <v>46128</v>
      </c>
      <c r="D420" s="8">
        <v>46138</v>
      </c>
      <c r="E420" s="10">
        <f t="shared" si="6"/>
        <v>10</v>
      </c>
      <c r="F420" s="4" t="s">
        <v>19</v>
      </c>
      <c r="G420" s="4" t="s">
        <v>11</v>
      </c>
      <c r="H420" s="4">
        <v>41756</v>
      </c>
      <c r="I420" s="4" t="str">
        <f>VLOOKUP(B420,Customers!$A:$D,4,FALSE)</f>
        <v>Regular</v>
      </c>
      <c r="J420" s="4" t="s">
        <v>35</v>
      </c>
      <c r="K420" s="4" t="s">
        <v>36</v>
      </c>
    </row>
    <row r="421" spans="1:11" x14ac:dyDescent="0.2">
      <c r="A421" s="4">
        <v>5420</v>
      </c>
      <c r="B421" s="4">
        <v>1149</v>
      </c>
      <c r="C421" s="8">
        <v>46074</v>
      </c>
      <c r="D421" s="8">
        <v>46079</v>
      </c>
      <c r="E421" s="10">
        <f t="shared" si="6"/>
        <v>5</v>
      </c>
      <c r="F421" s="4" t="s">
        <v>19</v>
      </c>
      <c r="G421" s="4" t="s">
        <v>13</v>
      </c>
      <c r="H421" s="4">
        <v>46856</v>
      </c>
      <c r="I421" s="4" t="str">
        <f>VLOOKUP(B421,Customers!$A:$D,4,FALSE)</f>
        <v>Premium</v>
      </c>
      <c r="J421" s="4" t="s">
        <v>35</v>
      </c>
      <c r="K421" s="4" t="s">
        <v>36</v>
      </c>
    </row>
    <row r="422" spans="1:11" x14ac:dyDescent="0.2">
      <c r="A422" s="4">
        <v>5421</v>
      </c>
      <c r="B422" s="4">
        <v>1166</v>
      </c>
      <c r="C422" s="8">
        <v>46151</v>
      </c>
      <c r="D422" s="8">
        <v>46161</v>
      </c>
      <c r="E422" s="10">
        <f t="shared" si="6"/>
        <v>10</v>
      </c>
      <c r="F422" s="4" t="s">
        <v>23</v>
      </c>
      <c r="G422" s="4" t="s">
        <v>14</v>
      </c>
      <c r="H422" s="4">
        <v>37149</v>
      </c>
      <c r="I422" s="4" t="str">
        <f>VLOOKUP(B422,Customers!$A:$D,4,FALSE)</f>
        <v>Premium</v>
      </c>
      <c r="J422" s="4" t="s">
        <v>37</v>
      </c>
      <c r="K422" s="4" t="s">
        <v>36</v>
      </c>
    </row>
    <row r="423" spans="1:11" x14ac:dyDescent="0.2">
      <c r="A423" s="4">
        <v>5422</v>
      </c>
      <c r="B423" s="4">
        <v>1274</v>
      </c>
      <c r="C423" s="8">
        <v>46172</v>
      </c>
      <c r="D423" s="8">
        <v>46180</v>
      </c>
      <c r="E423" s="10">
        <f t="shared" si="6"/>
        <v>8</v>
      </c>
      <c r="F423" s="4" t="s">
        <v>22</v>
      </c>
      <c r="G423" s="4" t="s">
        <v>15</v>
      </c>
      <c r="H423" s="4">
        <v>1136</v>
      </c>
      <c r="I423" s="4" t="str">
        <f>VLOOKUP(B423,Customers!$A:$D,4,FALSE)</f>
        <v>Regular</v>
      </c>
      <c r="J423" s="4" t="s">
        <v>35</v>
      </c>
      <c r="K423" s="4" t="s">
        <v>36</v>
      </c>
    </row>
    <row r="424" spans="1:11" x14ac:dyDescent="0.2">
      <c r="A424" s="4">
        <v>5423</v>
      </c>
      <c r="B424" s="4">
        <v>1075</v>
      </c>
      <c r="C424" s="8">
        <v>46029</v>
      </c>
      <c r="D424" s="8">
        <v>46037</v>
      </c>
      <c r="E424" s="10">
        <f t="shared" si="6"/>
        <v>8</v>
      </c>
      <c r="F424" s="4" t="s">
        <v>20</v>
      </c>
      <c r="G424" s="4" t="s">
        <v>12</v>
      </c>
      <c r="H424" s="4">
        <v>13400</v>
      </c>
      <c r="I424" s="4" t="str">
        <f>VLOOKUP(B424,Customers!$A:$D,4,FALSE)</f>
        <v>Premium</v>
      </c>
      <c r="J424" s="4" t="s">
        <v>37</v>
      </c>
      <c r="K424" s="4" t="s">
        <v>36</v>
      </c>
    </row>
    <row r="425" spans="1:11" x14ac:dyDescent="0.2">
      <c r="A425" s="4">
        <v>5424</v>
      </c>
      <c r="B425" s="4">
        <v>1129</v>
      </c>
      <c r="C425" s="8">
        <v>46064</v>
      </c>
      <c r="D425" s="8">
        <v>46070</v>
      </c>
      <c r="E425" s="10">
        <f t="shared" si="6"/>
        <v>6</v>
      </c>
      <c r="F425" s="4" t="s">
        <v>18</v>
      </c>
      <c r="G425" s="4" t="s">
        <v>12</v>
      </c>
      <c r="H425" s="4">
        <v>45558</v>
      </c>
      <c r="I425" s="4" t="str">
        <f>VLOOKUP(B425,Customers!$A:$D,4,FALSE)</f>
        <v>Premium</v>
      </c>
      <c r="J425" s="4" t="s">
        <v>37</v>
      </c>
      <c r="K425" s="4" t="s">
        <v>36</v>
      </c>
    </row>
    <row r="426" spans="1:11" x14ac:dyDescent="0.2">
      <c r="A426" s="4">
        <v>5425</v>
      </c>
      <c r="B426" s="4">
        <v>1017</v>
      </c>
      <c r="C426" s="8">
        <v>46075</v>
      </c>
      <c r="D426" s="8">
        <v>46085</v>
      </c>
      <c r="E426" s="10">
        <f t="shared" si="6"/>
        <v>10</v>
      </c>
      <c r="F426" s="4" t="s">
        <v>19</v>
      </c>
      <c r="G426" s="4" t="s">
        <v>15</v>
      </c>
      <c r="H426" s="4">
        <v>7016</v>
      </c>
      <c r="I426" s="4" t="str">
        <f>VLOOKUP(B426,Customers!$A:$D,4,FALSE)</f>
        <v>Regular</v>
      </c>
      <c r="J426" s="4" t="s">
        <v>35</v>
      </c>
      <c r="K426" s="4" t="s">
        <v>36</v>
      </c>
    </row>
    <row r="427" spans="1:11" x14ac:dyDescent="0.2">
      <c r="A427" s="4">
        <v>5426</v>
      </c>
      <c r="B427" s="4">
        <v>1122</v>
      </c>
      <c r="C427" s="8">
        <v>46166</v>
      </c>
      <c r="D427" s="8">
        <v>46174</v>
      </c>
      <c r="E427" s="10">
        <f t="shared" si="6"/>
        <v>8</v>
      </c>
      <c r="F427" s="4" t="s">
        <v>22</v>
      </c>
      <c r="G427" s="4" t="s">
        <v>12</v>
      </c>
      <c r="H427" s="4">
        <v>25307</v>
      </c>
      <c r="I427" s="4" t="str">
        <f>VLOOKUP(B427,Customers!$A:$D,4,FALSE)</f>
        <v>Regular</v>
      </c>
      <c r="J427" s="4" t="s">
        <v>37</v>
      </c>
      <c r="K427" s="4" t="s">
        <v>36</v>
      </c>
    </row>
    <row r="428" spans="1:11" x14ac:dyDescent="0.2">
      <c r="A428" s="4">
        <v>5427</v>
      </c>
      <c r="B428" s="4">
        <v>1283</v>
      </c>
      <c r="C428" s="8">
        <v>46129</v>
      </c>
      <c r="D428" s="8">
        <v>46136</v>
      </c>
      <c r="E428" s="10">
        <f t="shared" si="6"/>
        <v>7</v>
      </c>
      <c r="F428" s="4" t="s">
        <v>20</v>
      </c>
      <c r="G428" s="4" t="s">
        <v>12</v>
      </c>
      <c r="H428" s="4">
        <v>49037</v>
      </c>
      <c r="I428" s="4" t="str">
        <f>VLOOKUP(B428,Customers!$A:$D,4,FALSE)</f>
        <v>Premium</v>
      </c>
      <c r="J428" s="4" t="s">
        <v>37</v>
      </c>
      <c r="K428" s="4" t="s">
        <v>36</v>
      </c>
    </row>
    <row r="429" spans="1:11" x14ac:dyDescent="0.2">
      <c r="A429" s="4">
        <v>5428</v>
      </c>
      <c r="B429" s="4">
        <v>1116</v>
      </c>
      <c r="C429" s="8">
        <v>46074</v>
      </c>
      <c r="D429" s="8">
        <v>46083</v>
      </c>
      <c r="E429" s="10">
        <f t="shared" si="6"/>
        <v>9</v>
      </c>
      <c r="F429" s="4" t="s">
        <v>19</v>
      </c>
      <c r="G429" s="4" t="s">
        <v>11</v>
      </c>
      <c r="H429" s="4">
        <v>36122</v>
      </c>
      <c r="I429" s="4" t="str">
        <f>VLOOKUP(B429,Customers!$A:$D,4,FALSE)</f>
        <v>Premium</v>
      </c>
      <c r="J429" s="4" t="s">
        <v>35</v>
      </c>
      <c r="K429" s="4" t="s">
        <v>36</v>
      </c>
    </row>
    <row r="430" spans="1:11" x14ac:dyDescent="0.2">
      <c r="A430" s="4">
        <v>5429</v>
      </c>
      <c r="B430" s="4">
        <v>1230</v>
      </c>
      <c r="C430" s="8">
        <v>46072</v>
      </c>
      <c r="D430" s="8">
        <v>46078</v>
      </c>
      <c r="E430" s="10">
        <f t="shared" si="6"/>
        <v>6</v>
      </c>
      <c r="F430" s="4" t="s">
        <v>18</v>
      </c>
      <c r="G430" s="4" t="s">
        <v>12</v>
      </c>
      <c r="H430" s="4">
        <v>12553</v>
      </c>
      <c r="I430" s="4" t="str">
        <f>VLOOKUP(B430,Customers!$A:$D,4,FALSE)</f>
        <v>Premium</v>
      </c>
      <c r="J430" s="4" t="s">
        <v>35</v>
      </c>
      <c r="K430" s="4" t="s">
        <v>36</v>
      </c>
    </row>
    <row r="431" spans="1:11" x14ac:dyDescent="0.2">
      <c r="A431" s="4">
        <v>5430</v>
      </c>
      <c r="B431" s="4">
        <v>1194</v>
      </c>
      <c r="C431" s="8">
        <v>46154</v>
      </c>
      <c r="D431" s="8">
        <v>46157</v>
      </c>
      <c r="E431" s="10">
        <f t="shared" si="6"/>
        <v>3</v>
      </c>
      <c r="F431" s="4" t="s">
        <v>20</v>
      </c>
      <c r="G431" s="4" t="s">
        <v>15</v>
      </c>
      <c r="H431" s="4">
        <v>18591</v>
      </c>
      <c r="I431" s="4" t="str">
        <f>VLOOKUP(B431,Customers!$A:$D,4,FALSE)</f>
        <v>Regular</v>
      </c>
      <c r="J431" s="4" t="s">
        <v>37</v>
      </c>
      <c r="K431" s="4" t="s">
        <v>36</v>
      </c>
    </row>
    <row r="432" spans="1:11" x14ac:dyDescent="0.2">
      <c r="A432" s="4">
        <v>5431</v>
      </c>
      <c r="B432" s="4">
        <v>1300</v>
      </c>
      <c r="C432" s="8">
        <v>46056</v>
      </c>
      <c r="D432" s="8">
        <v>46060</v>
      </c>
      <c r="E432" s="10">
        <f t="shared" si="6"/>
        <v>4</v>
      </c>
      <c r="F432" s="4" t="s">
        <v>22</v>
      </c>
      <c r="G432" s="4" t="s">
        <v>12</v>
      </c>
      <c r="H432" s="4">
        <v>21963</v>
      </c>
      <c r="I432" s="4" t="str">
        <f>VLOOKUP(B432,Customers!$A:$D,4,FALSE)</f>
        <v>Regular</v>
      </c>
      <c r="J432" s="4" t="s">
        <v>37</v>
      </c>
      <c r="K432" s="4" t="s">
        <v>36</v>
      </c>
    </row>
    <row r="433" spans="1:11" x14ac:dyDescent="0.2">
      <c r="A433" s="4">
        <v>5432</v>
      </c>
      <c r="B433" s="4">
        <v>1079</v>
      </c>
      <c r="C433" s="8">
        <v>46062</v>
      </c>
      <c r="D433" s="8">
        <v>46064</v>
      </c>
      <c r="E433" s="10">
        <f t="shared" si="6"/>
        <v>2</v>
      </c>
      <c r="F433" s="4" t="s">
        <v>19</v>
      </c>
      <c r="G433" s="4" t="s">
        <v>11</v>
      </c>
      <c r="H433" s="4">
        <v>3632</v>
      </c>
      <c r="I433" s="4" t="str">
        <f>VLOOKUP(B433,Customers!$A:$D,4,FALSE)</f>
        <v>Premium</v>
      </c>
      <c r="J433" s="4" t="s">
        <v>37</v>
      </c>
      <c r="K433" s="4" t="s">
        <v>36</v>
      </c>
    </row>
    <row r="434" spans="1:11" x14ac:dyDescent="0.2">
      <c r="A434" s="4">
        <v>5433</v>
      </c>
      <c r="B434" s="4">
        <v>1184</v>
      </c>
      <c r="C434" s="8">
        <v>46148</v>
      </c>
      <c r="D434" s="8">
        <v>46158</v>
      </c>
      <c r="E434" s="10">
        <f t="shared" si="6"/>
        <v>10</v>
      </c>
      <c r="F434" s="4" t="s">
        <v>23</v>
      </c>
      <c r="G434" s="4" t="s">
        <v>14</v>
      </c>
      <c r="H434" s="4">
        <v>34732</v>
      </c>
      <c r="I434" s="4" t="str">
        <f>VLOOKUP(B434,Customers!$A:$D,4,FALSE)</f>
        <v>Premium</v>
      </c>
      <c r="J434" s="4" t="s">
        <v>35</v>
      </c>
      <c r="K434" s="4" t="s">
        <v>36</v>
      </c>
    </row>
    <row r="435" spans="1:11" x14ac:dyDescent="0.2">
      <c r="A435" s="4">
        <v>5434</v>
      </c>
      <c r="B435" s="4">
        <v>1035</v>
      </c>
      <c r="C435" s="8">
        <v>46070</v>
      </c>
      <c r="D435" s="8">
        <v>46080</v>
      </c>
      <c r="E435" s="10">
        <f t="shared" si="6"/>
        <v>10</v>
      </c>
      <c r="F435" s="4" t="s">
        <v>18</v>
      </c>
      <c r="G435" s="4" t="s">
        <v>15</v>
      </c>
      <c r="H435" s="4">
        <v>35891</v>
      </c>
      <c r="I435" s="4" t="str">
        <f>VLOOKUP(B435,Customers!$A:$D,4,FALSE)</f>
        <v>Regular</v>
      </c>
      <c r="J435" s="4" t="s">
        <v>37</v>
      </c>
      <c r="K435" s="4" t="s">
        <v>36</v>
      </c>
    </row>
    <row r="436" spans="1:11" x14ac:dyDescent="0.2">
      <c r="A436" s="4">
        <v>5435</v>
      </c>
      <c r="B436" s="4">
        <v>1114</v>
      </c>
      <c r="C436" s="8">
        <v>46046</v>
      </c>
      <c r="D436" s="8">
        <v>46053</v>
      </c>
      <c r="E436" s="10">
        <f t="shared" si="6"/>
        <v>7</v>
      </c>
      <c r="F436" s="4" t="s">
        <v>24</v>
      </c>
      <c r="G436" s="4" t="s">
        <v>14</v>
      </c>
      <c r="H436" s="4">
        <v>21996</v>
      </c>
      <c r="I436" s="4" t="str">
        <f>VLOOKUP(B436,Customers!$A:$D,4,FALSE)</f>
        <v>Regular</v>
      </c>
      <c r="J436" s="4" t="s">
        <v>37</v>
      </c>
      <c r="K436" s="4" t="s">
        <v>36</v>
      </c>
    </row>
    <row r="437" spans="1:11" x14ac:dyDescent="0.2">
      <c r="A437" s="4">
        <v>5436</v>
      </c>
      <c r="B437" s="4">
        <v>1272</v>
      </c>
      <c r="C437" s="8">
        <v>46098</v>
      </c>
      <c r="D437" s="8">
        <v>46103</v>
      </c>
      <c r="E437" s="10">
        <f t="shared" si="6"/>
        <v>5</v>
      </c>
      <c r="F437" s="4" t="s">
        <v>25</v>
      </c>
      <c r="G437" s="4" t="s">
        <v>11</v>
      </c>
      <c r="H437" s="4">
        <v>49591</v>
      </c>
      <c r="I437" s="4" t="str">
        <f>VLOOKUP(B437,Customers!$A:$D,4,FALSE)</f>
        <v>Premium</v>
      </c>
      <c r="J437" s="4" t="s">
        <v>35</v>
      </c>
      <c r="K437" s="4" t="s">
        <v>36</v>
      </c>
    </row>
    <row r="438" spans="1:11" x14ac:dyDescent="0.2">
      <c r="A438" s="4">
        <v>5437</v>
      </c>
      <c r="B438" s="4">
        <v>1229</v>
      </c>
      <c r="C438" s="8">
        <v>46052</v>
      </c>
      <c r="D438" s="8">
        <v>46059</v>
      </c>
      <c r="E438" s="10">
        <f t="shared" si="6"/>
        <v>7</v>
      </c>
      <c r="F438" s="4" t="s">
        <v>24</v>
      </c>
      <c r="G438" s="4" t="s">
        <v>11</v>
      </c>
      <c r="H438" s="4">
        <v>41006</v>
      </c>
      <c r="I438" s="4" t="str">
        <f>VLOOKUP(B438,Customers!$A:$D,4,FALSE)</f>
        <v>Premium</v>
      </c>
      <c r="J438" s="4" t="s">
        <v>35</v>
      </c>
      <c r="K438" s="4" t="s">
        <v>36</v>
      </c>
    </row>
    <row r="439" spans="1:11" x14ac:dyDescent="0.2">
      <c r="A439" s="4">
        <v>5438</v>
      </c>
      <c r="B439" s="4">
        <v>1196</v>
      </c>
      <c r="C439" s="8">
        <v>46033</v>
      </c>
      <c r="D439" s="8">
        <v>46040</v>
      </c>
      <c r="E439" s="10">
        <f t="shared" si="6"/>
        <v>7</v>
      </c>
      <c r="F439" s="4" t="s">
        <v>23</v>
      </c>
      <c r="G439" s="4" t="s">
        <v>15</v>
      </c>
      <c r="H439" s="4">
        <v>17115</v>
      </c>
      <c r="I439" s="4" t="str">
        <f>VLOOKUP(B439,Customers!$A:$D,4,FALSE)</f>
        <v>Premium</v>
      </c>
      <c r="J439" s="4" t="s">
        <v>37</v>
      </c>
      <c r="K439" s="4" t="s">
        <v>36</v>
      </c>
    </row>
    <row r="440" spans="1:11" x14ac:dyDescent="0.2">
      <c r="A440" s="4">
        <v>5439</v>
      </c>
      <c r="B440" s="4">
        <v>1192</v>
      </c>
      <c r="C440" s="8">
        <v>46029</v>
      </c>
      <c r="D440" s="8">
        <v>46039</v>
      </c>
      <c r="E440" s="10">
        <f t="shared" si="6"/>
        <v>10</v>
      </c>
      <c r="F440" s="4" t="s">
        <v>25</v>
      </c>
      <c r="G440" s="4" t="s">
        <v>15</v>
      </c>
      <c r="H440" s="4">
        <v>3173</v>
      </c>
      <c r="I440" s="4" t="str">
        <f>VLOOKUP(B440,Customers!$A:$D,4,FALSE)</f>
        <v>Regular</v>
      </c>
      <c r="J440" s="4" t="s">
        <v>37</v>
      </c>
      <c r="K440" s="4" t="s">
        <v>36</v>
      </c>
    </row>
    <row r="441" spans="1:11" x14ac:dyDescent="0.2">
      <c r="A441" s="4">
        <v>5440</v>
      </c>
      <c r="B441" s="4">
        <v>1264</v>
      </c>
      <c r="C441" s="8">
        <v>46072</v>
      </c>
      <c r="D441" s="8">
        <v>46079</v>
      </c>
      <c r="E441" s="10">
        <f t="shared" si="6"/>
        <v>7</v>
      </c>
      <c r="F441" s="4" t="s">
        <v>23</v>
      </c>
      <c r="G441" s="4" t="s">
        <v>12</v>
      </c>
      <c r="H441" s="4">
        <v>11270</v>
      </c>
      <c r="I441" s="4" t="str">
        <f>VLOOKUP(B441,Customers!$A:$D,4,FALSE)</f>
        <v>Premium</v>
      </c>
      <c r="J441" s="4" t="s">
        <v>35</v>
      </c>
      <c r="K441" s="4" t="s">
        <v>36</v>
      </c>
    </row>
    <row r="442" spans="1:11" x14ac:dyDescent="0.2">
      <c r="A442" s="4">
        <v>5441</v>
      </c>
      <c r="B442" s="4">
        <v>1110</v>
      </c>
      <c r="C442" s="8">
        <v>46039</v>
      </c>
      <c r="D442" s="8">
        <v>46044</v>
      </c>
      <c r="E442" s="10">
        <f t="shared" si="6"/>
        <v>5</v>
      </c>
      <c r="F442" s="4" t="s">
        <v>21</v>
      </c>
      <c r="G442" s="4" t="s">
        <v>12</v>
      </c>
      <c r="H442" s="4">
        <v>13772</v>
      </c>
      <c r="I442" s="4" t="str">
        <f>VLOOKUP(B442,Customers!$A:$D,4,FALSE)</f>
        <v>Premium</v>
      </c>
      <c r="J442" s="4" t="s">
        <v>37</v>
      </c>
      <c r="K442" s="4" t="s">
        <v>36</v>
      </c>
    </row>
    <row r="443" spans="1:11" x14ac:dyDescent="0.2">
      <c r="A443" s="4">
        <v>5442</v>
      </c>
      <c r="B443" s="4">
        <v>1013</v>
      </c>
      <c r="C443" s="8">
        <v>46041</v>
      </c>
      <c r="D443" s="8">
        <v>46045</v>
      </c>
      <c r="E443" s="10">
        <f t="shared" si="6"/>
        <v>4</v>
      </c>
      <c r="F443" s="4" t="s">
        <v>25</v>
      </c>
      <c r="G443" s="4" t="s">
        <v>14</v>
      </c>
      <c r="H443" s="4">
        <v>2782</v>
      </c>
      <c r="I443" s="4" t="str">
        <f>VLOOKUP(B443,Customers!$A:$D,4,FALSE)</f>
        <v>Premium</v>
      </c>
      <c r="J443" s="4" t="s">
        <v>35</v>
      </c>
      <c r="K443" s="4" t="s">
        <v>36</v>
      </c>
    </row>
    <row r="444" spans="1:11" x14ac:dyDescent="0.2">
      <c r="A444" s="4">
        <v>5443</v>
      </c>
      <c r="B444" s="4">
        <v>1092</v>
      </c>
      <c r="C444" s="8">
        <v>46041</v>
      </c>
      <c r="D444" s="8">
        <v>46043</v>
      </c>
      <c r="E444" s="10">
        <f t="shared" si="6"/>
        <v>2</v>
      </c>
      <c r="F444" s="4" t="s">
        <v>22</v>
      </c>
      <c r="G444" s="4" t="s">
        <v>11</v>
      </c>
      <c r="H444" s="4">
        <v>4916</v>
      </c>
      <c r="I444" s="4" t="str">
        <f>VLOOKUP(B444,Customers!$A:$D,4,FALSE)</f>
        <v>Premium</v>
      </c>
      <c r="J444" s="4" t="s">
        <v>35</v>
      </c>
      <c r="K444" s="4" t="s">
        <v>36</v>
      </c>
    </row>
    <row r="445" spans="1:11" x14ac:dyDescent="0.2">
      <c r="A445" s="4">
        <v>5444</v>
      </c>
      <c r="B445" s="4">
        <v>1199</v>
      </c>
      <c r="C445" s="8">
        <v>46089</v>
      </c>
      <c r="D445" s="8">
        <v>46097</v>
      </c>
      <c r="E445" s="10">
        <f t="shared" si="6"/>
        <v>8</v>
      </c>
      <c r="F445" s="4" t="s">
        <v>25</v>
      </c>
      <c r="G445" s="4" t="s">
        <v>15</v>
      </c>
      <c r="H445" s="4">
        <v>28678</v>
      </c>
      <c r="I445" s="4" t="str">
        <f>VLOOKUP(B445,Customers!$A:$D,4,FALSE)</f>
        <v>Regular</v>
      </c>
      <c r="J445" s="4" t="s">
        <v>37</v>
      </c>
      <c r="K445" s="4" t="s">
        <v>36</v>
      </c>
    </row>
    <row r="446" spans="1:11" x14ac:dyDescent="0.2">
      <c r="A446" s="4">
        <v>5445</v>
      </c>
      <c r="B446" s="4">
        <v>1061</v>
      </c>
      <c r="C446" s="8">
        <v>46027</v>
      </c>
      <c r="D446" s="8">
        <v>46035</v>
      </c>
      <c r="E446" s="10">
        <f t="shared" si="6"/>
        <v>8</v>
      </c>
      <c r="F446" s="4" t="s">
        <v>20</v>
      </c>
      <c r="G446" s="4" t="s">
        <v>11</v>
      </c>
      <c r="H446" s="4">
        <v>4444</v>
      </c>
      <c r="I446" s="4" t="str">
        <f>VLOOKUP(B446,Customers!$A:$D,4,FALSE)</f>
        <v>Regular</v>
      </c>
      <c r="J446" s="4" t="s">
        <v>35</v>
      </c>
      <c r="K446" s="4" t="s">
        <v>36</v>
      </c>
    </row>
    <row r="447" spans="1:11" x14ac:dyDescent="0.2">
      <c r="A447" s="4">
        <v>5446</v>
      </c>
      <c r="B447" s="4">
        <v>1258</v>
      </c>
      <c r="C447" s="8">
        <v>46041</v>
      </c>
      <c r="D447" s="8">
        <v>46048</v>
      </c>
      <c r="E447" s="10">
        <f t="shared" si="6"/>
        <v>7</v>
      </c>
      <c r="F447" s="4" t="s">
        <v>23</v>
      </c>
      <c r="G447" s="4" t="s">
        <v>14</v>
      </c>
      <c r="H447" s="4">
        <v>45249</v>
      </c>
      <c r="I447" s="4" t="str">
        <f>VLOOKUP(B447,Customers!$A:$D,4,FALSE)</f>
        <v>Regular</v>
      </c>
      <c r="J447" s="4" t="s">
        <v>37</v>
      </c>
      <c r="K447" s="4" t="s">
        <v>36</v>
      </c>
    </row>
    <row r="448" spans="1:11" x14ac:dyDescent="0.2">
      <c r="A448" s="4">
        <v>5447</v>
      </c>
      <c r="B448" s="4">
        <v>1225</v>
      </c>
      <c r="C448" s="8">
        <v>46045</v>
      </c>
      <c r="D448" s="8">
        <v>46051</v>
      </c>
      <c r="E448" s="10">
        <f t="shared" si="6"/>
        <v>6</v>
      </c>
      <c r="F448" s="4" t="s">
        <v>21</v>
      </c>
      <c r="G448" s="4" t="s">
        <v>15</v>
      </c>
      <c r="H448" s="4">
        <v>43601</v>
      </c>
      <c r="I448" s="4" t="str">
        <f>VLOOKUP(B448,Customers!$A:$D,4,FALSE)</f>
        <v>Regular</v>
      </c>
      <c r="J448" s="4" t="s">
        <v>35</v>
      </c>
      <c r="K448" s="4" t="s">
        <v>36</v>
      </c>
    </row>
    <row r="449" spans="1:11" x14ac:dyDescent="0.2">
      <c r="A449" s="4">
        <v>5448</v>
      </c>
      <c r="B449" s="4">
        <v>1274</v>
      </c>
      <c r="C449" s="8">
        <v>46144</v>
      </c>
      <c r="D449" s="8">
        <v>46148</v>
      </c>
      <c r="E449" s="10">
        <f t="shared" si="6"/>
        <v>4</v>
      </c>
      <c r="F449" s="4" t="s">
        <v>24</v>
      </c>
      <c r="G449" s="4" t="s">
        <v>13</v>
      </c>
      <c r="H449" s="4">
        <v>49239</v>
      </c>
      <c r="I449" s="4" t="str">
        <f>VLOOKUP(B449,Customers!$A:$D,4,FALSE)</f>
        <v>Regular</v>
      </c>
      <c r="J449" s="4" t="s">
        <v>37</v>
      </c>
      <c r="K449" s="4" t="s">
        <v>36</v>
      </c>
    </row>
    <row r="450" spans="1:11" x14ac:dyDescent="0.2">
      <c r="A450" s="4">
        <v>5449</v>
      </c>
      <c r="B450" s="4">
        <v>1074</v>
      </c>
      <c r="C450" s="8">
        <v>46162</v>
      </c>
      <c r="D450" s="8">
        <v>46168</v>
      </c>
      <c r="E450" s="10">
        <f t="shared" si="6"/>
        <v>6</v>
      </c>
      <c r="F450" s="4" t="s">
        <v>22</v>
      </c>
      <c r="G450" s="4" t="s">
        <v>14</v>
      </c>
      <c r="H450" s="4">
        <v>1030</v>
      </c>
      <c r="I450" s="4" t="str">
        <f>VLOOKUP(B450,Customers!$A:$D,4,FALSE)</f>
        <v>Regular</v>
      </c>
      <c r="J450" s="4" t="s">
        <v>35</v>
      </c>
      <c r="K450" s="4" t="s">
        <v>36</v>
      </c>
    </row>
    <row r="451" spans="1:11" x14ac:dyDescent="0.2">
      <c r="A451" s="4">
        <v>5450</v>
      </c>
      <c r="B451" s="4">
        <v>1003</v>
      </c>
      <c r="C451" s="8">
        <v>46054</v>
      </c>
      <c r="D451" s="8">
        <v>46056</v>
      </c>
      <c r="E451" s="10">
        <f t="shared" ref="E451:E514" si="7">D451-C451</f>
        <v>2</v>
      </c>
      <c r="F451" s="4" t="s">
        <v>21</v>
      </c>
      <c r="G451" s="4" t="s">
        <v>11</v>
      </c>
      <c r="H451" s="4">
        <v>36182</v>
      </c>
      <c r="I451" s="4" t="str">
        <f>VLOOKUP(B451,Customers!$A:$D,4,FALSE)</f>
        <v>Premium</v>
      </c>
      <c r="J451" s="4" t="s">
        <v>35</v>
      </c>
      <c r="K451" s="4" t="s">
        <v>36</v>
      </c>
    </row>
    <row r="452" spans="1:11" x14ac:dyDescent="0.2">
      <c r="A452" s="4">
        <v>5451</v>
      </c>
      <c r="B452" s="4">
        <v>1177</v>
      </c>
      <c r="C452" s="8">
        <v>46101</v>
      </c>
      <c r="D452" s="8">
        <v>46106</v>
      </c>
      <c r="E452" s="10">
        <f t="shared" si="7"/>
        <v>5</v>
      </c>
      <c r="F452" s="4" t="s">
        <v>24</v>
      </c>
      <c r="G452" s="4" t="s">
        <v>15</v>
      </c>
      <c r="H452" s="4">
        <v>42631</v>
      </c>
      <c r="I452" s="4" t="str">
        <f>VLOOKUP(B452,Customers!$A:$D,4,FALSE)</f>
        <v>Premium</v>
      </c>
      <c r="J452" s="4" t="s">
        <v>35</v>
      </c>
      <c r="K452" s="4" t="s">
        <v>36</v>
      </c>
    </row>
    <row r="453" spans="1:11" x14ac:dyDescent="0.2">
      <c r="A453" s="4">
        <v>5452</v>
      </c>
      <c r="B453" s="4">
        <v>1114</v>
      </c>
      <c r="C453" s="8">
        <v>46064</v>
      </c>
      <c r="D453" s="8">
        <v>46068</v>
      </c>
      <c r="E453" s="10">
        <f t="shared" si="7"/>
        <v>4</v>
      </c>
      <c r="F453" s="4" t="s">
        <v>22</v>
      </c>
      <c r="G453" s="4" t="s">
        <v>13</v>
      </c>
      <c r="H453" s="4">
        <v>7811</v>
      </c>
      <c r="I453" s="4" t="str">
        <f>VLOOKUP(B453,Customers!$A:$D,4,FALSE)</f>
        <v>Regular</v>
      </c>
      <c r="J453" s="4" t="s">
        <v>35</v>
      </c>
      <c r="K453" s="4" t="s">
        <v>36</v>
      </c>
    </row>
    <row r="454" spans="1:11" x14ac:dyDescent="0.2">
      <c r="A454" s="4">
        <v>5453</v>
      </c>
      <c r="B454" s="4">
        <v>1282</v>
      </c>
      <c r="C454" s="8">
        <v>46168</v>
      </c>
      <c r="D454" s="8">
        <v>46170</v>
      </c>
      <c r="E454" s="10">
        <f t="shared" si="7"/>
        <v>2</v>
      </c>
      <c r="F454" s="4" t="s">
        <v>25</v>
      </c>
      <c r="G454" s="4" t="s">
        <v>11</v>
      </c>
      <c r="H454" s="4">
        <v>5093</v>
      </c>
      <c r="I454" s="4" t="str">
        <f>VLOOKUP(B454,Customers!$A:$D,4,FALSE)</f>
        <v>Regular</v>
      </c>
      <c r="J454" s="4" t="s">
        <v>37</v>
      </c>
      <c r="K454" s="4" t="s">
        <v>36</v>
      </c>
    </row>
    <row r="455" spans="1:11" x14ac:dyDescent="0.2">
      <c r="A455" s="4">
        <v>5454</v>
      </c>
      <c r="B455" s="4">
        <v>1051</v>
      </c>
      <c r="C455" s="8">
        <v>46040</v>
      </c>
      <c r="D455" s="8">
        <v>46046</v>
      </c>
      <c r="E455" s="10">
        <f t="shared" si="7"/>
        <v>6</v>
      </c>
      <c r="F455" s="4" t="s">
        <v>24</v>
      </c>
      <c r="G455" s="4" t="s">
        <v>11</v>
      </c>
      <c r="H455" s="4">
        <v>32228</v>
      </c>
      <c r="I455" s="4" t="str">
        <f>VLOOKUP(B455,Customers!$A:$D,4,FALSE)</f>
        <v>Premium</v>
      </c>
      <c r="J455" s="4" t="s">
        <v>37</v>
      </c>
      <c r="K455" s="4" t="s">
        <v>36</v>
      </c>
    </row>
    <row r="456" spans="1:11" x14ac:dyDescent="0.2">
      <c r="A456" s="4">
        <v>5455</v>
      </c>
      <c r="B456" s="4">
        <v>1121</v>
      </c>
      <c r="C456" s="8">
        <v>46114</v>
      </c>
      <c r="D456" s="8">
        <v>46118</v>
      </c>
      <c r="E456" s="10">
        <f t="shared" si="7"/>
        <v>4</v>
      </c>
      <c r="F456" s="4" t="s">
        <v>23</v>
      </c>
      <c r="G456" s="4" t="s">
        <v>14</v>
      </c>
      <c r="H456" s="4">
        <v>40900</v>
      </c>
      <c r="I456" s="4" t="str">
        <f>VLOOKUP(B456,Customers!$A:$D,4,FALSE)</f>
        <v>Regular</v>
      </c>
      <c r="J456" s="4" t="s">
        <v>35</v>
      </c>
      <c r="K456" s="4" t="s">
        <v>36</v>
      </c>
    </row>
    <row r="457" spans="1:11" x14ac:dyDescent="0.2">
      <c r="A457" s="4">
        <v>5456</v>
      </c>
      <c r="B457" s="4">
        <v>1249</v>
      </c>
      <c r="C457" s="8">
        <v>46072</v>
      </c>
      <c r="D457" s="8">
        <v>46079</v>
      </c>
      <c r="E457" s="10">
        <f t="shared" si="7"/>
        <v>7</v>
      </c>
      <c r="F457" s="4" t="s">
        <v>25</v>
      </c>
      <c r="G457" s="4" t="s">
        <v>14</v>
      </c>
      <c r="H457" s="4">
        <v>40692</v>
      </c>
      <c r="I457" s="4" t="str">
        <f>VLOOKUP(B457,Customers!$A:$D,4,FALSE)</f>
        <v>Regular</v>
      </c>
      <c r="J457" s="4" t="s">
        <v>37</v>
      </c>
      <c r="K457" s="4" t="s">
        <v>36</v>
      </c>
    </row>
    <row r="458" spans="1:11" x14ac:dyDescent="0.2">
      <c r="A458" s="4">
        <v>5457</v>
      </c>
      <c r="B458" s="4">
        <v>1290</v>
      </c>
      <c r="C458" s="8">
        <v>46172</v>
      </c>
      <c r="D458" s="8">
        <v>46176</v>
      </c>
      <c r="E458" s="10">
        <f t="shared" si="7"/>
        <v>4</v>
      </c>
      <c r="F458" s="4" t="s">
        <v>19</v>
      </c>
      <c r="G458" s="4" t="s">
        <v>14</v>
      </c>
      <c r="H458" s="4">
        <v>28369</v>
      </c>
      <c r="I458" s="4" t="str">
        <f>VLOOKUP(B458,Customers!$A:$D,4,FALSE)</f>
        <v>Regular</v>
      </c>
      <c r="J458" s="4" t="s">
        <v>35</v>
      </c>
      <c r="K458" s="4" t="s">
        <v>36</v>
      </c>
    </row>
    <row r="459" spans="1:11" x14ac:dyDescent="0.2">
      <c r="A459" s="4">
        <v>5458</v>
      </c>
      <c r="B459" s="4">
        <v>1127</v>
      </c>
      <c r="C459" s="8">
        <v>46024</v>
      </c>
      <c r="D459" s="8">
        <v>46031</v>
      </c>
      <c r="E459" s="10">
        <f t="shared" si="7"/>
        <v>7</v>
      </c>
      <c r="F459" s="4" t="s">
        <v>24</v>
      </c>
      <c r="G459" s="4" t="s">
        <v>15</v>
      </c>
      <c r="H459" s="4">
        <v>18432</v>
      </c>
      <c r="I459" s="4" t="str">
        <f>VLOOKUP(B459,Customers!$A:$D,4,FALSE)</f>
        <v>Regular</v>
      </c>
      <c r="J459" s="4" t="s">
        <v>37</v>
      </c>
      <c r="K459" s="4" t="s">
        <v>36</v>
      </c>
    </row>
    <row r="460" spans="1:11" x14ac:dyDescent="0.2">
      <c r="A460" s="4">
        <v>5459</v>
      </c>
      <c r="B460" s="4">
        <v>1246</v>
      </c>
      <c r="C460" s="8">
        <v>46057</v>
      </c>
      <c r="D460" s="8">
        <v>46064</v>
      </c>
      <c r="E460" s="10">
        <f t="shared" si="7"/>
        <v>7</v>
      </c>
      <c r="F460" s="4" t="s">
        <v>25</v>
      </c>
      <c r="G460" s="4" t="s">
        <v>15</v>
      </c>
      <c r="H460" s="4">
        <v>23810</v>
      </c>
      <c r="I460" s="4" t="str">
        <f>VLOOKUP(B460,Customers!$A:$D,4,FALSE)</f>
        <v>Premium</v>
      </c>
      <c r="J460" s="4" t="s">
        <v>37</v>
      </c>
      <c r="K460" s="4" t="s">
        <v>36</v>
      </c>
    </row>
    <row r="461" spans="1:11" x14ac:dyDescent="0.2">
      <c r="A461" s="4">
        <v>5460</v>
      </c>
      <c r="B461" s="4">
        <v>1056</v>
      </c>
      <c r="C461" s="8">
        <v>46147</v>
      </c>
      <c r="D461" s="8">
        <v>46157</v>
      </c>
      <c r="E461" s="10">
        <f t="shared" si="7"/>
        <v>10</v>
      </c>
      <c r="F461" s="4" t="s">
        <v>18</v>
      </c>
      <c r="G461" s="4" t="s">
        <v>11</v>
      </c>
      <c r="H461" s="4">
        <v>5672</v>
      </c>
      <c r="I461" s="4" t="str">
        <f>VLOOKUP(B461,Customers!$A:$D,4,FALSE)</f>
        <v>Regular</v>
      </c>
      <c r="J461" s="4" t="s">
        <v>37</v>
      </c>
      <c r="K461" s="4" t="s">
        <v>36</v>
      </c>
    </row>
    <row r="462" spans="1:11" x14ac:dyDescent="0.2">
      <c r="A462" s="4">
        <v>5461</v>
      </c>
      <c r="B462" s="4">
        <v>1101</v>
      </c>
      <c r="C462" s="8">
        <v>46058</v>
      </c>
      <c r="D462" s="8">
        <v>46068</v>
      </c>
      <c r="E462" s="10">
        <f t="shared" si="7"/>
        <v>10</v>
      </c>
      <c r="F462" s="4" t="s">
        <v>22</v>
      </c>
      <c r="G462" s="4" t="s">
        <v>12</v>
      </c>
      <c r="H462" s="4">
        <v>47972</v>
      </c>
      <c r="I462" s="4" t="str">
        <f>VLOOKUP(B462,Customers!$A:$D,4,FALSE)</f>
        <v>Premium</v>
      </c>
      <c r="J462" s="4" t="s">
        <v>35</v>
      </c>
      <c r="K462" s="4" t="s">
        <v>36</v>
      </c>
    </row>
    <row r="463" spans="1:11" x14ac:dyDescent="0.2">
      <c r="A463" s="4">
        <v>5462</v>
      </c>
      <c r="B463" s="4">
        <v>1016</v>
      </c>
      <c r="C463" s="8">
        <v>46027</v>
      </c>
      <c r="D463" s="8">
        <v>46037</v>
      </c>
      <c r="E463" s="10">
        <f t="shared" si="7"/>
        <v>10</v>
      </c>
      <c r="F463" s="4" t="s">
        <v>21</v>
      </c>
      <c r="G463" s="4" t="s">
        <v>11</v>
      </c>
      <c r="H463" s="4">
        <v>14243</v>
      </c>
      <c r="I463" s="4" t="str">
        <f>VLOOKUP(B463,Customers!$A:$D,4,FALSE)</f>
        <v>Premium</v>
      </c>
      <c r="J463" s="4" t="s">
        <v>35</v>
      </c>
      <c r="K463" s="4" t="s">
        <v>36</v>
      </c>
    </row>
    <row r="464" spans="1:11" x14ac:dyDescent="0.2">
      <c r="A464" s="4">
        <v>5463</v>
      </c>
      <c r="B464" s="4">
        <v>1279</v>
      </c>
      <c r="C464" s="8">
        <v>46164</v>
      </c>
      <c r="D464" s="8">
        <v>46170</v>
      </c>
      <c r="E464" s="10">
        <f t="shared" si="7"/>
        <v>6</v>
      </c>
      <c r="F464" s="4" t="s">
        <v>25</v>
      </c>
      <c r="G464" s="4" t="s">
        <v>13</v>
      </c>
      <c r="H464" s="4">
        <v>24274</v>
      </c>
      <c r="I464" s="4" t="str">
        <f>VLOOKUP(B464,Customers!$A:$D,4,FALSE)</f>
        <v>Premium</v>
      </c>
      <c r="J464" s="4" t="s">
        <v>37</v>
      </c>
      <c r="K464" s="4" t="s">
        <v>36</v>
      </c>
    </row>
    <row r="465" spans="1:11" x14ac:dyDescent="0.2">
      <c r="A465" s="4">
        <v>5464</v>
      </c>
      <c r="B465" s="4">
        <v>1069</v>
      </c>
      <c r="C465" s="8">
        <v>46080</v>
      </c>
      <c r="D465" s="8">
        <v>46086</v>
      </c>
      <c r="E465" s="10">
        <f t="shared" si="7"/>
        <v>6</v>
      </c>
      <c r="F465" s="4" t="s">
        <v>25</v>
      </c>
      <c r="G465" s="4" t="s">
        <v>11</v>
      </c>
      <c r="H465" s="4">
        <v>33750</v>
      </c>
      <c r="I465" s="4" t="str">
        <f>VLOOKUP(B465,Customers!$A:$D,4,FALSE)</f>
        <v>Regular</v>
      </c>
      <c r="J465" s="4" t="s">
        <v>35</v>
      </c>
      <c r="K465" s="4" t="s">
        <v>36</v>
      </c>
    </row>
    <row r="466" spans="1:11" x14ac:dyDescent="0.2">
      <c r="A466" s="4">
        <v>5465</v>
      </c>
      <c r="B466" s="4">
        <v>1258</v>
      </c>
      <c r="C466" s="8">
        <v>46124</v>
      </c>
      <c r="D466" s="8">
        <v>46131</v>
      </c>
      <c r="E466" s="10">
        <f t="shared" si="7"/>
        <v>7</v>
      </c>
      <c r="F466" s="4" t="s">
        <v>20</v>
      </c>
      <c r="G466" s="4" t="s">
        <v>13</v>
      </c>
      <c r="H466" s="4">
        <v>40541</v>
      </c>
      <c r="I466" s="4" t="str">
        <f>VLOOKUP(B466,Customers!$A:$D,4,FALSE)</f>
        <v>Regular</v>
      </c>
      <c r="J466" s="4" t="s">
        <v>35</v>
      </c>
      <c r="K466" s="4" t="s">
        <v>36</v>
      </c>
    </row>
    <row r="467" spans="1:11" x14ac:dyDescent="0.2">
      <c r="A467" s="4">
        <v>5466</v>
      </c>
      <c r="B467" s="4">
        <v>1229</v>
      </c>
      <c r="C467" s="8">
        <v>46154</v>
      </c>
      <c r="D467" s="8">
        <v>46158</v>
      </c>
      <c r="E467" s="10">
        <f t="shared" si="7"/>
        <v>4</v>
      </c>
      <c r="F467" s="4" t="s">
        <v>18</v>
      </c>
      <c r="G467" s="4" t="s">
        <v>13</v>
      </c>
      <c r="H467" s="4">
        <v>37416</v>
      </c>
      <c r="I467" s="4" t="str">
        <f>VLOOKUP(B467,Customers!$A:$D,4,FALSE)</f>
        <v>Premium</v>
      </c>
      <c r="J467" s="4" t="s">
        <v>35</v>
      </c>
      <c r="K467" s="4" t="s">
        <v>36</v>
      </c>
    </row>
    <row r="468" spans="1:11" x14ac:dyDescent="0.2">
      <c r="A468" s="4">
        <v>5467</v>
      </c>
      <c r="B468" s="4">
        <v>1021</v>
      </c>
      <c r="C468" s="8">
        <v>46146</v>
      </c>
      <c r="D468" s="8">
        <v>46153</v>
      </c>
      <c r="E468" s="10">
        <f t="shared" si="7"/>
        <v>7</v>
      </c>
      <c r="F468" s="4" t="s">
        <v>24</v>
      </c>
      <c r="G468" s="4" t="s">
        <v>15</v>
      </c>
      <c r="H468" s="4">
        <v>15487</v>
      </c>
      <c r="I468" s="4" t="str">
        <f>VLOOKUP(B468,Customers!$A:$D,4,FALSE)</f>
        <v>Premium</v>
      </c>
      <c r="J468" s="4" t="s">
        <v>35</v>
      </c>
      <c r="K468" s="4" t="s">
        <v>36</v>
      </c>
    </row>
    <row r="469" spans="1:11" x14ac:dyDescent="0.2">
      <c r="A469" s="4">
        <v>5468</v>
      </c>
      <c r="B469" s="4">
        <v>1120</v>
      </c>
      <c r="C469" s="8">
        <v>46090</v>
      </c>
      <c r="D469" s="8">
        <v>46097</v>
      </c>
      <c r="E469" s="10">
        <f t="shared" si="7"/>
        <v>7</v>
      </c>
      <c r="F469" s="4" t="s">
        <v>20</v>
      </c>
      <c r="G469" s="4" t="s">
        <v>13</v>
      </c>
      <c r="H469" s="4">
        <v>34240</v>
      </c>
      <c r="I469" s="4" t="str">
        <f>VLOOKUP(B469,Customers!$A:$D,4,FALSE)</f>
        <v>Regular</v>
      </c>
      <c r="J469" s="4" t="s">
        <v>37</v>
      </c>
      <c r="K469" s="4" t="s">
        <v>36</v>
      </c>
    </row>
    <row r="470" spans="1:11" x14ac:dyDescent="0.2">
      <c r="A470" s="4">
        <v>5469</v>
      </c>
      <c r="B470" s="4">
        <v>1233</v>
      </c>
      <c r="C470" s="8">
        <v>46122</v>
      </c>
      <c r="D470" s="8">
        <v>46131</v>
      </c>
      <c r="E470" s="10">
        <f t="shared" si="7"/>
        <v>9</v>
      </c>
      <c r="F470" s="4" t="s">
        <v>20</v>
      </c>
      <c r="G470" s="4" t="s">
        <v>12</v>
      </c>
      <c r="H470" s="4">
        <v>42801</v>
      </c>
      <c r="I470" s="4" t="str">
        <f>VLOOKUP(B470,Customers!$A:$D,4,FALSE)</f>
        <v>Regular</v>
      </c>
      <c r="J470" s="4" t="s">
        <v>37</v>
      </c>
      <c r="K470" s="4" t="s">
        <v>36</v>
      </c>
    </row>
    <row r="471" spans="1:11" x14ac:dyDescent="0.2">
      <c r="A471" s="4">
        <v>5470</v>
      </c>
      <c r="B471" s="4">
        <v>1141</v>
      </c>
      <c r="C471" s="8">
        <v>46049</v>
      </c>
      <c r="D471" s="8">
        <v>46059</v>
      </c>
      <c r="E471" s="10">
        <f t="shared" si="7"/>
        <v>10</v>
      </c>
      <c r="F471" s="4" t="s">
        <v>22</v>
      </c>
      <c r="G471" s="4" t="s">
        <v>11</v>
      </c>
      <c r="H471" s="4">
        <v>35974</v>
      </c>
      <c r="I471" s="4" t="str">
        <f>VLOOKUP(B471,Customers!$A:$D,4,FALSE)</f>
        <v>Premium</v>
      </c>
      <c r="J471" s="4" t="s">
        <v>35</v>
      </c>
      <c r="K471" s="4" t="s">
        <v>36</v>
      </c>
    </row>
    <row r="472" spans="1:11" x14ac:dyDescent="0.2">
      <c r="A472" s="4">
        <v>5471</v>
      </c>
      <c r="B472" s="4">
        <v>1188</v>
      </c>
      <c r="C472" s="8">
        <v>46119</v>
      </c>
      <c r="D472" s="8">
        <v>46127</v>
      </c>
      <c r="E472" s="10">
        <f t="shared" si="7"/>
        <v>8</v>
      </c>
      <c r="F472" s="4" t="s">
        <v>23</v>
      </c>
      <c r="G472" s="4" t="s">
        <v>11</v>
      </c>
      <c r="H472" s="4">
        <v>16787</v>
      </c>
      <c r="I472" s="4" t="str">
        <f>VLOOKUP(B472,Customers!$A:$D,4,FALSE)</f>
        <v>Premium</v>
      </c>
      <c r="J472" s="4" t="s">
        <v>37</v>
      </c>
      <c r="K472" s="4" t="s">
        <v>36</v>
      </c>
    </row>
    <row r="473" spans="1:11" x14ac:dyDescent="0.2">
      <c r="A473" s="4">
        <v>5472</v>
      </c>
      <c r="B473" s="4">
        <v>1208</v>
      </c>
      <c r="C473" s="8">
        <v>46080</v>
      </c>
      <c r="D473" s="8">
        <v>46090</v>
      </c>
      <c r="E473" s="10">
        <f t="shared" si="7"/>
        <v>10</v>
      </c>
      <c r="F473" s="4" t="s">
        <v>19</v>
      </c>
      <c r="G473" s="4" t="s">
        <v>14</v>
      </c>
      <c r="H473" s="4">
        <v>32206</v>
      </c>
      <c r="I473" s="4" t="str">
        <f>VLOOKUP(B473,Customers!$A:$D,4,FALSE)</f>
        <v>Premium</v>
      </c>
      <c r="J473" s="4" t="s">
        <v>37</v>
      </c>
      <c r="K473" s="4" t="s">
        <v>36</v>
      </c>
    </row>
    <row r="474" spans="1:11" x14ac:dyDescent="0.2">
      <c r="A474" s="4">
        <v>5473</v>
      </c>
      <c r="B474" s="4">
        <v>1072</v>
      </c>
      <c r="C474" s="8">
        <v>46024</v>
      </c>
      <c r="D474" s="8">
        <v>46034</v>
      </c>
      <c r="E474" s="10">
        <f t="shared" si="7"/>
        <v>10</v>
      </c>
      <c r="F474" s="4" t="s">
        <v>25</v>
      </c>
      <c r="G474" s="4" t="s">
        <v>13</v>
      </c>
      <c r="H474" s="4">
        <v>15372</v>
      </c>
      <c r="I474" s="4" t="str">
        <f>VLOOKUP(B474,Customers!$A:$D,4,FALSE)</f>
        <v>Regular</v>
      </c>
      <c r="J474" s="4" t="s">
        <v>35</v>
      </c>
      <c r="K474" s="4" t="s">
        <v>36</v>
      </c>
    </row>
    <row r="475" spans="1:11" x14ac:dyDescent="0.2">
      <c r="A475" s="4">
        <v>5474</v>
      </c>
      <c r="B475" s="4">
        <v>1109</v>
      </c>
      <c r="C475" s="8">
        <v>46154</v>
      </c>
      <c r="D475" s="8">
        <v>46160</v>
      </c>
      <c r="E475" s="10">
        <f t="shared" si="7"/>
        <v>6</v>
      </c>
      <c r="F475" s="4" t="s">
        <v>18</v>
      </c>
      <c r="G475" s="4" t="s">
        <v>13</v>
      </c>
      <c r="H475" s="4">
        <v>10612</v>
      </c>
      <c r="I475" s="4" t="str">
        <f>VLOOKUP(B475,Customers!$A:$D,4,FALSE)</f>
        <v>Premium</v>
      </c>
      <c r="J475" s="4" t="s">
        <v>37</v>
      </c>
      <c r="K475" s="4" t="s">
        <v>36</v>
      </c>
    </row>
    <row r="476" spans="1:11" x14ac:dyDescent="0.2">
      <c r="A476" s="4">
        <v>5475</v>
      </c>
      <c r="B476" s="4">
        <v>1213</v>
      </c>
      <c r="C476" s="8">
        <v>46053</v>
      </c>
      <c r="D476" s="8">
        <v>46058</v>
      </c>
      <c r="E476" s="10">
        <f t="shared" si="7"/>
        <v>5</v>
      </c>
      <c r="F476" s="4" t="s">
        <v>19</v>
      </c>
      <c r="G476" s="4" t="s">
        <v>12</v>
      </c>
      <c r="H476" s="4">
        <v>31856</v>
      </c>
      <c r="I476" s="4" t="str">
        <f>VLOOKUP(B476,Customers!$A:$D,4,FALSE)</f>
        <v>Premium</v>
      </c>
      <c r="J476" s="4" t="s">
        <v>37</v>
      </c>
      <c r="K476" s="4" t="s">
        <v>36</v>
      </c>
    </row>
    <row r="477" spans="1:11" x14ac:dyDescent="0.2">
      <c r="A477" s="4">
        <v>5476</v>
      </c>
      <c r="B477" s="4">
        <v>1083</v>
      </c>
      <c r="C477" s="8">
        <v>46145</v>
      </c>
      <c r="D477" s="8">
        <v>46150</v>
      </c>
      <c r="E477" s="10">
        <f t="shared" si="7"/>
        <v>5</v>
      </c>
      <c r="F477" s="4" t="s">
        <v>21</v>
      </c>
      <c r="G477" s="4" t="s">
        <v>12</v>
      </c>
      <c r="H477" s="4">
        <v>16269</v>
      </c>
      <c r="I477" s="4" t="str">
        <f>VLOOKUP(B477,Customers!$A:$D,4,FALSE)</f>
        <v>Premium</v>
      </c>
      <c r="J477" s="4" t="s">
        <v>35</v>
      </c>
      <c r="K477" s="4" t="s">
        <v>36</v>
      </c>
    </row>
    <row r="478" spans="1:11" x14ac:dyDescent="0.2">
      <c r="A478" s="4">
        <v>5477</v>
      </c>
      <c r="B478" s="4">
        <v>1069</v>
      </c>
      <c r="C478" s="8">
        <v>46055</v>
      </c>
      <c r="D478" s="8">
        <v>46059</v>
      </c>
      <c r="E478" s="10">
        <f t="shared" si="7"/>
        <v>4</v>
      </c>
      <c r="F478" s="4" t="s">
        <v>20</v>
      </c>
      <c r="G478" s="4" t="s">
        <v>11</v>
      </c>
      <c r="H478" s="4">
        <v>9924</v>
      </c>
      <c r="I478" s="4" t="str">
        <f>VLOOKUP(B478,Customers!$A:$D,4,FALSE)</f>
        <v>Regular</v>
      </c>
      <c r="J478" s="4" t="s">
        <v>35</v>
      </c>
      <c r="K478" s="4" t="s">
        <v>36</v>
      </c>
    </row>
    <row r="479" spans="1:11" x14ac:dyDescent="0.2">
      <c r="A479" s="4">
        <v>5478</v>
      </c>
      <c r="B479" s="4">
        <v>1093</v>
      </c>
      <c r="C479" s="8">
        <v>46065</v>
      </c>
      <c r="D479" s="8">
        <v>46071</v>
      </c>
      <c r="E479" s="10">
        <f t="shared" si="7"/>
        <v>6</v>
      </c>
      <c r="F479" s="4" t="s">
        <v>21</v>
      </c>
      <c r="G479" s="4" t="s">
        <v>11</v>
      </c>
      <c r="H479" s="4">
        <v>37236</v>
      </c>
      <c r="I479" s="4" t="str">
        <f>VLOOKUP(B479,Customers!$A:$D,4,FALSE)</f>
        <v>Regular</v>
      </c>
      <c r="J479" s="4" t="s">
        <v>35</v>
      </c>
      <c r="K479" s="4" t="s">
        <v>36</v>
      </c>
    </row>
    <row r="480" spans="1:11" x14ac:dyDescent="0.2">
      <c r="A480" s="4">
        <v>5479</v>
      </c>
      <c r="B480" s="4">
        <v>1111</v>
      </c>
      <c r="C480" s="8">
        <v>46095</v>
      </c>
      <c r="D480" s="8">
        <v>46098</v>
      </c>
      <c r="E480" s="10">
        <f t="shared" si="7"/>
        <v>3</v>
      </c>
      <c r="F480" s="4" t="s">
        <v>25</v>
      </c>
      <c r="G480" s="4" t="s">
        <v>11</v>
      </c>
      <c r="H480" s="4">
        <v>31194</v>
      </c>
      <c r="I480" s="4" t="str">
        <f>VLOOKUP(B480,Customers!$A:$D,4,FALSE)</f>
        <v>Premium</v>
      </c>
      <c r="J480" s="4" t="s">
        <v>37</v>
      </c>
      <c r="K480" s="4" t="s">
        <v>36</v>
      </c>
    </row>
    <row r="481" spans="1:11" x14ac:dyDescent="0.2">
      <c r="A481" s="4">
        <v>5480</v>
      </c>
      <c r="B481" s="4">
        <v>1211</v>
      </c>
      <c r="C481" s="8">
        <v>46066</v>
      </c>
      <c r="D481" s="8">
        <v>46071</v>
      </c>
      <c r="E481" s="10">
        <f t="shared" si="7"/>
        <v>5</v>
      </c>
      <c r="F481" s="4" t="s">
        <v>18</v>
      </c>
      <c r="G481" s="4" t="s">
        <v>11</v>
      </c>
      <c r="H481" s="4">
        <v>12219</v>
      </c>
      <c r="I481" s="4" t="str">
        <f>VLOOKUP(B481,Customers!$A:$D,4,FALSE)</f>
        <v>Regular</v>
      </c>
      <c r="J481" s="4" t="s">
        <v>37</v>
      </c>
      <c r="K481" s="4" t="s">
        <v>36</v>
      </c>
    </row>
    <row r="482" spans="1:11" x14ac:dyDescent="0.2">
      <c r="A482" s="4">
        <v>5481</v>
      </c>
      <c r="B482" s="4">
        <v>1233</v>
      </c>
      <c r="C482" s="8">
        <v>46065</v>
      </c>
      <c r="D482" s="8">
        <v>46072</v>
      </c>
      <c r="E482" s="10">
        <f t="shared" si="7"/>
        <v>7</v>
      </c>
      <c r="F482" s="4" t="s">
        <v>23</v>
      </c>
      <c r="G482" s="4" t="s">
        <v>13</v>
      </c>
      <c r="H482" s="4">
        <v>25086</v>
      </c>
      <c r="I482" s="4" t="str">
        <f>VLOOKUP(B482,Customers!$A:$D,4,FALSE)</f>
        <v>Regular</v>
      </c>
      <c r="J482" s="4" t="s">
        <v>37</v>
      </c>
      <c r="K482" s="4" t="s">
        <v>36</v>
      </c>
    </row>
    <row r="483" spans="1:11" x14ac:dyDescent="0.2">
      <c r="A483" s="4">
        <v>5482</v>
      </c>
      <c r="B483" s="4">
        <v>1009</v>
      </c>
      <c r="C483" s="8">
        <v>46056</v>
      </c>
      <c r="D483" s="8">
        <v>46059</v>
      </c>
      <c r="E483" s="10">
        <f t="shared" si="7"/>
        <v>3</v>
      </c>
      <c r="F483" s="4" t="s">
        <v>24</v>
      </c>
      <c r="G483" s="4" t="s">
        <v>11</v>
      </c>
      <c r="H483" s="4">
        <v>33353</v>
      </c>
      <c r="I483" s="4" t="str">
        <f>VLOOKUP(B483,Customers!$A:$D,4,FALSE)</f>
        <v>Regular</v>
      </c>
      <c r="J483" s="4" t="s">
        <v>37</v>
      </c>
      <c r="K483" s="4" t="s">
        <v>36</v>
      </c>
    </row>
    <row r="484" spans="1:11" x14ac:dyDescent="0.2">
      <c r="A484" s="4">
        <v>5483</v>
      </c>
      <c r="B484" s="4">
        <v>1091</v>
      </c>
      <c r="C484" s="8">
        <v>46061</v>
      </c>
      <c r="D484" s="8">
        <v>46064</v>
      </c>
      <c r="E484" s="10">
        <f t="shared" si="7"/>
        <v>3</v>
      </c>
      <c r="F484" s="4" t="s">
        <v>25</v>
      </c>
      <c r="G484" s="4" t="s">
        <v>11</v>
      </c>
      <c r="H484" s="4">
        <v>39609</v>
      </c>
      <c r="I484" s="4" t="str">
        <f>VLOOKUP(B484,Customers!$A:$D,4,FALSE)</f>
        <v>Premium</v>
      </c>
      <c r="J484" s="4" t="s">
        <v>35</v>
      </c>
      <c r="K484" s="4" t="s">
        <v>36</v>
      </c>
    </row>
    <row r="485" spans="1:11" x14ac:dyDescent="0.2">
      <c r="A485" s="4">
        <v>5484</v>
      </c>
      <c r="B485" s="4">
        <v>1061</v>
      </c>
      <c r="C485" s="8">
        <v>46159</v>
      </c>
      <c r="D485" s="8">
        <v>46169</v>
      </c>
      <c r="E485" s="10">
        <f t="shared" si="7"/>
        <v>10</v>
      </c>
      <c r="F485" s="4" t="s">
        <v>23</v>
      </c>
      <c r="G485" s="4" t="s">
        <v>15</v>
      </c>
      <c r="H485" s="4">
        <v>43513</v>
      </c>
      <c r="I485" s="4" t="str">
        <f>VLOOKUP(B485,Customers!$A:$D,4,FALSE)</f>
        <v>Regular</v>
      </c>
      <c r="J485" s="4" t="s">
        <v>35</v>
      </c>
      <c r="K485" s="4" t="s">
        <v>36</v>
      </c>
    </row>
    <row r="486" spans="1:11" x14ac:dyDescent="0.2">
      <c r="A486" s="4">
        <v>5485</v>
      </c>
      <c r="B486" s="4">
        <v>1221</v>
      </c>
      <c r="C486" s="8">
        <v>46161</v>
      </c>
      <c r="D486" s="8">
        <v>46163</v>
      </c>
      <c r="E486" s="10">
        <f t="shared" si="7"/>
        <v>2</v>
      </c>
      <c r="F486" s="4" t="s">
        <v>21</v>
      </c>
      <c r="G486" s="4" t="s">
        <v>14</v>
      </c>
      <c r="H486" s="4">
        <v>3146</v>
      </c>
      <c r="I486" s="4" t="str">
        <f>VLOOKUP(B486,Customers!$A:$D,4,FALSE)</f>
        <v>Premium</v>
      </c>
      <c r="J486" s="4" t="s">
        <v>37</v>
      </c>
      <c r="K486" s="4" t="s">
        <v>36</v>
      </c>
    </row>
    <row r="487" spans="1:11" x14ac:dyDescent="0.2">
      <c r="A487" s="4">
        <v>5486</v>
      </c>
      <c r="B487" s="4">
        <v>1196</v>
      </c>
      <c r="C487" s="8">
        <v>46081</v>
      </c>
      <c r="D487" s="8">
        <v>46090</v>
      </c>
      <c r="E487" s="10">
        <f t="shared" si="7"/>
        <v>9</v>
      </c>
      <c r="F487" s="4" t="s">
        <v>19</v>
      </c>
      <c r="G487" s="4" t="s">
        <v>11</v>
      </c>
      <c r="H487" s="4">
        <v>48887</v>
      </c>
      <c r="I487" s="4" t="str">
        <f>VLOOKUP(B487,Customers!$A:$D,4,FALSE)</f>
        <v>Premium</v>
      </c>
      <c r="J487" s="4" t="s">
        <v>35</v>
      </c>
      <c r="K487" s="4" t="s">
        <v>36</v>
      </c>
    </row>
    <row r="488" spans="1:11" x14ac:dyDescent="0.2">
      <c r="A488" s="4">
        <v>5487</v>
      </c>
      <c r="B488" s="4">
        <v>1131</v>
      </c>
      <c r="C488" s="8">
        <v>46131</v>
      </c>
      <c r="D488" s="8">
        <v>46135</v>
      </c>
      <c r="E488" s="10">
        <f t="shared" si="7"/>
        <v>4</v>
      </c>
      <c r="F488" s="4" t="s">
        <v>25</v>
      </c>
      <c r="G488" s="4" t="s">
        <v>13</v>
      </c>
      <c r="H488" s="4">
        <v>5793</v>
      </c>
      <c r="I488" s="4" t="str">
        <f>VLOOKUP(B488,Customers!$A:$D,4,FALSE)</f>
        <v>Premium</v>
      </c>
      <c r="J488" s="4" t="s">
        <v>37</v>
      </c>
      <c r="K488" s="4" t="s">
        <v>36</v>
      </c>
    </row>
    <row r="489" spans="1:11" x14ac:dyDescent="0.2">
      <c r="A489" s="4">
        <v>5488</v>
      </c>
      <c r="B489" s="4">
        <v>1132</v>
      </c>
      <c r="C489" s="8">
        <v>46162</v>
      </c>
      <c r="D489" s="8">
        <v>46170</v>
      </c>
      <c r="E489" s="10">
        <f t="shared" si="7"/>
        <v>8</v>
      </c>
      <c r="F489" s="4" t="s">
        <v>24</v>
      </c>
      <c r="G489" s="4" t="s">
        <v>12</v>
      </c>
      <c r="H489" s="4">
        <v>46774</v>
      </c>
      <c r="I489" s="4" t="str">
        <f>VLOOKUP(B489,Customers!$A:$D,4,FALSE)</f>
        <v>Premium</v>
      </c>
      <c r="J489" s="4" t="s">
        <v>35</v>
      </c>
      <c r="K489" s="4" t="s">
        <v>36</v>
      </c>
    </row>
    <row r="490" spans="1:11" x14ac:dyDescent="0.2">
      <c r="A490" s="4">
        <v>5489</v>
      </c>
      <c r="B490" s="4">
        <v>1061</v>
      </c>
      <c r="C490" s="8">
        <v>46170</v>
      </c>
      <c r="D490" s="8">
        <v>46180</v>
      </c>
      <c r="E490" s="10">
        <f t="shared" si="7"/>
        <v>10</v>
      </c>
      <c r="F490" s="4" t="s">
        <v>20</v>
      </c>
      <c r="G490" s="4" t="s">
        <v>15</v>
      </c>
      <c r="H490" s="4">
        <v>43196</v>
      </c>
      <c r="I490" s="4" t="str">
        <f>VLOOKUP(B490,Customers!$A:$D,4,FALSE)</f>
        <v>Regular</v>
      </c>
      <c r="J490" s="4" t="s">
        <v>35</v>
      </c>
      <c r="K490" s="4" t="s">
        <v>36</v>
      </c>
    </row>
    <row r="491" spans="1:11" x14ac:dyDescent="0.2">
      <c r="A491" s="4">
        <v>5490</v>
      </c>
      <c r="B491" s="4">
        <v>1186</v>
      </c>
      <c r="C491" s="8">
        <v>46103</v>
      </c>
      <c r="D491" s="8">
        <v>46111</v>
      </c>
      <c r="E491" s="10">
        <f t="shared" si="7"/>
        <v>8</v>
      </c>
      <c r="F491" s="4" t="s">
        <v>23</v>
      </c>
      <c r="G491" s="4" t="s">
        <v>13</v>
      </c>
      <c r="H491" s="4">
        <v>28223</v>
      </c>
      <c r="I491" s="4" t="str">
        <f>VLOOKUP(B491,Customers!$A:$D,4,FALSE)</f>
        <v>Premium</v>
      </c>
      <c r="J491" s="4" t="s">
        <v>37</v>
      </c>
      <c r="K491" s="4" t="s">
        <v>36</v>
      </c>
    </row>
    <row r="492" spans="1:11" x14ac:dyDescent="0.2">
      <c r="A492" s="4">
        <v>5491</v>
      </c>
      <c r="B492" s="4">
        <v>1217</v>
      </c>
      <c r="C492" s="8">
        <v>46089</v>
      </c>
      <c r="D492" s="8">
        <v>46099</v>
      </c>
      <c r="E492" s="10">
        <f t="shared" si="7"/>
        <v>10</v>
      </c>
      <c r="F492" s="4" t="s">
        <v>19</v>
      </c>
      <c r="G492" s="4" t="s">
        <v>11</v>
      </c>
      <c r="H492" s="4">
        <v>18359</v>
      </c>
      <c r="I492" s="4" t="str">
        <f>VLOOKUP(B492,Customers!$A:$D,4,FALSE)</f>
        <v>Regular</v>
      </c>
      <c r="J492" s="4" t="s">
        <v>37</v>
      </c>
      <c r="K492" s="4" t="s">
        <v>36</v>
      </c>
    </row>
    <row r="493" spans="1:11" x14ac:dyDescent="0.2">
      <c r="A493" s="4">
        <v>5492</v>
      </c>
      <c r="B493" s="4">
        <v>1283</v>
      </c>
      <c r="C493" s="8">
        <v>46075</v>
      </c>
      <c r="D493" s="8">
        <v>46083</v>
      </c>
      <c r="E493" s="10">
        <f t="shared" si="7"/>
        <v>8</v>
      </c>
      <c r="F493" s="4" t="s">
        <v>25</v>
      </c>
      <c r="G493" s="4" t="s">
        <v>13</v>
      </c>
      <c r="H493" s="4">
        <v>24562</v>
      </c>
      <c r="I493" s="4" t="str">
        <f>VLOOKUP(B493,Customers!$A:$D,4,FALSE)</f>
        <v>Premium</v>
      </c>
      <c r="J493" s="4" t="s">
        <v>37</v>
      </c>
      <c r="K493" s="4" t="s">
        <v>36</v>
      </c>
    </row>
    <row r="494" spans="1:11" x14ac:dyDescent="0.2">
      <c r="A494" s="4">
        <v>5493</v>
      </c>
      <c r="B494" s="4">
        <v>1296</v>
      </c>
      <c r="C494" s="8">
        <v>46087</v>
      </c>
      <c r="D494" s="8">
        <v>46093</v>
      </c>
      <c r="E494" s="10">
        <f t="shared" si="7"/>
        <v>6</v>
      </c>
      <c r="F494" s="4" t="s">
        <v>19</v>
      </c>
      <c r="G494" s="4" t="s">
        <v>15</v>
      </c>
      <c r="H494" s="4">
        <v>48520</v>
      </c>
      <c r="I494" s="4" t="str">
        <f>VLOOKUP(B494,Customers!$A:$D,4,FALSE)</f>
        <v>Regular</v>
      </c>
      <c r="J494" s="4" t="s">
        <v>35</v>
      </c>
      <c r="K494" s="4" t="s">
        <v>36</v>
      </c>
    </row>
    <row r="495" spans="1:11" x14ac:dyDescent="0.2">
      <c r="A495" s="4">
        <v>5494</v>
      </c>
      <c r="B495" s="4">
        <v>1229</v>
      </c>
      <c r="C495" s="8">
        <v>46053</v>
      </c>
      <c r="D495" s="8">
        <v>46058</v>
      </c>
      <c r="E495" s="10">
        <f t="shared" si="7"/>
        <v>5</v>
      </c>
      <c r="F495" s="4" t="s">
        <v>18</v>
      </c>
      <c r="G495" s="4" t="s">
        <v>12</v>
      </c>
      <c r="H495" s="4">
        <v>14354</v>
      </c>
      <c r="I495" s="4" t="str">
        <f>VLOOKUP(B495,Customers!$A:$D,4,FALSE)</f>
        <v>Premium</v>
      </c>
      <c r="J495" s="4" t="s">
        <v>37</v>
      </c>
      <c r="K495" s="4" t="s">
        <v>36</v>
      </c>
    </row>
    <row r="496" spans="1:11" x14ac:dyDescent="0.2">
      <c r="A496" s="4">
        <v>5495</v>
      </c>
      <c r="B496" s="4">
        <v>1027</v>
      </c>
      <c r="C496" s="8">
        <v>46109</v>
      </c>
      <c r="D496" s="8">
        <v>46119</v>
      </c>
      <c r="E496" s="10">
        <f t="shared" si="7"/>
        <v>10</v>
      </c>
      <c r="F496" s="4" t="s">
        <v>18</v>
      </c>
      <c r="G496" s="4" t="s">
        <v>15</v>
      </c>
      <c r="H496" s="4">
        <v>41972</v>
      </c>
      <c r="I496" s="4" t="str">
        <f>VLOOKUP(B496,Customers!$A:$D,4,FALSE)</f>
        <v>Premium</v>
      </c>
      <c r="J496" s="4" t="s">
        <v>35</v>
      </c>
      <c r="K496" s="4" t="s">
        <v>36</v>
      </c>
    </row>
    <row r="497" spans="1:11" x14ac:dyDescent="0.2">
      <c r="A497" s="4">
        <v>5496</v>
      </c>
      <c r="B497" s="4">
        <v>1242</v>
      </c>
      <c r="C497" s="8">
        <v>46046</v>
      </c>
      <c r="D497" s="8">
        <v>46050</v>
      </c>
      <c r="E497" s="10">
        <f t="shared" si="7"/>
        <v>4</v>
      </c>
      <c r="F497" s="4" t="s">
        <v>21</v>
      </c>
      <c r="G497" s="4" t="s">
        <v>12</v>
      </c>
      <c r="H497" s="4">
        <v>4499</v>
      </c>
      <c r="I497" s="4" t="str">
        <f>VLOOKUP(B497,Customers!$A:$D,4,FALSE)</f>
        <v>Premium</v>
      </c>
      <c r="J497" s="4" t="s">
        <v>37</v>
      </c>
      <c r="K497" s="4" t="s">
        <v>36</v>
      </c>
    </row>
    <row r="498" spans="1:11" x14ac:dyDescent="0.2">
      <c r="A498" s="4">
        <v>5497</v>
      </c>
      <c r="B498" s="4">
        <v>1041</v>
      </c>
      <c r="C498" s="8">
        <v>46079</v>
      </c>
      <c r="D498" s="8">
        <v>46086</v>
      </c>
      <c r="E498" s="10">
        <f t="shared" si="7"/>
        <v>7</v>
      </c>
      <c r="F498" s="4" t="s">
        <v>20</v>
      </c>
      <c r="G498" s="4" t="s">
        <v>15</v>
      </c>
      <c r="H498" s="4">
        <v>26556</v>
      </c>
      <c r="I498" s="4" t="str">
        <f>VLOOKUP(B498,Customers!$A:$D,4,FALSE)</f>
        <v>Regular</v>
      </c>
      <c r="J498" s="4" t="s">
        <v>37</v>
      </c>
      <c r="K498" s="4" t="s">
        <v>36</v>
      </c>
    </row>
    <row r="499" spans="1:11" x14ac:dyDescent="0.2">
      <c r="A499" s="4">
        <v>5498</v>
      </c>
      <c r="B499" s="4">
        <v>1254</v>
      </c>
      <c r="C499" s="8">
        <v>46037</v>
      </c>
      <c r="D499" s="8">
        <v>46041</v>
      </c>
      <c r="E499" s="10">
        <f t="shared" si="7"/>
        <v>4</v>
      </c>
      <c r="F499" s="4" t="s">
        <v>25</v>
      </c>
      <c r="G499" s="4" t="s">
        <v>12</v>
      </c>
      <c r="H499" s="4">
        <v>13519</v>
      </c>
      <c r="I499" s="4" t="str">
        <f>VLOOKUP(B499,Customers!$A:$D,4,FALSE)</f>
        <v>Premium</v>
      </c>
      <c r="J499" s="4" t="s">
        <v>37</v>
      </c>
      <c r="K499" s="4" t="s">
        <v>36</v>
      </c>
    </row>
    <row r="500" spans="1:11" x14ac:dyDescent="0.2">
      <c r="A500" s="4">
        <v>5499</v>
      </c>
      <c r="B500" s="4">
        <v>1262</v>
      </c>
      <c r="C500" s="8">
        <v>46072</v>
      </c>
      <c r="D500" s="8">
        <v>46074</v>
      </c>
      <c r="E500" s="10">
        <f t="shared" si="7"/>
        <v>2</v>
      </c>
      <c r="F500" s="4" t="s">
        <v>24</v>
      </c>
      <c r="G500" s="4" t="s">
        <v>11</v>
      </c>
      <c r="H500" s="4">
        <v>11407</v>
      </c>
      <c r="I500" s="4" t="str">
        <f>VLOOKUP(B500,Customers!$A:$D,4,FALSE)</f>
        <v>Premium</v>
      </c>
      <c r="J500" s="4" t="s">
        <v>35</v>
      </c>
      <c r="K500" s="4" t="s">
        <v>36</v>
      </c>
    </row>
    <row r="501" spans="1:11" x14ac:dyDescent="0.2">
      <c r="A501" s="4">
        <v>5500</v>
      </c>
      <c r="B501" s="4">
        <v>1001</v>
      </c>
      <c r="C501" s="8">
        <v>46115</v>
      </c>
      <c r="D501" s="8">
        <v>46120</v>
      </c>
      <c r="E501" s="10">
        <f t="shared" si="7"/>
        <v>5</v>
      </c>
      <c r="F501" s="4" t="s">
        <v>18</v>
      </c>
      <c r="G501" s="4" t="s">
        <v>12</v>
      </c>
      <c r="H501" s="4">
        <v>18383</v>
      </c>
      <c r="I501" s="4" t="str">
        <f>VLOOKUP(B501,Customers!$A:$D,4,FALSE)</f>
        <v>Regular</v>
      </c>
      <c r="J501" s="4" t="s">
        <v>37</v>
      </c>
      <c r="K501" s="4" t="s">
        <v>36</v>
      </c>
    </row>
    <row r="502" spans="1:11" x14ac:dyDescent="0.2">
      <c r="A502" s="4">
        <v>5501</v>
      </c>
      <c r="B502" s="4">
        <v>1208</v>
      </c>
      <c r="C502" s="8">
        <v>46113</v>
      </c>
      <c r="D502" s="8">
        <v>46121</v>
      </c>
      <c r="E502" s="10">
        <f t="shared" si="7"/>
        <v>8</v>
      </c>
      <c r="F502" s="4" t="s">
        <v>24</v>
      </c>
      <c r="G502" s="4" t="s">
        <v>11</v>
      </c>
      <c r="H502" s="4">
        <v>1307</v>
      </c>
      <c r="I502" s="4" t="str">
        <f>VLOOKUP(B502,Customers!$A:$D,4,FALSE)</f>
        <v>Premium</v>
      </c>
      <c r="J502" s="4" t="s">
        <v>35</v>
      </c>
      <c r="K502" s="4" t="s">
        <v>36</v>
      </c>
    </row>
    <row r="503" spans="1:11" x14ac:dyDescent="0.2">
      <c r="A503" s="4">
        <v>5502</v>
      </c>
      <c r="B503" s="4">
        <v>1146</v>
      </c>
      <c r="C503" s="8">
        <v>46046</v>
      </c>
      <c r="D503" s="8">
        <v>46056</v>
      </c>
      <c r="E503" s="10">
        <f t="shared" si="7"/>
        <v>10</v>
      </c>
      <c r="F503" s="4" t="s">
        <v>19</v>
      </c>
      <c r="G503" s="4" t="s">
        <v>14</v>
      </c>
      <c r="H503" s="4">
        <v>18421</v>
      </c>
      <c r="I503" s="4" t="str">
        <f>VLOOKUP(B503,Customers!$A:$D,4,FALSE)</f>
        <v>Regular</v>
      </c>
      <c r="J503" s="4" t="s">
        <v>35</v>
      </c>
      <c r="K503" s="4" t="s">
        <v>36</v>
      </c>
    </row>
    <row r="504" spans="1:11" x14ac:dyDescent="0.2">
      <c r="A504" s="4">
        <v>5503</v>
      </c>
      <c r="B504" s="4">
        <v>1207</v>
      </c>
      <c r="C504" s="8">
        <v>46072</v>
      </c>
      <c r="D504" s="8">
        <v>46081</v>
      </c>
      <c r="E504" s="10">
        <f t="shared" si="7"/>
        <v>9</v>
      </c>
      <c r="F504" s="4" t="s">
        <v>20</v>
      </c>
      <c r="G504" s="4" t="s">
        <v>14</v>
      </c>
      <c r="H504" s="4">
        <v>11771</v>
      </c>
      <c r="I504" s="4" t="str">
        <f>VLOOKUP(B504,Customers!$A:$D,4,FALSE)</f>
        <v>Premium</v>
      </c>
      <c r="J504" s="4" t="s">
        <v>37</v>
      </c>
      <c r="K504" s="4" t="s">
        <v>36</v>
      </c>
    </row>
    <row r="505" spans="1:11" x14ac:dyDescent="0.2">
      <c r="A505" s="4">
        <v>5504</v>
      </c>
      <c r="B505" s="4">
        <v>1287</v>
      </c>
      <c r="C505" s="8">
        <v>46152</v>
      </c>
      <c r="D505" s="8">
        <v>46155</v>
      </c>
      <c r="E505" s="10">
        <f t="shared" si="7"/>
        <v>3</v>
      </c>
      <c r="F505" s="4" t="s">
        <v>23</v>
      </c>
      <c r="G505" s="4" t="s">
        <v>11</v>
      </c>
      <c r="H505" s="4">
        <v>19584</v>
      </c>
      <c r="I505" s="4" t="str">
        <f>VLOOKUP(B505,Customers!$A:$D,4,FALSE)</f>
        <v>Regular</v>
      </c>
      <c r="J505" s="4" t="s">
        <v>37</v>
      </c>
      <c r="K505" s="4" t="s">
        <v>36</v>
      </c>
    </row>
    <row r="506" spans="1:11" x14ac:dyDescent="0.2">
      <c r="A506" s="4">
        <v>5505</v>
      </c>
      <c r="B506" s="4">
        <v>1132</v>
      </c>
      <c r="C506" s="8">
        <v>46052</v>
      </c>
      <c r="D506" s="8">
        <v>46062</v>
      </c>
      <c r="E506" s="10">
        <f t="shared" si="7"/>
        <v>10</v>
      </c>
      <c r="F506" s="4" t="s">
        <v>22</v>
      </c>
      <c r="G506" s="4" t="s">
        <v>15</v>
      </c>
      <c r="H506" s="4">
        <v>25012</v>
      </c>
      <c r="I506" s="4" t="str">
        <f>VLOOKUP(B506,Customers!$A:$D,4,FALSE)</f>
        <v>Premium</v>
      </c>
      <c r="J506" s="4" t="s">
        <v>37</v>
      </c>
      <c r="K506" s="4" t="s">
        <v>36</v>
      </c>
    </row>
    <row r="507" spans="1:11" x14ac:dyDescent="0.2">
      <c r="A507" s="4">
        <v>5506</v>
      </c>
      <c r="B507" s="4">
        <v>1235</v>
      </c>
      <c r="C507" s="8">
        <v>46085</v>
      </c>
      <c r="D507" s="8">
        <v>46092</v>
      </c>
      <c r="E507" s="10">
        <f t="shared" si="7"/>
        <v>7</v>
      </c>
      <c r="F507" s="4" t="s">
        <v>25</v>
      </c>
      <c r="G507" s="4" t="s">
        <v>11</v>
      </c>
      <c r="H507" s="4">
        <v>2092</v>
      </c>
      <c r="I507" s="4" t="str">
        <f>VLOOKUP(B507,Customers!$A:$D,4,FALSE)</f>
        <v>Premium</v>
      </c>
      <c r="J507" s="4" t="s">
        <v>37</v>
      </c>
      <c r="K507" s="4" t="s">
        <v>36</v>
      </c>
    </row>
    <row r="508" spans="1:11" x14ac:dyDescent="0.2">
      <c r="A508" s="4">
        <v>5507</v>
      </c>
      <c r="B508" s="4">
        <v>1035</v>
      </c>
      <c r="C508" s="8">
        <v>46052</v>
      </c>
      <c r="D508" s="8">
        <v>46058</v>
      </c>
      <c r="E508" s="10">
        <f t="shared" si="7"/>
        <v>6</v>
      </c>
      <c r="F508" s="4" t="s">
        <v>21</v>
      </c>
      <c r="G508" s="4" t="s">
        <v>13</v>
      </c>
      <c r="H508" s="4">
        <v>44662</v>
      </c>
      <c r="I508" s="4" t="str">
        <f>VLOOKUP(B508,Customers!$A:$D,4,FALSE)</f>
        <v>Regular</v>
      </c>
      <c r="J508" s="4" t="s">
        <v>35</v>
      </c>
      <c r="K508" s="4" t="s">
        <v>36</v>
      </c>
    </row>
    <row r="509" spans="1:11" x14ac:dyDescent="0.2">
      <c r="A509" s="4">
        <v>5508</v>
      </c>
      <c r="B509" s="4">
        <v>1181</v>
      </c>
      <c r="C509" s="8">
        <v>46103</v>
      </c>
      <c r="D509" s="8">
        <v>46111</v>
      </c>
      <c r="E509" s="10">
        <f t="shared" si="7"/>
        <v>8</v>
      </c>
      <c r="F509" s="4" t="s">
        <v>20</v>
      </c>
      <c r="G509" s="4" t="s">
        <v>14</v>
      </c>
      <c r="H509" s="4">
        <v>16569</v>
      </c>
      <c r="I509" s="4" t="str">
        <f>VLOOKUP(B509,Customers!$A:$D,4,FALSE)</f>
        <v>Regular</v>
      </c>
      <c r="J509" s="4" t="s">
        <v>37</v>
      </c>
      <c r="K509" s="4" t="s">
        <v>36</v>
      </c>
    </row>
    <row r="510" spans="1:11" x14ac:dyDescent="0.2">
      <c r="A510" s="4">
        <v>5509</v>
      </c>
      <c r="B510" s="4">
        <v>1176</v>
      </c>
      <c r="C510" s="8">
        <v>46046</v>
      </c>
      <c r="D510" s="8">
        <v>46054</v>
      </c>
      <c r="E510" s="10">
        <f t="shared" si="7"/>
        <v>8</v>
      </c>
      <c r="F510" s="4" t="s">
        <v>23</v>
      </c>
      <c r="G510" s="4" t="s">
        <v>11</v>
      </c>
      <c r="H510" s="4">
        <v>11997</v>
      </c>
      <c r="I510" s="4" t="str">
        <f>VLOOKUP(B510,Customers!$A:$D,4,FALSE)</f>
        <v>Premium</v>
      </c>
      <c r="J510" s="4" t="s">
        <v>37</v>
      </c>
      <c r="K510" s="4" t="s">
        <v>36</v>
      </c>
    </row>
    <row r="511" spans="1:11" x14ac:dyDescent="0.2">
      <c r="A511" s="4">
        <v>5510</v>
      </c>
      <c r="B511" s="4">
        <v>1112</v>
      </c>
      <c r="C511" s="8">
        <v>46103</v>
      </c>
      <c r="D511" s="8">
        <v>46110</v>
      </c>
      <c r="E511" s="10">
        <f t="shared" si="7"/>
        <v>7</v>
      </c>
      <c r="F511" s="4" t="s">
        <v>22</v>
      </c>
      <c r="G511" s="4" t="s">
        <v>13</v>
      </c>
      <c r="H511" s="4">
        <v>49200</v>
      </c>
      <c r="I511" s="4" t="str">
        <f>VLOOKUP(B511,Customers!$A:$D,4,FALSE)</f>
        <v>Premium</v>
      </c>
      <c r="J511" s="4" t="s">
        <v>35</v>
      </c>
      <c r="K511" s="4" t="s">
        <v>36</v>
      </c>
    </row>
    <row r="512" spans="1:11" x14ac:dyDescent="0.2">
      <c r="A512" s="4">
        <v>5511</v>
      </c>
      <c r="B512" s="4">
        <v>1121</v>
      </c>
      <c r="C512" s="8">
        <v>46150</v>
      </c>
      <c r="D512" s="8">
        <v>46155</v>
      </c>
      <c r="E512" s="10">
        <f t="shared" si="7"/>
        <v>5</v>
      </c>
      <c r="F512" s="4" t="s">
        <v>24</v>
      </c>
      <c r="G512" s="4" t="s">
        <v>14</v>
      </c>
      <c r="H512" s="4">
        <v>13851</v>
      </c>
      <c r="I512" s="4" t="str">
        <f>VLOOKUP(B512,Customers!$A:$D,4,FALSE)</f>
        <v>Regular</v>
      </c>
      <c r="J512" s="4" t="s">
        <v>35</v>
      </c>
      <c r="K512" s="4" t="s">
        <v>36</v>
      </c>
    </row>
    <row r="513" spans="1:11" x14ac:dyDescent="0.2">
      <c r="A513" s="4">
        <v>5512</v>
      </c>
      <c r="B513" s="4">
        <v>1183</v>
      </c>
      <c r="C513" s="8">
        <v>46074</v>
      </c>
      <c r="D513" s="8">
        <v>46079</v>
      </c>
      <c r="E513" s="10">
        <f t="shared" si="7"/>
        <v>5</v>
      </c>
      <c r="F513" s="4" t="s">
        <v>18</v>
      </c>
      <c r="G513" s="4" t="s">
        <v>12</v>
      </c>
      <c r="H513" s="4">
        <v>8156</v>
      </c>
      <c r="I513" s="4" t="str">
        <f>VLOOKUP(B513,Customers!$A:$D,4,FALSE)</f>
        <v>Regular</v>
      </c>
      <c r="J513" s="4" t="s">
        <v>35</v>
      </c>
      <c r="K513" s="4" t="s">
        <v>36</v>
      </c>
    </row>
    <row r="514" spans="1:11" x14ac:dyDescent="0.2">
      <c r="A514" s="4">
        <v>5513</v>
      </c>
      <c r="B514" s="4">
        <v>1278</v>
      </c>
      <c r="C514" s="8">
        <v>46149</v>
      </c>
      <c r="D514" s="8">
        <v>46151</v>
      </c>
      <c r="E514" s="10">
        <f t="shared" si="7"/>
        <v>2</v>
      </c>
      <c r="F514" s="4" t="s">
        <v>20</v>
      </c>
      <c r="G514" s="4" t="s">
        <v>15</v>
      </c>
      <c r="H514" s="4">
        <v>24626</v>
      </c>
      <c r="I514" s="4" t="str">
        <f>VLOOKUP(B514,Customers!$A:$D,4,FALSE)</f>
        <v>Regular</v>
      </c>
      <c r="J514" s="4" t="s">
        <v>37</v>
      </c>
      <c r="K514" s="4" t="s">
        <v>36</v>
      </c>
    </row>
    <row r="515" spans="1:11" x14ac:dyDescent="0.2">
      <c r="A515" s="4">
        <v>5514</v>
      </c>
      <c r="B515" s="4">
        <v>1252</v>
      </c>
      <c r="C515" s="8">
        <v>46149</v>
      </c>
      <c r="D515" s="8">
        <v>46155</v>
      </c>
      <c r="E515" s="10">
        <f t="shared" ref="E515:E578" si="8">D515-C515</f>
        <v>6</v>
      </c>
      <c r="F515" s="4" t="s">
        <v>18</v>
      </c>
      <c r="G515" s="4" t="s">
        <v>11</v>
      </c>
      <c r="H515" s="4">
        <v>18667</v>
      </c>
      <c r="I515" s="4" t="str">
        <f>VLOOKUP(B515,Customers!$A:$D,4,FALSE)</f>
        <v>Regular</v>
      </c>
      <c r="J515" s="4" t="s">
        <v>37</v>
      </c>
      <c r="K515" s="4" t="s">
        <v>36</v>
      </c>
    </row>
    <row r="516" spans="1:11" x14ac:dyDescent="0.2">
      <c r="A516" s="4">
        <v>5515</v>
      </c>
      <c r="B516" s="4">
        <v>1028</v>
      </c>
      <c r="C516" s="8">
        <v>46079</v>
      </c>
      <c r="D516" s="8">
        <v>46083</v>
      </c>
      <c r="E516" s="10">
        <f t="shared" si="8"/>
        <v>4</v>
      </c>
      <c r="F516" s="4" t="s">
        <v>21</v>
      </c>
      <c r="G516" s="4" t="s">
        <v>15</v>
      </c>
      <c r="H516" s="4">
        <v>35739</v>
      </c>
      <c r="I516" s="4" t="str">
        <f>VLOOKUP(B516,Customers!$A:$D,4,FALSE)</f>
        <v>Regular</v>
      </c>
      <c r="J516" s="4" t="s">
        <v>35</v>
      </c>
      <c r="K516" s="4" t="s">
        <v>36</v>
      </c>
    </row>
    <row r="517" spans="1:11" x14ac:dyDescent="0.2">
      <c r="A517" s="4">
        <v>5516</v>
      </c>
      <c r="B517" s="4">
        <v>1202</v>
      </c>
      <c r="C517" s="8">
        <v>46151</v>
      </c>
      <c r="D517" s="8">
        <v>46158</v>
      </c>
      <c r="E517" s="10">
        <f t="shared" si="8"/>
        <v>7</v>
      </c>
      <c r="F517" s="4" t="s">
        <v>18</v>
      </c>
      <c r="G517" s="4" t="s">
        <v>15</v>
      </c>
      <c r="H517" s="4">
        <v>8188</v>
      </c>
      <c r="I517" s="4" t="str">
        <f>VLOOKUP(B517,Customers!$A:$D,4,FALSE)</f>
        <v>Premium</v>
      </c>
      <c r="J517" s="4" t="s">
        <v>37</v>
      </c>
      <c r="K517" s="4" t="s">
        <v>36</v>
      </c>
    </row>
    <row r="518" spans="1:11" x14ac:dyDescent="0.2">
      <c r="A518" s="4">
        <v>5517</v>
      </c>
      <c r="B518" s="4">
        <v>1007</v>
      </c>
      <c r="C518" s="8">
        <v>46103</v>
      </c>
      <c r="D518" s="8">
        <v>46105</v>
      </c>
      <c r="E518" s="10">
        <f t="shared" si="8"/>
        <v>2</v>
      </c>
      <c r="F518" s="4" t="s">
        <v>24</v>
      </c>
      <c r="G518" s="4" t="s">
        <v>15</v>
      </c>
      <c r="H518" s="4">
        <v>38376</v>
      </c>
      <c r="I518" s="4" t="str">
        <f>VLOOKUP(B518,Customers!$A:$D,4,FALSE)</f>
        <v>Regular</v>
      </c>
      <c r="J518" s="4" t="s">
        <v>35</v>
      </c>
      <c r="K518" s="4" t="s">
        <v>36</v>
      </c>
    </row>
    <row r="519" spans="1:11" x14ac:dyDescent="0.2">
      <c r="A519" s="4">
        <v>5518</v>
      </c>
      <c r="B519" s="4">
        <v>1133</v>
      </c>
      <c r="C519" s="8">
        <v>46106</v>
      </c>
      <c r="D519" s="8">
        <v>46113</v>
      </c>
      <c r="E519" s="10">
        <f t="shared" si="8"/>
        <v>7</v>
      </c>
      <c r="F519" s="4" t="s">
        <v>18</v>
      </c>
      <c r="G519" s="4" t="s">
        <v>11</v>
      </c>
      <c r="H519" s="4">
        <v>17526</v>
      </c>
      <c r="I519" s="4" t="str">
        <f>VLOOKUP(B519,Customers!$A:$D,4,FALSE)</f>
        <v>Premium</v>
      </c>
      <c r="J519" s="4" t="s">
        <v>35</v>
      </c>
      <c r="K519" s="4" t="s">
        <v>36</v>
      </c>
    </row>
    <row r="520" spans="1:11" x14ac:dyDescent="0.2">
      <c r="A520" s="4">
        <v>5519</v>
      </c>
      <c r="B520" s="4">
        <v>1176</v>
      </c>
      <c r="C520" s="8">
        <v>46091</v>
      </c>
      <c r="D520" s="8">
        <v>46100</v>
      </c>
      <c r="E520" s="10">
        <f t="shared" si="8"/>
        <v>9</v>
      </c>
      <c r="F520" s="4" t="s">
        <v>19</v>
      </c>
      <c r="G520" s="4" t="s">
        <v>13</v>
      </c>
      <c r="H520" s="4">
        <v>32987</v>
      </c>
      <c r="I520" s="4" t="str">
        <f>VLOOKUP(B520,Customers!$A:$D,4,FALSE)</f>
        <v>Premium</v>
      </c>
      <c r="J520" s="4" t="s">
        <v>37</v>
      </c>
      <c r="K520" s="4" t="s">
        <v>36</v>
      </c>
    </row>
    <row r="521" spans="1:11" x14ac:dyDescent="0.2">
      <c r="A521" s="4">
        <v>5520</v>
      </c>
      <c r="B521" s="4">
        <v>1191</v>
      </c>
      <c r="C521" s="8">
        <v>46076</v>
      </c>
      <c r="D521" s="8">
        <v>46084</v>
      </c>
      <c r="E521" s="10">
        <f t="shared" si="8"/>
        <v>8</v>
      </c>
      <c r="F521" s="4" t="s">
        <v>19</v>
      </c>
      <c r="G521" s="4" t="s">
        <v>15</v>
      </c>
      <c r="H521" s="4">
        <v>18625</v>
      </c>
      <c r="I521" s="4" t="str">
        <f>VLOOKUP(B521,Customers!$A:$D,4,FALSE)</f>
        <v>Regular</v>
      </c>
      <c r="J521" s="4" t="s">
        <v>37</v>
      </c>
      <c r="K521" s="4" t="s">
        <v>36</v>
      </c>
    </row>
    <row r="522" spans="1:11" x14ac:dyDescent="0.2">
      <c r="A522" s="4">
        <v>5521</v>
      </c>
      <c r="B522" s="4">
        <v>1295</v>
      </c>
      <c r="C522" s="8">
        <v>46069</v>
      </c>
      <c r="D522" s="8">
        <v>46073</v>
      </c>
      <c r="E522" s="10">
        <f t="shared" si="8"/>
        <v>4</v>
      </c>
      <c r="F522" s="4" t="s">
        <v>24</v>
      </c>
      <c r="G522" s="4" t="s">
        <v>12</v>
      </c>
      <c r="H522" s="4">
        <v>47539</v>
      </c>
      <c r="I522" s="4" t="str">
        <f>VLOOKUP(B522,Customers!$A:$D,4,FALSE)</f>
        <v>Regular</v>
      </c>
      <c r="J522" s="4" t="s">
        <v>37</v>
      </c>
      <c r="K522" s="4" t="s">
        <v>36</v>
      </c>
    </row>
    <row r="523" spans="1:11" x14ac:dyDescent="0.2">
      <c r="A523" s="4">
        <v>5522</v>
      </c>
      <c r="B523" s="4">
        <v>1222</v>
      </c>
      <c r="C523" s="8">
        <v>46083</v>
      </c>
      <c r="D523" s="8">
        <v>46093</v>
      </c>
      <c r="E523" s="10">
        <f t="shared" si="8"/>
        <v>10</v>
      </c>
      <c r="F523" s="4" t="s">
        <v>21</v>
      </c>
      <c r="G523" s="4" t="s">
        <v>13</v>
      </c>
      <c r="H523" s="4">
        <v>9858</v>
      </c>
      <c r="I523" s="4" t="str">
        <f>VLOOKUP(B523,Customers!$A:$D,4,FALSE)</f>
        <v>Premium</v>
      </c>
      <c r="J523" s="4" t="s">
        <v>35</v>
      </c>
      <c r="K523" s="4" t="s">
        <v>36</v>
      </c>
    </row>
    <row r="524" spans="1:11" x14ac:dyDescent="0.2">
      <c r="A524" s="4">
        <v>5523</v>
      </c>
      <c r="B524" s="4">
        <v>1091</v>
      </c>
      <c r="C524" s="8">
        <v>46144</v>
      </c>
      <c r="D524" s="8">
        <v>46146</v>
      </c>
      <c r="E524" s="10">
        <f t="shared" si="8"/>
        <v>2</v>
      </c>
      <c r="F524" s="4" t="s">
        <v>21</v>
      </c>
      <c r="G524" s="4" t="s">
        <v>15</v>
      </c>
      <c r="H524" s="4">
        <v>9112</v>
      </c>
      <c r="I524" s="4" t="str">
        <f>VLOOKUP(B524,Customers!$A:$D,4,FALSE)</f>
        <v>Premium</v>
      </c>
      <c r="J524" s="4" t="s">
        <v>37</v>
      </c>
      <c r="K524" s="4" t="s">
        <v>36</v>
      </c>
    </row>
    <row r="525" spans="1:11" x14ac:dyDescent="0.2">
      <c r="A525" s="4">
        <v>5524</v>
      </c>
      <c r="B525" s="4">
        <v>1129</v>
      </c>
      <c r="C525" s="8">
        <v>46147</v>
      </c>
      <c r="D525" s="8">
        <v>46153</v>
      </c>
      <c r="E525" s="10">
        <f t="shared" si="8"/>
        <v>6</v>
      </c>
      <c r="F525" s="4" t="s">
        <v>20</v>
      </c>
      <c r="G525" s="4" t="s">
        <v>15</v>
      </c>
      <c r="H525" s="4">
        <v>6786</v>
      </c>
      <c r="I525" s="4" t="str">
        <f>VLOOKUP(B525,Customers!$A:$D,4,FALSE)</f>
        <v>Premium</v>
      </c>
      <c r="J525" s="4" t="s">
        <v>35</v>
      </c>
      <c r="K525" s="4" t="s">
        <v>36</v>
      </c>
    </row>
    <row r="526" spans="1:11" x14ac:dyDescent="0.2">
      <c r="A526" s="4">
        <v>5525</v>
      </c>
      <c r="B526" s="4">
        <v>1131</v>
      </c>
      <c r="C526" s="8">
        <v>46038</v>
      </c>
      <c r="D526" s="8">
        <v>46043</v>
      </c>
      <c r="E526" s="10">
        <f t="shared" si="8"/>
        <v>5</v>
      </c>
      <c r="F526" s="4" t="s">
        <v>25</v>
      </c>
      <c r="G526" s="4" t="s">
        <v>12</v>
      </c>
      <c r="H526" s="4">
        <v>29781</v>
      </c>
      <c r="I526" s="4" t="str">
        <f>VLOOKUP(B526,Customers!$A:$D,4,FALSE)</f>
        <v>Premium</v>
      </c>
      <c r="J526" s="4" t="s">
        <v>37</v>
      </c>
      <c r="K526" s="4" t="s">
        <v>36</v>
      </c>
    </row>
    <row r="527" spans="1:11" x14ac:dyDescent="0.2">
      <c r="A527" s="4">
        <v>5526</v>
      </c>
      <c r="B527" s="4">
        <v>1185</v>
      </c>
      <c r="C527" s="8">
        <v>46089</v>
      </c>
      <c r="D527" s="8">
        <v>46096</v>
      </c>
      <c r="E527" s="10">
        <f t="shared" si="8"/>
        <v>7</v>
      </c>
      <c r="F527" s="4" t="s">
        <v>22</v>
      </c>
      <c r="G527" s="4" t="s">
        <v>14</v>
      </c>
      <c r="H527" s="4">
        <v>1599</v>
      </c>
      <c r="I527" s="4" t="str">
        <f>VLOOKUP(B527,Customers!$A:$D,4,FALSE)</f>
        <v>Regular</v>
      </c>
      <c r="J527" s="4" t="s">
        <v>37</v>
      </c>
      <c r="K527" s="4" t="s">
        <v>36</v>
      </c>
    </row>
    <row r="528" spans="1:11" x14ac:dyDescent="0.2">
      <c r="A528" s="4">
        <v>5527</v>
      </c>
      <c r="B528" s="4">
        <v>1102</v>
      </c>
      <c r="C528" s="8">
        <v>46054</v>
      </c>
      <c r="D528" s="8">
        <v>46061</v>
      </c>
      <c r="E528" s="10">
        <f t="shared" si="8"/>
        <v>7</v>
      </c>
      <c r="F528" s="4" t="s">
        <v>18</v>
      </c>
      <c r="G528" s="4" t="s">
        <v>14</v>
      </c>
      <c r="H528" s="4">
        <v>23572</v>
      </c>
      <c r="I528" s="4" t="str">
        <f>VLOOKUP(B528,Customers!$A:$D,4,FALSE)</f>
        <v>Premium</v>
      </c>
      <c r="J528" s="4" t="s">
        <v>37</v>
      </c>
      <c r="K528" s="4" t="s">
        <v>36</v>
      </c>
    </row>
    <row r="529" spans="1:11" x14ac:dyDescent="0.2">
      <c r="A529" s="4">
        <v>5528</v>
      </c>
      <c r="B529" s="4">
        <v>1229</v>
      </c>
      <c r="C529" s="8">
        <v>46153</v>
      </c>
      <c r="D529" s="8">
        <v>46162</v>
      </c>
      <c r="E529" s="10">
        <f t="shared" si="8"/>
        <v>9</v>
      </c>
      <c r="F529" s="4" t="s">
        <v>23</v>
      </c>
      <c r="G529" s="4" t="s">
        <v>15</v>
      </c>
      <c r="H529" s="4">
        <v>40517</v>
      </c>
      <c r="I529" s="4" t="str">
        <f>VLOOKUP(B529,Customers!$A:$D,4,FALSE)</f>
        <v>Premium</v>
      </c>
      <c r="J529" s="4" t="s">
        <v>37</v>
      </c>
      <c r="K529" s="4" t="s">
        <v>36</v>
      </c>
    </row>
    <row r="530" spans="1:11" x14ac:dyDescent="0.2">
      <c r="A530" s="4">
        <v>5529</v>
      </c>
      <c r="B530" s="4">
        <v>1086</v>
      </c>
      <c r="C530" s="8">
        <v>46141</v>
      </c>
      <c r="D530" s="8">
        <v>46145</v>
      </c>
      <c r="E530" s="10">
        <f t="shared" si="8"/>
        <v>4</v>
      </c>
      <c r="F530" s="4" t="s">
        <v>19</v>
      </c>
      <c r="G530" s="4" t="s">
        <v>15</v>
      </c>
      <c r="H530" s="4">
        <v>41671</v>
      </c>
      <c r="I530" s="4" t="str">
        <f>VLOOKUP(B530,Customers!$A:$D,4,FALSE)</f>
        <v>Premium</v>
      </c>
      <c r="J530" s="4" t="s">
        <v>37</v>
      </c>
      <c r="K530" s="4" t="s">
        <v>36</v>
      </c>
    </row>
    <row r="531" spans="1:11" x14ac:dyDescent="0.2">
      <c r="A531" s="4">
        <v>5530</v>
      </c>
      <c r="B531" s="4">
        <v>1083</v>
      </c>
      <c r="C531" s="8">
        <v>46041</v>
      </c>
      <c r="D531" s="8">
        <v>46044</v>
      </c>
      <c r="E531" s="10">
        <f t="shared" si="8"/>
        <v>3</v>
      </c>
      <c r="F531" s="4" t="s">
        <v>19</v>
      </c>
      <c r="G531" s="4" t="s">
        <v>13</v>
      </c>
      <c r="H531" s="4">
        <v>20844</v>
      </c>
      <c r="I531" s="4" t="str">
        <f>VLOOKUP(B531,Customers!$A:$D,4,FALSE)</f>
        <v>Premium</v>
      </c>
      <c r="J531" s="4" t="s">
        <v>37</v>
      </c>
      <c r="K531" s="4" t="s">
        <v>36</v>
      </c>
    </row>
    <row r="532" spans="1:11" x14ac:dyDescent="0.2">
      <c r="A532" s="4">
        <v>5531</v>
      </c>
      <c r="B532" s="4">
        <v>1203</v>
      </c>
      <c r="C532" s="8">
        <v>46097</v>
      </c>
      <c r="D532" s="8">
        <v>46103</v>
      </c>
      <c r="E532" s="10">
        <f t="shared" si="8"/>
        <v>6</v>
      </c>
      <c r="F532" s="4" t="s">
        <v>22</v>
      </c>
      <c r="G532" s="4" t="s">
        <v>15</v>
      </c>
      <c r="H532" s="4">
        <v>24100</v>
      </c>
      <c r="I532" s="4" t="str">
        <f>VLOOKUP(B532,Customers!$A:$D,4,FALSE)</f>
        <v>Regular</v>
      </c>
      <c r="J532" s="4" t="s">
        <v>37</v>
      </c>
      <c r="K532" s="4" t="s">
        <v>36</v>
      </c>
    </row>
    <row r="533" spans="1:11" x14ac:dyDescent="0.2">
      <c r="A533" s="4">
        <v>5532</v>
      </c>
      <c r="B533" s="4">
        <v>1095</v>
      </c>
      <c r="C533" s="8">
        <v>46128</v>
      </c>
      <c r="D533" s="8">
        <v>46132</v>
      </c>
      <c r="E533" s="10">
        <f t="shared" si="8"/>
        <v>4</v>
      </c>
      <c r="F533" s="4" t="s">
        <v>20</v>
      </c>
      <c r="G533" s="4" t="s">
        <v>13</v>
      </c>
      <c r="H533" s="4">
        <v>47995</v>
      </c>
      <c r="I533" s="4" t="str">
        <f>VLOOKUP(B533,Customers!$A:$D,4,FALSE)</f>
        <v>Regular</v>
      </c>
      <c r="J533" s="4" t="s">
        <v>35</v>
      </c>
      <c r="K533" s="4" t="s">
        <v>36</v>
      </c>
    </row>
    <row r="534" spans="1:11" x14ac:dyDescent="0.2">
      <c r="A534" s="4">
        <v>5533</v>
      </c>
      <c r="B534" s="4">
        <v>1108</v>
      </c>
      <c r="C534" s="8">
        <v>46087</v>
      </c>
      <c r="D534" s="8">
        <v>46090</v>
      </c>
      <c r="E534" s="10">
        <f t="shared" si="8"/>
        <v>3</v>
      </c>
      <c r="F534" s="4" t="s">
        <v>18</v>
      </c>
      <c r="G534" s="4" t="s">
        <v>15</v>
      </c>
      <c r="H534" s="4">
        <v>7050</v>
      </c>
      <c r="I534" s="4" t="str">
        <f>VLOOKUP(B534,Customers!$A:$D,4,FALSE)</f>
        <v>Regular</v>
      </c>
      <c r="J534" s="4" t="s">
        <v>35</v>
      </c>
      <c r="K534" s="4" t="s">
        <v>36</v>
      </c>
    </row>
    <row r="535" spans="1:11" x14ac:dyDescent="0.2">
      <c r="A535" s="4">
        <v>5534</v>
      </c>
      <c r="B535" s="4">
        <v>1281</v>
      </c>
      <c r="C535" s="8">
        <v>46039</v>
      </c>
      <c r="D535" s="8">
        <v>46048</v>
      </c>
      <c r="E535" s="10">
        <f t="shared" si="8"/>
        <v>9</v>
      </c>
      <c r="F535" s="4" t="s">
        <v>20</v>
      </c>
      <c r="G535" s="4" t="s">
        <v>12</v>
      </c>
      <c r="H535" s="4">
        <v>26318</v>
      </c>
      <c r="I535" s="4" t="str">
        <f>VLOOKUP(B535,Customers!$A:$D,4,FALSE)</f>
        <v>Premium</v>
      </c>
      <c r="J535" s="4" t="s">
        <v>35</v>
      </c>
      <c r="K535" s="4" t="s">
        <v>36</v>
      </c>
    </row>
    <row r="536" spans="1:11" x14ac:dyDescent="0.2">
      <c r="A536" s="4">
        <v>5535</v>
      </c>
      <c r="B536" s="4">
        <v>1080</v>
      </c>
      <c r="C536" s="8">
        <v>46049</v>
      </c>
      <c r="D536" s="8">
        <v>46055</v>
      </c>
      <c r="E536" s="10">
        <f t="shared" si="8"/>
        <v>6</v>
      </c>
      <c r="F536" s="4" t="s">
        <v>23</v>
      </c>
      <c r="G536" s="4" t="s">
        <v>15</v>
      </c>
      <c r="H536" s="4">
        <v>20574</v>
      </c>
      <c r="I536" s="4" t="str">
        <f>VLOOKUP(B536,Customers!$A:$D,4,FALSE)</f>
        <v>Premium</v>
      </c>
      <c r="J536" s="4" t="s">
        <v>35</v>
      </c>
      <c r="K536" s="4" t="s">
        <v>36</v>
      </c>
    </row>
    <row r="537" spans="1:11" x14ac:dyDescent="0.2">
      <c r="A537" s="4">
        <v>5536</v>
      </c>
      <c r="B537" s="4">
        <v>1227</v>
      </c>
      <c r="C537" s="8">
        <v>46086</v>
      </c>
      <c r="D537" s="8">
        <v>46092</v>
      </c>
      <c r="E537" s="10">
        <f t="shared" si="8"/>
        <v>6</v>
      </c>
      <c r="F537" s="4" t="s">
        <v>18</v>
      </c>
      <c r="G537" s="4" t="s">
        <v>13</v>
      </c>
      <c r="H537" s="4">
        <v>34820</v>
      </c>
      <c r="I537" s="4" t="str">
        <f>VLOOKUP(B537,Customers!$A:$D,4,FALSE)</f>
        <v>Premium</v>
      </c>
      <c r="J537" s="4" t="s">
        <v>35</v>
      </c>
      <c r="K537" s="4" t="s">
        <v>36</v>
      </c>
    </row>
    <row r="538" spans="1:11" x14ac:dyDescent="0.2">
      <c r="A538" s="4">
        <v>5537</v>
      </c>
      <c r="B538" s="4">
        <v>1183</v>
      </c>
      <c r="C538" s="8">
        <v>46030</v>
      </c>
      <c r="D538" s="8">
        <v>46032</v>
      </c>
      <c r="E538" s="10">
        <f t="shared" si="8"/>
        <v>2</v>
      </c>
      <c r="F538" s="4" t="s">
        <v>19</v>
      </c>
      <c r="G538" s="4" t="s">
        <v>15</v>
      </c>
      <c r="H538" s="4">
        <v>30917</v>
      </c>
      <c r="I538" s="4" t="str">
        <f>VLOOKUP(B538,Customers!$A:$D,4,FALSE)</f>
        <v>Regular</v>
      </c>
      <c r="J538" s="4" t="s">
        <v>37</v>
      </c>
      <c r="K538" s="4" t="s">
        <v>36</v>
      </c>
    </row>
    <row r="539" spans="1:11" x14ac:dyDescent="0.2">
      <c r="A539" s="4">
        <v>5538</v>
      </c>
      <c r="B539" s="4">
        <v>1070</v>
      </c>
      <c r="C539" s="8">
        <v>46163</v>
      </c>
      <c r="D539" s="8">
        <v>46172</v>
      </c>
      <c r="E539" s="10">
        <f t="shared" si="8"/>
        <v>9</v>
      </c>
      <c r="F539" s="4" t="s">
        <v>18</v>
      </c>
      <c r="G539" s="4" t="s">
        <v>11</v>
      </c>
      <c r="H539" s="4">
        <v>39463</v>
      </c>
      <c r="I539" s="4" t="str">
        <f>VLOOKUP(B539,Customers!$A:$D,4,FALSE)</f>
        <v>Regular</v>
      </c>
      <c r="J539" s="4" t="s">
        <v>37</v>
      </c>
      <c r="K539" s="4" t="s">
        <v>36</v>
      </c>
    </row>
    <row r="540" spans="1:11" x14ac:dyDescent="0.2">
      <c r="A540" s="4">
        <v>5539</v>
      </c>
      <c r="B540" s="4">
        <v>1269</v>
      </c>
      <c r="C540" s="8">
        <v>46167</v>
      </c>
      <c r="D540" s="8">
        <v>46175</v>
      </c>
      <c r="E540" s="10">
        <f t="shared" si="8"/>
        <v>8</v>
      </c>
      <c r="F540" s="4" t="s">
        <v>22</v>
      </c>
      <c r="G540" s="4" t="s">
        <v>14</v>
      </c>
      <c r="H540" s="4">
        <v>31865</v>
      </c>
      <c r="I540" s="4" t="str">
        <f>VLOOKUP(B540,Customers!$A:$D,4,FALSE)</f>
        <v>Premium</v>
      </c>
      <c r="J540" s="4" t="s">
        <v>35</v>
      </c>
      <c r="K540" s="4" t="s">
        <v>36</v>
      </c>
    </row>
    <row r="541" spans="1:11" x14ac:dyDescent="0.2">
      <c r="A541" s="4">
        <v>5540</v>
      </c>
      <c r="B541" s="4">
        <v>1158</v>
      </c>
      <c r="C541" s="8">
        <v>46045</v>
      </c>
      <c r="D541" s="8">
        <v>46054</v>
      </c>
      <c r="E541" s="10">
        <f t="shared" si="8"/>
        <v>9</v>
      </c>
      <c r="F541" s="4" t="s">
        <v>19</v>
      </c>
      <c r="G541" s="4" t="s">
        <v>15</v>
      </c>
      <c r="H541" s="4">
        <v>17326</v>
      </c>
      <c r="I541" s="4" t="str">
        <f>VLOOKUP(B541,Customers!$A:$D,4,FALSE)</f>
        <v>Premium</v>
      </c>
      <c r="J541" s="4" t="s">
        <v>35</v>
      </c>
      <c r="K541" s="4" t="s">
        <v>36</v>
      </c>
    </row>
    <row r="542" spans="1:11" x14ac:dyDescent="0.2">
      <c r="A542" s="4">
        <v>5541</v>
      </c>
      <c r="B542" s="4">
        <v>1001</v>
      </c>
      <c r="C542" s="8">
        <v>46100</v>
      </c>
      <c r="D542" s="8">
        <v>46102</v>
      </c>
      <c r="E542" s="10">
        <f t="shared" si="8"/>
        <v>2</v>
      </c>
      <c r="F542" s="4" t="s">
        <v>18</v>
      </c>
      <c r="G542" s="4" t="s">
        <v>14</v>
      </c>
      <c r="H542" s="4">
        <v>19093</v>
      </c>
      <c r="I542" s="4" t="str">
        <f>VLOOKUP(B542,Customers!$A:$D,4,FALSE)</f>
        <v>Regular</v>
      </c>
      <c r="J542" s="4" t="s">
        <v>37</v>
      </c>
      <c r="K542" s="4" t="s">
        <v>36</v>
      </c>
    </row>
    <row r="543" spans="1:11" x14ac:dyDescent="0.2">
      <c r="A543" s="4">
        <v>5542</v>
      </c>
      <c r="B543" s="4">
        <v>1252</v>
      </c>
      <c r="C543" s="8">
        <v>46159</v>
      </c>
      <c r="D543" s="8">
        <v>46161</v>
      </c>
      <c r="E543" s="10">
        <f t="shared" si="8"/>
        <v>2</v>
      </c>
      <c r="F543" s="4" t="s">
        <v>25</v>
      </c>
      <c r="G543" s="4" t="s">
        <v>14</v>
      </c>
      <c r="H543" s="4">
        <v>898</v>
      </c>
      <c r="I543" s="4" t="str">
        <f>VLOOKUP(B543,Customers!$A:$D,4,FALSE)</f>
        <v>Regular</v>
      </c>
      <c r="J543" s="4" t="s">
        <v>37</v>
      </c>
      <c r="K543" s="4" t="s">
        <v>36</v>
      </c>
    </row>
    <row r="544" spans="1:11" x14ac:dyDescent="0.2">
      <c r="A544" s="4">
        <v>5543</v>
      </c>
      <c r="B544" s="4">
        <v>1004</v>
      </c>
      <c r="C544" s="8">
        <v>46097</v>
      </c>
      <c r="D544" s="8">
        <v>46102</v>
      </c>
      <c r="E544" s="10">
        <f t="shared" si="8"/>
        <v>5</v>
      </c>
      <c r="F544" s="4" t="s">
        <v>19</v>
      </c>
      <c r="G544" s="4" t="s">
        <v>13</v>
      </c>
      <c r="H544" s="4">
        <v>27283</v>
      </c>
      <c r="I544" s="4" t="str">
        <f>VLOOKUP(B544,Customers!$A:$D,4,FALSE)</f>
        <v>Regular</v>
      </c>
      <c r="J544" s="4" t="s">
        <v>37</v>
      </c>
      <c r="K544" s="4" t="s">
        <v>36</v>
      </c>
    </row>
    <row r="545" spans="1:11" x14ac:dyDescent="0.2">
      <c r="A545" s="4">
        <v>5544</v>
      </c>
      <c r="B545" s="4">
        <v>1084</v>
      </c>
      <c r="C545" s="8">
        <v>46124</v>
      </c>
      <c r="D545" s="8">
        <v>46129</v>
      </c>
      <c r="E545" s="10">
        <f t="shared" si="8"/>
        <v>5</v>
      </c>
      <c r="F545" s="4" t="s">
        <v>21</v>
      </c>
      <c r="G545" s="4" t="s">
        <v>15</v>
      </c>
      <c r="H545" s="4">
        <v>14756</v>
      </c>
      <c r="I545" s="4" t="str">
        <f>VLOOKUP(B545,Customers!$A:$D,4,FALSE)</f>
        <v>Premium</v>
      </c>
      <c r="J545" s="4" t="s">
        <v>37</v>
      </c>
      <c r="K545" s="4" t="s">
        <v>36</v>
      </c>
    </row>
    <row r="546" spans="1:11" x14ac:dyDescent="0.2">
      <c r="A546" s="4">
        <v>5545</v>
      </c>
      <c r="B546" s="4">
        <v>1123</v>
      </c>
      <c r="C546" s="8">
        <v>46043</v>
      </c>
      <c r="D546" s="8">
        <v>46051</v>
      </c>
      <c r="E546" s="10">
        <f t="shared" si="8"/>
        <v>8</v>
      </c>
      <c r="F546" s="4" t="s">
        <v>22</v>
      </c>
      <c r="G546" s="4" t="s">
        <v>14</v>
      </c>
      <c r="H546" s="4">
        <v>42797</v>
      </c>
      <c r="I546" s="4" t="str">
        <f>VLOOKUP(B546,Customers!$A:$D,4,FALSE)</f>
        <v>Premium</v>
      </c>
      <c r="J546" s="4" t="s">
        <v>37</v>
      </c>
      <c r="K546" s="4" t="s">
        <v>36</v>
      </c>
    </row>
    <row r="547" spans="1:11" x14ac:dyDescent="0.2">
      <c r="A547" s="4">
        <v>5546</v>
      </c>
      <c r="B547" s="4">
        <v>1036</v>
      </c>
      <c r="C547" s="8">
        <v>46128</v>
      </c>
      <c r="D547" s="8">
        <v>46133</v>
      </c>
      <c r="E547" s="10">
        <f t="shared" si="8"/>
        <v>5</v>
      </c>
      <c r="F547" s="4" t="s">
        <v>18</v>
      </c>
      <c r="G547" s="4" t="s">
        <v>13</v>
      </c>
      <c r="H547" s="4">
        <v>19278</v>
      </c>
      <c r="I547" s="4" t="str">
        <f>VLOOKUP(B547,Customers!$A:$D,4,FALSE)</f>
        <v>Regular</v>
      </c>
      <c r="J547" s="4" t="s">
        <v>35</v>
      </c>
      <c r="K547" s="4" t="s">
        <v>36</v>
      </c>
    </row>
    <row r="548" spans="1:11" x14ac:dyDescent="0.2">
      <c r="A548" s="4">
        <v>5547</v>
      </c>
      <c r="B548" s="4">
        <v>1140</v>
      </c>
      <c r="C548" s="8">
        <v>46139</v>
      </c>
      <c r="D548" s="8">
        <v>46148</v>
      </c>
      <c r="E548" s="10">
        <f t="shared" si="8"/>
        <v>9</v>
      </c>
      <c r="F548" s="4" t="s">
        <v>25</v>
      </c>
      <c r="G548" s="4" t="s">
        <v>13</v>
      </c>
      <c r="H548" s="4">
        <v>21313</v>
      </c>
      <c r="I548" s="4" t="str">
        <f>VLOOKUP(B548,Customers!$A:$D,4,FALSE)</f>
        <v>Premium</v>
      </c>
      <c r="J548" s="4" t="s">
        <v>35</v>
      </c>
      <c r="K548" s="4" t="s">
        <v>36</v>
      </c>
    </row>
    <row r="549" spans="1:11" x14ac:dyDescent="0.2">
      <c r="A549" s="4">
        <v>5548</v>
      </c>
      <c r="B549" s="4">
        <v>1274</v>
      </c>
      <c r="C549" s="8">
        <v>46061</v>
      </c>
      <c r="D549" s="8">
        <v>46063</v>
      </c>
      <c r="E549" s="10">
        <f t="shared" si="8"/>
        <v>2</v>
      </c>
      <c r="F549" s="4" t="s">
        <v>20</v>
      </c>
      <c r="G549" s="4" t="s">
        <v>13</v>
      </c>
      <c r="H549" s="4">
        <v>7002</v>
      </c>
      <c r="I549" s="4" t="str">
        <f>VLOOKUP(B549,Customers!$A:$D,4,FALSE)</f>
        <v>Regular</v>
      </c>
      <c r="J549" s="4" t="s">
        <v>37</v>
      </c>
      <c r="K549" s="4" t="s">
        <v>36</v>
      </c>
    </row>
    <row r="550" spans="1:11" x14ac:dyDescent="0.2">
      <c r="A550" s="4">
        <v>5549</v>
      </c>
      <c r="B550" s="4">
        <v>1225</v>
      </c>
      <c r="C550" s="8">
        <v>46091</v>
      </c>
      <c r="D550" s="8">
        <v>46095</v>
      </c>
      <c r="E550" s="10">
        <f t="shared" si="8"/>
        <v>4</v>
      </c>
      <c r="F550" s="4" t="s">
        <v>20</v>
      </c>
      <c r="G550" s="4" t="s">
        <v>13</v>
      </c>
      <c r="H550" s="4">
        <v>6211</v>
      </c>
      <c r="I550" s="4" t="str">
        <f>VLOOKUP(B550,Customers!$A:$D,4,FALSE)</f>
        <v>Regular</v>
      </c>
      <c r="J550" s="4" t="s">
        <v>35</v>
      </c>
      <c r="K550" s="4" t="s">
        <v>36</v>
      </c>
    </row>
    <row r="551" spans="1:11" x14ac:dyDescent="0.2">
      <c r="A551" s="4">
        <v>5550</v>
      </c>
      <c r="B551" s="4">
        <v>1112</v>
      </c>
      <c r="C551" s="8">
        <v>46026</v>
      </c>
      <c r="D551" s="8">
        <v>46035</v>
      </c>
      <c r="E551" s="10">
        <f t="shared" si="8"/>
        <v>9</v>
      </c>
      <c r="F551" s="4" t="s">
        <v>19</v>
      </c>
      <c r="G551" s="4" t="s">
        <v>15</v>
      </c>
      <c r="H551" s="4">
        <v>20719</v>
      </c>
      <c r="I551" s="4" t="str">
        <f>VLOOKUP(B551,Customers!$A:$D,4,FALSE)</f>
        <v>Premium</v>
      </c>
      <c r="J551" s="4" t="s">
        <v>37</v>
      </c>
      <c r="K551" s="4" t="s">
        <v>36</v>
      </c>
    </row>
    <row r="552" spans="1:11" x14ac:dyDescent="0.2">
      <c r="A552" s="4">
        <v>5551</v>
      </c>
      <c r="B552" s="4">
        <v>1017</v>
      </c>
      <c r="C552" s="8">
        <v>46118</v>
      </c>
      <c r="D552" s="8">
        <v>46127</v>
      </c>
      <c r="E552" s="10">
        <f t="shared" si="8"/>
        <v>9</v>
      </c>
      <c r="F552" s="4" t="s">
        <v>19</v>
      </c>
      <c r="G552" s="4" t="s">
        <v>12</v>
      </c>
      <c r="H552" s="4">
        <v>49489</v>
      </c>
      <c r="I552" s="4" t="str">
        <f>VLOOKUP(B552,Customers!$A:$D,4,FALSE)</f>
        <v>Regular</v>
      </c>
      <c r="J552" s="4" t="s">
        <v>35</v>
      </c>
      <c r="K552" s="4" t="s">
        <v>36</v>
      </c>
    </row>
    <row r="553" spans="1:11" x14ac:dyDescent="0.2">
      <c r="A553" s="4">
        <v>5552</v>
      </c>
      <c r="B553" s="4">
        <v>1201</v>
      </c>
      <c r="C553" s="8">
        <v>46037</v>
      </c>
      <c r="D553" s="8">
        <v>46043</v>
      </c>
      <c r="E553" s="10">
        <f t="shared" si="8"/>
        <v>6</v>
      </c>
      <c r="F553" s="4" t="s">
        <v>23</v>
      </c>
      <c r="G553" s="4" t="s">
        <v>11</v>
      </c>
      <c r="H553" s="4">
        <v>31111</v>
      </c>
      <c r="I553" s="4" t="str">
        <f>VLOOKUP(B553,Customers!$A:$D,4,FALSE)</f>
        <v>Premium</v>
      </c>
      <c r="J553" s="4" t="s">
        <v>35</v>
      </c>
      <c r="K553" s="4" t="s">
        <v>36</v>
      </c>
    </row>
    <row r="554" spans="1:11" x14ac:dyDescent="0.2">
      <c r="A554" s="4">
        <v>5553</v>
      </c>
      <c r="B554" s="4">
        <v>1196</v>
      </c>
      <c r="C554" s="8">
        <v>46072</v>
      </c>
      <c r="D554" s="8">
        <v>46078</v>
      </c>
      <c r="E554" s="10">
        <f t="shared" si="8"/>
        <v>6</v>
      </c>
      <c r="F554" s="4" t="s">
        <v>20</v>
      </c>
      <c r="G554" s="4" t="s">
        <v>12</v>
      </c>
      <c r="H554" s="4">
        <v>47137</v>
      </c>
      <c r="I554" s="4" t="str">
        <f>VLOOKUP(B554,Customers!$A:$D,4,FALSE)</f>
        <v>Premium</v>
      </c>
      <c r="J554" s="4" t="s">
        <v>35</v>
      </c>
      <c r="K554" s="4" t="s">
        <v>36</v>
      </c>
    </row>
    <row r="555" spans="1:11" x14ac:dyDescent="0.2">
      <c r="A555" s="4">
        <v>5554</v>
      </c>
      <c r="B555" s="4">
        <v>1127</v>
      </c>
      <c r="C555" s="8">
        <v>46121</v>
      </c>
      <c r="D555" s="8">
        <v>46130</v>
      </c>
      <c r="E555" s="10">
        <f t="shared" si="8"/>
        <v>9</v>
      </c>
      <c r="F555" s="4" t="s">
        <v>20</v>
      </c>
      <c r="G555" s="4" t="s">
        <v>13</v>
      </c>
      <c r="H555" s="4">
        <v>30501</v>
      </c>
      <c r="I555" s="4" t="str">
        <f>VLOOKUP(B555,Customers!$A:$D,4,FALSE)</f>
        <v>Regular</v>
      </c>
      <c r="J555" s="4" t="s">
        <v>35</v>
      </c>
      <c r="K555" s="4" t="s">
        <v>36</v>
      </c>
    </row>
    <row r="556" spans="1:11" x14ac:dyDescent="0.2">
      <c r="A556" s="4">
        <v>5555</v>
      </c>
      <c r="B556" s="4">
        <v>1243</v>
      </c>
      <c r="C556" s="8">
        <v>46156</v>
      </c>
      <c r="D556" s="8">
        <v>46161</v>
      </c>
      <c r="E556" s="10">
        <f t="shared" si="8"/>
        <v>5</v>
      </c>
      <c r="F556" s="4" t="s">
        <v>21</v>
      </c>
      <c r="G556" s="4" t="s">
        <v>14</v>
      </c>
      <c r="H556" s="4">
        <v>21472</v>
      </c>
      <c r="I556" s="4" t="str">
        <f>VLOOKUP(B556,Customers!$A:$D,4,FALSE)</f>
        <v>Regular</v>
      </c>
      <c r="J556" s="4" t="s">
        <v>35</v>
      </c>
      <c r="K556" s="4" t="s">
        <v>36</v>
      </c>
    </row>
    <row r="557" spans="1:11" x14ac:dyDescent="0.2">
      <c r="A557" s="4">
        <v>5556</v>
      </c>
      <c r="B557" s="4">
        <v>1267</v>
      </c>
      <c r="C557" s="8">
        <v>46033</v>
      </c>
      <c r="D557" s="8">
        <v>46043</v>
      </c>
      <c r="E557" s="10">
        <f t="shared" si="8"/>
        <v>10</v>
      </c>
      <c r="F557" s="4" t="s">
        <v>23</v>
      </c>
      <c r="G557" s="4" t="s">
        <v>14</v>
      </c>
      <c r="H557" s="4">
        <v>31837</v>
      </c>
      <c r="I557" s="4" t="str">
        <f>VLOOKUP(B557,Customers!$A:$D,4,FALSE)</f>
        <v>Premium</v>
      </c>
      <c r="J557" s="4" t="s">
        <v>37</v>
      </c>
      <c r="K557" s="4" t="s">
        <v>36</v>
      </c>
    </row>
    <row r="558" spans="1:11" x14ac:dyDescent="0.2">
      <c r="A558" s="4">
        <v>5557</v>
      </c>
      <c r="B558" s="4">
        <v>1027</v>
      </c>
      <c r="C558" s="8">
        <v>46073</v>
      </c>
      <c r="D558" s="8">
        <v>46080</v>
      </c>
      <c r="E558" s="10">
        <f t="shared" si="8"/>
        <v>7</v>
      </c>
      <c r="F558" s="4" t="s">
        <v>24</v>
      </c>
      <c r="G558" s="4" t="s">
        <v>12</v>
      </c>
      <c r="H558" s="4">
        <v>15764</v>
      </c>
      <c r="I558" s="4" t="str">
        <f>VLOOKUP(B558,Customers!$A:$D,4,FALSE)</f>
        <v>Premium</v>
      </c>
      <c r="J558" s="4" t="s">
        <v>37</v>
      </c>
      <c r="K558" s="4" t="s">
        <v>36</v>
      </c>
    </row>
    <row r="559" spans="1:11" x14ac:dyDescent="0.2">
      <c r="A559" s="4">
        <v>5558</v>
      </c>
      <c r="B559" s="4">
        <v>1086</v>
      </c>
      <c r="C559" s="8">
        <v>46106</v>
      </c>
      <c r="D559" s="8">
        <v>46108</v>
      </c>
      <c r="E559" s="10">
        <f t="shared" si="8"/>
        <v>2</v>
      </c>
      <c r="F559" s="4" t="s">
        <v>22</v>
      </c>
      <c r="G559" s="4" t="s">
        <v>11</v>
      </c>
      <c r="H559" s="4">
        <v>8141</v>
      </c>
      <c r="I559" s="4" t="str">
        <f>VLOOKUP(B559,Customers!$A:$D,4,FALSE)</f>
        <v>Premium</v>
      </c>
      <c r="J559" s="4" t="s">
        <v>37</v>
      </c>
      <c r="K559" s="4" t="s">
        <v>36</v>
      </c>
    </row>
    <row r="560" spans="1:11" x14ac:dyDescent="0.2">
      <c r="A560" s="4">
        <v>5559</v>
      </c>
      <c r="B560" s="4">
        <v>1022</v>
      </c>
      <c r="C560" s="8">
        <v>46085</v>
      </c>
      <c r="D560" s="8">
        <v>46087</v>
      </c>
      <c r="E560" s="10">
        <f t="shared" si="8"/>
        <v>2</v>
      </c>
      <c r="F560" s="4" t="s">
        <v>25</v>
      </c>
      <c r="G560" s="4" t="s">
        <v>11</v>
      </c>
      <c r="H560" s="4">
        <v>10457</v>
      </c>
      <c r="I560" s="4" t="str">
        <f>VLOOKUP(B560,Customers!$A:$D,4,FALSE)</f>
        <v>Premium</v>
      </c>
      <c r="J560" s="4" t="s">
        <v>37</v>
      </c>
      <c r="K560" s="4" t="s">
        <v>36</v>
      </c>
    </row>
    <row r="561" spans="1:11" x14ac:dyDescent="0.2">
      <c r="A561" s="4">
        <v>5560</v>
      </c>
      <c r="B561" s="4">
        <v>1081</v>
      </c>
      <c r="C561" s="8">
        <v>46045</v>
      </c>
      <c r="D561" s="8">
        <v>46050</v>
      </c>
      <c r="E561" s="10">
        <f t="shared" si="8"/>
        <v>5</v>
      </c>
      <c r="F561" s="4" t="s">
        <v>25</v>
      </c>
      <c r="G561" s="4" t="s">
        <v>12</v>
      </c>
      <c r="H561" s="4">
        <v>45254</v>
      </c>
      <c r="I561" s="4" t="str">
        <f>VLOOKUP(B561,Customers!$A:$D,4,FALSE)</f>
        <v>Premium</v>
      </c>
      <c r="J561" s="4" t="s">
        <v>37</v>
      </c>
      <c r="K561" s="4" t="s">
        <v>36</v>
      </c>
    </row>
    <row r="562" spans="1:11" x14ac:dyDescent="0.2">
      <c r="A562" s="4">
        <v>5561</v>
      </c>
      <c r="B562" s="4">
        <v>1183</v>
      </c>
      <c r="C562" s="8">
        <v>46038</v>
      </c>
      <c r="D562" s="8">
        <v>46040</v>
      </c>
      <c r="E562" s="10">
        <f t="shared" si="8"/>
        <v>2</v>
      </c>
      <c r="F562" s="4" t="s">
        <v>18</v>
      </c>
      <c r="G562" s="4" t="s">
        <v>11</v>
      </c>
      <c r="H562" s="4">
        <v>7338</v>
      </c>
      <c r="I562" s="4" t="str">
        <f>VLOOKUP(B562,Customers!$A:$D,4,FALSE)</f>
        <v>Regular</v>
      </c>
      <c r="J562" s="4" t="s">
        <v>35</v>
      </c>
      <c r="K562" s="4" t="s">
        <v>36</v>
      </c>
    </row>
    <row r="563" spans="1:11" x14ac:dyDescent="0.2">
      <c r="A563" s="4">
        <v>5562</v>
      </c>
      <c r="B563" s="4">
        <v>1163</v>
      </c>
      <c r="C563" s="8">
        <v>46147</v>
      </c>
      <c r="D563" s="8">
        <v>46152</v>
      </c>
      <c r="E563" s="10">
        <f t="shared" si="8"/>
        <v>5</v>
      </c>
      <c r="F563" s="4" t="s">
        <v>19</v>
      </c>
      <c r="G563" s="4" t="s">
        <v>15</v>
      </c>
      <c r="H563" s="4">
        <v>48350</v>
      </c>
      <c r="I563" s="4" t="str">
        <f>VLOOKUP(B563,Customers!$A:$D,4,FALSE)</f>
        <v>Regular</v>
      </c>
      <c r="J563" s="4" t="s">
        <v>35</v>
      </c>
      <c r="K563" s="4" t="s">
        <v>36</v>
      </c>
    </row>
    <row r="564" spans="1:11" x14ac:dyDescent="0.2">
      <c r="A564" s="4">
        <v>5563</v>
      </c>
      <c r="B564" s="4">
        <v>1184</v>
      </c>
      <c r="C564" s="8">
        <v>46028</v>
      </c>
      <c r="D564" s="8">
        <v>46036</v>
      </c>
      <c r="E564" s="10">
        <f t="shared" si="8"/>
        <v>8</v>
      </c>
      <c r="F564" s="4" t="s">
        <v>18</v>
      </c>
      <c r="G564" s="4" t="s">
        <v>14</v>
      </c>
      <c r="H564" s="4">
        <v>2887</v>
      </c>
      <c r="I564" s="4" t="str">
        <f>VLOOKUP(B564,Customers!$A:$D,4,FALSE)</f>
        <v>Premium</v>
      </c>
      <c r="J564" s="4" t="s">
        <v>37</v>
      </c>
      <c r="K564" s="4" t="s">
        <v>36</v>
      </c>
    </row>
    <row r="565" spans="1:11" x14ac:dyDescent="0.2">
      <c r="A565" s="4">
        <v>5564</v>
      </c>
      <c r="B565" s="4">
        <v>1151</v>
      </c>
      <c r="C565" s="8">
        <v>46135</v>
      </c>
      <c r="D565" s="8">
        <v>46145</v>
      </c>
      <c r="E565" s="10">
        <f t="shared" si="8"/>
        <v>10</v>
      </c>
      <c r="F565" s="4" t="s">
        <v>25</v>
      </c>
      <c r="G565" s="4" t="s">
        <v>13</v>
      </c>
      <c r="H565" s="4">
        <v>37439</v>
      </c>
      <c r="I565" s="4" t="str">
        <f>VLOOKUP(B565,Customers!$A:$D,4,FALSE)</f>
        <v>Regular</v>
      </c>
      <c r="J565" s="4" t="s">
        <v>35</v>
      </c>
      <c r="K565" s="4" t="s">
        <v>36</v>
      </c>
    </row>
    <row r="566" spans="1:11" x14ac:dyDescent="0.2">
      <c r="A566" s="4">
        <v>5565</v>
      </c>
      <c r="B566" s="4">
        <v>1166</v>
      </c>
      <c r="C566" s="8">
        <v>46162</v>
      </c>
      <c r="D566" s="8">
        <v>46169</v>
      </c>
      <c r="E566" s="10">
        <f t="shared" si="8"/>
        <v>7</v>
      </c>
      <c r="F566" s="4" t="s">
        <v>25</v>
      </c>
      <c r="G566" s="4" t="s">
        <v>14</v>
      </c>
      <c r="H566" s="4">
        <v>39535</v>
      </c>
      <c r="I566" s="4" t="str">
        <f>VLOOKUP(B566,Customers!$A:$D,4,FALSE)</f>
        <v>Premium</v>
      </c>
      <c r="J566" s="4" t="s">
        <v>35</v>
      </c>
      <c r="K566" s="4" t="s">
        <v>36</v>
      </c>
    </row>
    <row r="567" spans="1:11" x14ac:dyDescent="0.2">
      <c r="A567" s="4">
        <v>5566</v>
      </c>
      <c r="B567" s="4">
        <v>1080</v>
      </c>
      <c r="C567" s="8">
        <v>46040</v>
      </c>
      <c r="D567" s="8">
        <v>46050</v>
      </c>
      <c r="E567" s="10">
        <f t="shared" si="8"/>
        <v>10</v>
      </c>
      <c r="F567" s="4" t="s">
        <v>25</v>
      </c>
      <c r="G567" s="4" t="s">
        <v>14</v>
      </c>
      <c r="H567" s="4">
        <v>17558</v>
      </c>
      <c r="I567" s="4" t="str">
        <f>VLOOKUP(B567,Customers!$A:$D,4,FALSE)</f>
        <v>Premium</v>
      </c>
      <c r="J567" s="4" t="s">
        <v>37</v>
      </c>
      <c r="K567" s="4" t="s">
        <v>36</v>
      </c>
    </row>
    <row r="568" spans="1:11" x14ac:dyDescent="0.2">
      <c r="A568" s="4">
        <v>5567</v>
      </c>
      <c r="B568" s="4">
        <v>1260</v>
      </c>
      <c r="C568" s="8">
        <v>46139</v>
      </c>
      <c r="D568" s="8">
        <v>46141</v>
      </c>
      <c r="E568" s="10">
        <f t="shared" si="8"/>
        <v>2</v>
      </c>
      <c r="F568" s="4" t="s">
        <v>21</v>
      </c>
      <c r="G568" s="4" t="s">
        <v>13</v>
      </c>
      <c r="H568" s="4">
        <v>1526</v>
      </c>
      <c r="I568" s="4" t="str">
        <f>VLOOKUP(B568,Customers!$A:$D,4,FALSE)</f>
        <v>Regular</v>
      </c>
      <c r="J568" s="4" t="s">
        <v>37</v>
      </c>
      <c r="K568" s="4" t="s">
        <v>36</v>
      </c>
    </row>
    <row r="569" spans="1:11" x14ac:dyDescent="0.2">
      <c r="A569" s="4">
        <v>5568</v>
      </c>
      <c r="B569" s="4">
        <v>1033</v>
      </c>
      <c r="C569" s="8">
        <v>46084</v>
      </c>
      <c r="D569" s="8">
        <v>46091</v>
      </c>
      <c r="E569" s="10">
        <f t="shared" si="8"/>
        <v>7</v>
      </c>
      <c r="F569" s="4" t="s">
        <v>21</v>
      </c>
      <c r="G569" s="4" t="s">
        <v>13</v>
      </c>
      <c r="H569" s="4">
        <v>34645</v>
      </c>
      <c r="I569" s="4" t="str">
        <f>VLOOKUP(B569,Customers!$A:$D,4,FALSE)</f>
        <v>Premium</v>
      </c>
      <c r="J569" s="4" t="s">
        <v>37</v>
      </c>
      <c r="K569" s="4" t="s">
        <v>36</v>
      </c>
    </row>
    <row r="570" spans="1:11" x14ac:dyDescent="0.2">
      <c r="A570" s="4">
        <v>5569</v>
      </c>
      <c r="B570" s="4">
        <v>1145</v>
      </c>
      <c r="C570" s="8">
        <v>46164</v>
      </c>
      <c r="D570" s="8">
        <v>46168</v>
      </c>
      <c r="E570" s="10">
        <f t="shared" si="8"/>
        <v>4</v>
      </c>
      <c r="F570" s="4" t="s">
        <v>19</v>
      </c>
      <c r="G570" s="4" t="s">
        <v>15</v>
      </c>
      <c r="H570" s="4">
        <v>42302</v>
      </c>
      <c r="I570" s="4" t="str">
        <f>VLOOKUP(B570,Customers!$A:$D,4,FALSE)</f>
        <v>Regular</v>
      </c>
      <c r="J570" s="4" t="s">
        <v>37</v>
      </c>
      <c r="K570" s="4" t="s">
        <v>36</v>
      </c>
    </row>
    <row r="571" spans="1:11" x14ac:dyDescent="0.2">
      <c r="A571" s="4">
        <v>5570</v>
      </c>
      <c r="B571" s="4">
        <v>1268</v>
      </c>
      <c r="C571" s="8">
        <v>46051</v>
      </c>
      <c r="D571" s="8">
        <v>46054</v>
      </c>
      <c r="E571" s="10">
        <f t="shared" si="8"/>
        <v>3</v>
      </c>
      <c r="F571" s="4" t="s">
        <v>23</v>
      </c>
      <c r="G571" s="4" t="s">
        <v>12</v>
      </c>
      <c r="H571" s="4">
        <v>8804</v>
      </c>
      <c r="I571" s="4" t="str">
        <f>VLOOKUP(B571,Customers!$A:$D,4,FALSE)</f>
        <v>Regular</v>
      </c>
      <c r="J571" s="4" t="s">
        <v>35</v>
      </c>
      <c r="K571" s="4" t="s">
        <v>36</v>
      </c>
    </row>
    <row r="572" spans="1:11" x14ac:dyDescent="0.2">
      <c r="A572" s="4">
        <v>5571</v>
      </c>
      <c r="B572" s="4">
        <v>1055</v>
      </c>
      <c r="C572" s="8">
        <v>46031</v>
      </c>
      <c r="D572" s="8">
        <v>46036</v>
      </c>
      <c r="E572" s="10">
        <f t="shared" si="8"/>
        <v>5</v>
      </c>
      <c r="F572" s="4" t="s">
        <v>25</v>
      </c>
      <c r="G572" s="4" t="s">
        <v>13</v>
      </c>
      <c r="H572" s="4">
        <v>6771</v>
      </c>
      <c r="I572" s="4" t="str">
        <f>VLOOKUP(B572,Customers!$A:$D,4,FALSE)</f>
        <v>Regular</v>
      </c>
      <c r="J572" s="4" t="s">
        <v>35</v>
      </c>
      <c r="K572" s="4" t="s">
        <v>36</v>
      </c>
    </row>
    <row r="573" spans="1:11" x14ac:dyDescent="0.2">
      <c r="A573" s="4">
        <v>5572</v>
      </c>
      <c r="B573" s="4">
        <v>1251</v>
      </c>
      <c r="C573" s="8">
        <v>46169</v>
      </c>
      <c r="D573" s="8">
        <v>46177</v>
      </c>
      <c r="E573" s="10">
        <f t="shared" si="8"/>
        <v>8</v>
      </c>
      <c r="F573" s="4" t="s">
        <v>22</v>
      </c>
      <c r="G573" s="4" t="s">
        <v>12</v>
      </c>
      <c r="H573" s="4">
        <v>24309</v>
      </c>
      <c r="I573" s="4" t="str">
        <f>VLOOKUP(B573,Customers!$A:$D,4,FALSE)</f>
        <v>Premium</v>
      </c>
      <c r="J573" s="4" t="s">
        <v>35</v>
      </c>
      <c r="K573" s="4" t="s">
        <v>36</v>
      </c>
    </row>
    <row r="574" spans="1:11" x14ac:dyDescent="0.2">
      <c r="A574" s="4">
        <v>5573</v>
      </c>
      <c r="B574" s="4">
        <v>1107</v>
      </c>
      <c r="C574" s="8">
        <v>46041</v>
      </c>
      <c r="D574" s="8">
        <v>46043</v>
      </c>
      <c r="E574" s="10">
        <f t="shared" si="8"/>
        <v>2</v>
      </c>
      <c r="F574" s="4" t="s">
        <v>25</v>
      </c>
      <c r="G574" s="4" t="s">
        <v>12</v>
      </c>
      <c r="H574" s="4">
        <v>30974</v>
      </c>
      <c r="I574" s="4" t="str">
        <f>VLOOKUP(B574,Customers!$A:$D,4,FALSE)</f>
        <v>Premium</v>
      </c>
      <c r="J574" s="4" t="s">
        <v>35</v>
      </c>
      <c r="K574" s="4" t="s">
        <v>36</v>
      </c>
    </row>
    <row r="575" spans="1:11" x14ac:dyDescent="0.2">
      <c r="A575" s="4">
        <v>5574</v>
      </c>
      <c r="B575" s="4">
        <v>1213</v>
      </c>
      <c r="C575" s="8">
        <v>46115</v>
      </c>
      <c r="D575" s="8">
        <v>46125</v>
      </c>
      <c r="E575" s="10">
        <f t="shared" si="8"/>
        <v>10</v>
      </c>
      <c r="F575" s="4" t="s">
        <v>19</v>
      </c>
      <c r="G575" s="4" t="s">
        <v>12</v>
      </c>
      <c r="H575" s="4">
        <v>40731</v>
      </c>
      <c r="I575" s="4" t="str">
        <f>VLOOKUP(B575,Customers!$A:$D,4,FALSE)</f>
        <v>Premium</v>
      </c>
      <c r="J575" s="4" t="s">
        <v>37</v>
      </c>
      <c r="K575" s="4" t="s">
        <v>36</v>
      </c>
    </row>
    <row r="576" spans="1:11" x14ac:dyDescent="0.2">
      <c r="A576" s="4">
        <v>5575</v>
      </c>
      <c r="B576" s="4">
        <v>1037</v>
      </c>
      <c r="C576" s="8">
        <v>46158</v>
      </c>
      <c r="D576" s="8">
        <v>46160</v>
      </c>
      <c r="E576" s="10">
        <f t="shared" si="8"/>
        <v>2</v>
      </c>
      <c r="F576" s="4" t="s">
        <v>22</v>
      </c>
      <c r="G576" s="4" t="s">
        <v>12</v>
      </c>
      <c r="H576" s="4">
        <v>14449</v>
      </c>
      <c r="I576" s="4" t="str">
        <f>VLOOKUP(B576,Customers!$A:$D,4,FALSE)</f>
        <v>Premium</v>
      </c>
      <c r="J576" s="4" t="s">
        <v>35</v>
      </c>
      <c r="K576" s="4" t="s">
        <v>36</v>
      </c>
    </row>
    <row r="577" spans="1:11" x14ac:dyDescent="0.2">
      <c r="A577" s="4">
        <v>5576</v>
      </c>
      <c r="B577" s="4">
        <v>1273</v>
      </c>
      <c r="C577" s="8">
        <v>46048</v>
      </c>
      <c r="D577" s="8">
        <v>46053</v>
      </c>
      <c r="E577" s="10">
        <f t="shared" si="8"/>
        <v>5</v>
      </c>
      <c r="F577" s="4" t="s">
        <v>21</v>
      </c>
      <c r="G577" s="4" t="s">
        <v>13</v>
      </c>
      <c r="H577" s="4">
        <v>12956</v>
      </c>
      <c r="I577" s="4" t="str">
        <f>VLOOKUP(B577,Customers!$A:$D,4,FALSE)</f>
        <v>Regular</v>
      </c>
      <c r="J577" s="4" t="s">
        <v>35</v>
      </c>
      <c r="K577" s="4" t="s">
        <v>36</v>
      </c>
    </row>
    <row r="578" spans="1:11" x14ac:dyDescent="0.2">
      <c r="A578" s="4">
        <v>5577</v>
      </c>
      <c r="B578" s="4">
        <v>1286</v>
      </c>
      <c r="C578" s="8">
        <v>46168</v>
      </c>
      <c r="D578" s="8">
        <v>46172</v>
      </c>
      <c r="E578" s="10">
        <f t="shared" si="8"/>
        <v>4</v>
      </c>
      <c r="F578" s="4" t="s">
        <v>21</v>
      </c>
      <c r="G578" s="4" t="s">
        <v>12</v>
      </c>
      <c r="H578" s="4">
        <v>42152</v>
      </c>
      <c r="I578" s="4" t="str">
        <f>VLOOKUP(B578,Customers!$A:$D,4,FALSE)</f>
        <v>Premium</v>
      </c>
      <c r="J578" s="4" t="s">
        <v>37</v>
      </c>
      <c r="K578" s="4" t="s">
        <v>36</v>
      </c>
    </row>
    <row r="579" spans="1:11" x14ac:dyDescent="0.2">
      <c r="A579" s="4">
        <v>5578</v>
      </c>
      <c r="B579" s="4">
        <v>1054</v>
      </c>
      <c r="C579" s="8">
        <v>46140</v>
      </c>
      <c r="D579" s="8">
        <v>46148</v>
      </c>
      <c r="E579" s="10">
        <f t="shared" ref="E579:E642" si="9">D579-C579</f>
        <v>8</v>
      </c>
      <c r="F579" s="4" t="s">
        <v>18</v>
      </c>
      <c r="G579" s="4" t="s">
        <v>13</v>
      </c>
      <c r="H579" s="4">
        <v>36342</v>
      </c>
      <c r="I579" s="4" t="str">
        <f>VLOOKUP(B579,Customers!$A:$D,4,FALSE)</f>
        <v>Premium</v>
      </c>
      <c r="J579" s="4" t="s">
        <v>37</v>
      </c>
      <c r="K579" s="4" t="s">
        <v>36</v>
      </c>
    </row>
    <row r="580" spans="1:11" x14ac:dyDescent="0.2">
      <c r="A580" s="4">
        <v>5579</v>
      </c>
      <c r="B580" s="4">
        <v>1081</v>
      </c>
      <c r="C580" s="8">
        <v>46152</v>
      </c>
      <c r="D580" s="8">
        <v>46159</v>
      </c>
      <c r="E580" s="10">
        <f t="shared" si="9"/>
        <v>7</v>
      </c>
      <c r="F580" s="4" t="s">
        <v>25</v>
      </c>
      <c r="G580" s="4" t="s">
        <v>14</v>
      </c>
      <c r="H580" s="4">
        <v>20953</v>
      </c>
      <c r="I580" s="4" t="str">
        <f>VLOOKUP(B580,Customers!$A:$D,4,FALSE)</f>
        <v>Premium</v>
      </c>
      <c r="J580" s="4" t="s">
        <v>37</v>
      </c>
      <c r="K580" s="4" t="s">
        <v>36</v>
      </c>
    </row>
    <row r="581" spans="1:11" x14ac:dyDescent="0.2">
      <c r="A581" s="4">
        <v>5580</v>
      </c>
      <c r="B581" s="4">
        <v>1221</v>
      </c>
      <c r="C581" s="8">
        <v>46118</v>
      </c>
      <c r="D581" s="8">
        <v>46126</v>
      </c>
      <c r="E581" s="10">
        <f t="shared" si="9"/>
        <v>8</v>
      </c>
      <c r="F581" s="4" t="s">
        <v>19</v>
      </c>
      <c r="G581" s="4" t="s">
        <v>11</v>
      </c>
      <c r="H581" s="4">
        <v>16075</v>
      </c>
      <c r="I581" s="4" t="str">
        <f>VLOOKUP(B581,Customers!$A:$D,4,FALSE)</f>
        <v>Premium</v>
      </c>
      <c r="J581" s="4" t="s">
        <v>35</v>
      </c>
      <c r="K581" s="4" t="s">
        <v>36</v>
      </c>
    </row>
    <row r="582" spans="1:11" x14ac:dyDescent="0.2">
      <c r="A582" s="4">
        <v>5581</v>
      </c>
      <c r="B582" s="4">
        <v>1131</v>
      </c>
      <c r="C582" s="8">
        <v>46119</v>
      </c>
      <c r="D582" s="8">
        <v>46129</v>
      </c>
      <c r="E582" s="10">
        <f t="shared" si="9"/>
        <v>10</v>
      </c>
      <c r="F582" s="4" t="s">
        <v>19</v>
      </c>
      <c r="G582" s="4" t="s">
        <v>15</v>
      </c>
      <c r="H582" s="4">
        <v>29627</v>
      </c>
      <c r="I582" s="4" t="str">
        <f>VLOOKUP(B582,Customers!$A:$D,4,FALSE)</f>
        <v>Premium</v>
      </c>
      <c r="J582" s="4" t="s">
        <v>37</v>
      </c>
      <c r="K582" s="4" t="s">
        <v>36</v>
      </c>
    </row>
    <row r="583" spans="1:11" x14ac:dyDescent="0.2">
      <c r="A583" s="4">
        <v>5582</v>
      </c>
      <c r="B583" s="4">
        <v>1146</v>
      </c>
      <c r="C583" s="8">
        <v>46023</v>
      </c>
      <c r="D583" s="8">
        <v>46025</v>
      </c>
      <c r="E583" s="10">
        <f t="shared" si="9"/>
        <v>2</v>
      </c>
      <c r="F583" s="4" t="s">
        <v>20</v>
      </c>
      <c r="G583" s="4" t="s">
        <v>11</v>
      </c>
      <c r="H583" s="4">
        <v>9152</v>
      </c>
      <c r="I583" s="4" t="str">
        <f>VLOOKUP(B583,Customers!$A:$D,4,FALSE)</f>
        <v>Regular</v>
      </c>
      <c r="J583" s="4" t="s">
        <v>37</v>
      </c>
      <c r="K583" s="4" t="s">
        <v>36</v>
      </c>
    </row>
    <row r="584" spans="1:11" x14ac:dyDescent="0.2">
      <c r="A584" s="4">
        <v>5583</v>
      </c>
      <c r="B584" s="4">
        <v>1114</v>
      </c>
      <c r="C584" s="8">
        <v>46024</v>
      </c>
      <c r="D584" s="8">
        <v>46030</v>
      </c>
      <c r="E584" s="10">
        <f t="shared" si="9"/>
        <v>6</v>
      </c>
      <c r="F584" s="4" t="s">
        <v>24</v>
      </c>
      <c r="G584" s="4" t="s">
        <v>14</v>
      </c>
      <c r="H584" s="4">
        <v>1722</v>
      </c>
      <c r="I584" s="4" t="str">
        <f>VLOOKUP(B584,Customers!$A:$D,4,FALSE)</f>
        <v>Regular</v>
      </c>
      <c r="J584" s="4" t="s">
        <v>37</v>
      </c>
      <c r="K584" s="4" t="s">
        <v>36</v>
      </c>
    </row>
    <row r="585" spans="1:11" x14ac:dyDescent="0.2">
      <c r="A585" s="4">
        <v>5584</v>
      </c>
      <c r="B585" s="4">
        <v>1285</v>
      </c>
      <c r="C585" s="8">
        <v>46164</v>
      </c>
      <c r="D585" s="8">
        <v>46174</v>
      </c>
      <c r="E585" s="10">
        <f t="shared" si="9"/>
        <v>10</v>
      </c>
      <c r="F585" s="4" t="s">
        <v>18</v>
      </c>
      <c r="G585" s="4" t="s">
        <v>12</v>
      </c>
      <c r="H585" s="4">
        <v>2773</v>
      </c>
      <c r="I585" s="4" t="str">
        <f>VLOOKUP(B585,Customers!$A:$D,4,FALSE)</f>
        <v>Premium</v>
      </c>
      <c r="J585" s="4" t="s">
        <v>37</v>
      </c>
      <c r="K585" s="4" t="s">
        <v>36</v>
      </c>
    </row>
    <row r="586" spans="1:11" x14ac:dyDescent="0.2">
      <c r="A586" s="4">
        <v>5585</v>
      </c>
      <c r="B586" s="4">
        <v>1071</v>
      </c>
      <c r="C586" s="8">
        <v>46114</v>
      </c>
      <c r="D586" s="8">
        <v>46118</v>
      </c>
      <c r="E586" s="10">
        <f t="shared" si="9"/>
        <v>4</v>
      </c>
      <c r="F586" s="4" t="s">
        <v>22</v>
      </c>
      <c r="G586" s="4" t="s">
        <v>14</v>
      </c>
      <c r="H586" s="4">
        <v>38452</v>
      </c>
      <c r="I586" s="4" t="str">
        <f>VLOOKUP(B586,Customers!$A:$D,4,FALSE)</f>
        <v>Regular</v>
      </c>
      <c r="J586" s="4" t="s">
        <v>35</v>
      </c>
      <c r="K586" s="4" t="s">
        <v>36</v>
      </c>
    </row>
    <row r="587" spans="1:11" x14ac:dyDescent="0.2">
      <c r="A587" s="4">
        <v>5586</v>
      </c>
      <c r="B587" s="4">
        <v>1154</v>
      </c>
      <c r="C587" s="8">
        <v>46082</v>
      </c>
      <c r="D587" s="8">
        <v>46088</v>
      </c>
      <c r="E587" s="10">
        <f t="shared" si="9"/>
        <v>6</v>
      </c>
      <c r="F587" s="4" t="s">
        <v>23</v>
      </c>
      <c r="G587" s="4" t="s">
        <v>11</v>
      </c>
      <c r="H587" s="4">
        <v>26501</v>
      </c>
      <c r="I587" s="4" t="str">
        <f>VLOOKUP(B587,Customers!$A:$D,4,FALSE)</f>
        <v>Regular</v>
      </c>
      <c r="J587" s="4" t="s">
        <v>35</v>
      </c>
      <c r="K587" s="4" t="s">
        <v>36</v>
      </c>
    </row>
    <row r="588" spans="1:11" x14ac:dyDescent="0.2">
      <c r="A588" s="4">
        <v>5587</v>
      </c>
      <c r="B588" s="4">
        <v>1248</v>
      </c>
      <c r="C588" s="8">
        <v>46042</v>
      </c>
      <c r="D588" s="8">
        <v>46049</v>
      </c>
      <c r="E588" s="10">
        <f t="shared" si="9"/>
        <v>7</v>
      </c>
      <c r="F588" s="4" t="s">
        <v>18</v>
      </c>
      <c r="G588" s="4" t="s">
        <v>15</v>
      </c>
      <c r="H588" s="4">
        <v>45493</v>
      </c>
      <c r="I588" s="4" t="str">
        <f>VLOOKUP(B588,Customers!$A:$D,4,FALSE)</f>
        <v>Regular</v>
      </c>
      <c r="J588" s="4" t="s">
        <v>35</v>
      </c>
      <c r="K588" s="4" t="s">
        <v>36</v>
      </c>
    </row>
    <row r="589" spans="1:11" x14ac:dyDescent="0.2">
      <c r="A589" s="4">
        <v>5588</v>
      </c>
      <c r="B589" s="4">
        <v>1296</v>
      </c>
      <c r="C589" s="8">
        <v>46099</v>
      </c>
      <c r="D589" s="8">
        <v>46101</v>
      </c>
      <c r="E589" s="10">
        <f t="shared" si="9"/>
        <v>2</v>
      </c>
      <c r="F589" s="4" t="s">
        <v>21</v>
      </c>
      <c r="G589" s="4" t="s">
        <v>12</v>
      </c>
      <c r="H589" s="4">
        <v>3964</v>
      </c>
      <c r="I589" s="4" t="str">
        <f>VLOOKUP(B589,Customers!$A:$D,4,FALSE)</f>
        <v>Regular</v>
      </c>
      <c r="J589" s="4" t="s">
        <v>37</v>
      </c>
      <c r="K589" s="4" t="s">
        <v>36</v>
      </c>
    </row>
    <row r="590" spans="1:11" x14ac:dyDescent="0.2">
      <c r="A590" s="4">
        <v>5589</v>
      </c>
      <c r="B590" s="4">
        <v>1214</v>
      </c>
      <c r="C590" s="8">
        <v>46112</v>
      </c>
      <c r="D590" s="8">
        <v>46120</v>
      </c>
      <c r="E590" s="10">
        <f t="shared" si="9"/>
        <v>8</v>
      </c>
      <c r="F590" s="4" t="s">
        <v>23</v>
      </c>
      <c r="G590" s="4" t="s">
        <v>13</v>
      </c>
      <c r="H590" s="4">
        <v>49299</v>
      </c>
      <c r="I590" s="4" t="str">
        <f>VLOOKUP(B590,Customers!$A:$D,4,FALSE)</f>
        <v>Premium</v>
      </c>
      <c r="J590" s="4" t="s">
        <v>35</v>
      </c>
      <c r="K590" s="4" t="s">
        <v>36</v>
      </c>
    </row>
    <row r="591" spans="1:11" x14ac:dyDescent="0.2">
      <c r="A591" s="4">
        <v>5590</v>
      </c>
      <c r="B591" s="4">
        <v>1157</v>
      </c>
      <c r="C591" s="8">
        <v>46120</v>
      </c>
      <c r="D591" s="8">
        <v>46122</v>
      </c>
      <c r="E591" s="10">
        <f t="shared" si="9"/>
        <v>2</v>
      </c>
      <c r="F591" s="4" t="s">
        <v>20</v>
      </c>
      <c r="G591" s="4" t="s">
        <v>14</v>
      </c>
      <c r="H591" s="4">
        <v>35684</v>
      </c>
      <c r="I591" s="4" t="str">
        <f>VLOOKUP(B591,Customers!$A:$D,4,FALSE)</f>
        <v>Regular</v>
      </c>
      <c r="J591" s="4" t="s">
        <v>35</v>
      </c>
      <c r="K591" s="4" t="s">
        <v>36</v>
      </c>
    </row>
    <row r="592" spans="1:11" x14ac:dyDescent="0.2">
      <c r="A592" s="4">
        <v>5591</v>
      </c>
      <c r="B592" s="4">
        <v>1114</v>
      </c>
      <c r="C592" s="8">
        <v>46106</v>
      </c>
      <c r="D592" s="8">
        <v>46116</v>
      </c>
      <c r="E592" s="10">
        <f t="shared" si="9"/>
        <v>10</v>
      </c>
      <c r="F592" s="4" t="s">
        <v>18</v>
      </c>
      <c r="G592" s="4" t="s">
        <v>12</v>
      </c>
      <c r="H592" s="4">
        <v>44447</v>
      </c>
      <c r="I592" s="4" t="str">
        <f>VLOOKUP(B592,Customers!$A:$D,4,FALSE)</f>
        <v>Regular</v>
      </c>
      <c r="J592" s="4" t="s">
        <v>37</v>
      </c>
      <c r="K592" s="4" t="s">
        <v>36</v>
      </c>
    </row>
    <row r="593" spans="1:11" x14ac:dyDescent="0.2">
      <c r="A593" s="4">
        <v>5592</v>
      </c>
      <c r="B593" s="4">
        <v>1047</v>
      </c>
      <c r="C593" s="8">
        <v>46137</v>
      </c>
      <c r="D593" s="8">
        <v>46147</v>
      </c>
      <c r="E593" s="10">
        <f t="shared" si="9"/>
        <v>10</v>
      </c>
      <c r="F593" s="4" t="s">
        <v>24</v>
      </c>
      <c r="G593" s="4" t="s">
        <v>15</v>
      </c>
      <c r="H593" s="4">
        <v>19291</v>
      </c>
      <c r="I593" s="4" t="str">
        <f>VLOOKUP(B593,Customers!$A:$D,4,FALSE)</f>
        <v>Regular</v>
      </c>
      <c r="J593" s="4" t="s">
        <v>37</v>
      </c>
      <c r="K593" s="4" t="s">
        <v>36</v>
      </c>
    </row>
    <row r="594" spans="1:11" x14ac:dyDescent="0.2">
      <c r="A594" s="4">
        <v>5593</v>
      </c>
      <c r="B594" s="4">
        <v>1173</v>
      </c>
      <c r="C594" s="8">
        <v>46060</v>
      </c>
      <c r="D594" s="8">
        <v>46064</v>
      </c>
      <c r="E594" s="10">
        <f t="shared" si="9"/>
        <v>4</v>
      </c>
      <c r="F594" s="4" t="s">
        <v>23</v>
      </c>
      <c r="G594" s="4" t="s">
        <v>15</v>
      </c>
      <c r="H594" s="4">
        <v>37749</v>
      </c>
      <c r="I594" s="4" t="str">
        <f>VLOOKUP(B594,Customers!$A:$D,4,FALSE)</f>
        <v>Regular</v>
      </c>
      <c r="J594" s="4" t="s">
        <v>35</v>
      </c>
      <c r="K594" s="4" t="s">
        <v>36</v>
      </c>
    </row>
    <row r="595" spans="1:11" x14ac:dyDescent="0.2">
      <c r="A595" s="4">
        <v>5594</v>
      </c>
      <c r="B595" s="4">
        <v>1135</v>
      </c>
      <c r="C595" s="8">
        <v>46163</v>
      </c>
      <c r="D595" s="8">
        <v>46171</v>
      </c>
      <c r="E595" s="10">
        <f t="shared" si="9"/>
        <v>8</v>
      </c>
      <c r="F595" s="4" t="s">
        <v>23</v>
      </c>
      <c r="G595" s="4" t="s">
        <v>15</v>
      </c>
      <c r="H595" s="4">
        <v>33187</v>
      </c>
      <c r="I595" s="4" t="str">
        <f>VLOOKUP(B595,Customers!$A:$D,4,FALSE)</f>
        <v>Regular</v>
      </c>
      <c r="J595" s="4" t="s">
        <v>37</v>
      </c>
      <c r="K595" s="4" t="s">
        <v>36</v>
      </c>
    </row>
    <row r="596" spans="1:11" x14ac:dyDescent="0.2">
      <c r="A596" s="4">
        <v>5595</v>
      </c>
      <c r="B596" s="4">
        <v>1247</v>
      </c>
      <c r="C596" s="8">
        <v>46056</v>
      </c>
      <c r="D596" s="8">
        <v>46060</v>
      </c>
      <c r="E596" s="10">
        <f t="shared" si="9"/>
        <v>4</v>
      </c>
      <c r="F596" s="4" t="s">
        <v>24</v>
      </c>
      <c r="G596" s="4" t="s">
        <v>15</v>
      </c>
      <c r="H596" s="4">
        <v>26207</v>
      </c>
      <c r="I596" s="4" t="str">
        <f>VLOOKUP(B596,Customers!$A:$D,4,FALSE)</f>
        <v>Regular</v>
      </c>
      <c r="J596" s="4" t="s">
        <v>35</v>
      </c>
      <c r="K596" s="4" t="s">
        <v>36</v>
      </c>
    </row>
    <row r="597" spans="1:11" x14ac:dyDescent="0.2">
      <c r="A597" s="4">
        <v>5596</v>
      </c>
      <c r="B597" s="4">
        <v>1127</v>
      </c>
      <c r="C597" s="8">
        <v>46166</v>
      </c>
      <c r="D597" s="8">
        <v>46176</v>
      </c>
      <c r="E597" s="10">
        <f t="shared" si="9"/>
        <v>10</v>
      </c>
      <c r="F597" s="4" t="s">
        <v>24</v>
      </c>
      <c r="G597" s="4" t="s">
        <v>12</v>
      </c>
      <c r="H597" s="4">
        <v>17749</v>
      </c>
      <c r="I597" s="4" t="str">
        <f>VLOOKUP(B597,Customers!$A:$D,4,FALSE)</f>
        <v>Regular</v>
      </c>
      <c r="J597" s="4" t="s">
        <v>37</v>
      </c>
      <c r="K597" s="4" t="s">
        <v>36</v>
      </c>
    </row>
    <row r="598" spans="1:11" x14ac:dyDescent="0.2">
      <c r="A598" s="4">
        <v>5597</v>
      </c>
      <c r="B598" s="4">
        <v>1058</v>
      </c>
      <c r="C598" s="8">
        <v>46105</v>
      </c>
      <c r="D598" s="8">
        <v>46108</v>
      </c>
      <c r="E598" s="10">
        <f t="shared" si="9"/>
        <v>3</v>
      </c>
      <c r="F598" s="4" t="s">
        <v>21</v>
      </c>
      <c r="G598" s="4" t="s">
        <v>15</v>
      </c>
      <c r="H598" s="4">
        <v>24238</v>
      </c>
      <c r="I598" s="4" t="str">
        <f>VLOOKUP(B598,Customers!$A:$D,4,FALSE)</f>
        <v>Regular</v>
      </c>
      <c r="J598" s="4" t="s">
        <v>37</v>
      </c>
      <c r="K598" s="4" t="s">
        <v>36</v>
      </c>
    </row>
    <row r="599" spans="1:11" x14ac:dyDescent="0.2">
      <c r="A599" s="4">
        <v>5598</v>
      </c>
      <c r="B599" s="4">
        <v>1177</v>
      </c>
      <c r="C599" s="8">
        <v>46071</v>
      </c>
      <c r="D599" s="8">
        <v>46078</v>
      </c>
      <c r="E599" s="10">
        <f t="shared" si="9"/>
        <v>7</v>
      </c>
      <c r="F599" s="4" t="s">
        <v>20</v>
      </c>
      <c r="G599" s="4" t="s">
        <v>14</v>
      </c>
      <c r="H599" s="4">
        <v>11392</v>
      </c>
      <c r="I599" s="4" t="str">
        <f>VLOOKUP(B599,Customers!$A:$D,4,FALSE)</f>
        <v>Premium</v>
      </c>
      <c r="J599" s="4" t="s">
        <v>37</v>
      </c>
      <c r="K599" s="4" t="s">
        <v>36</v>
      </c>
    </row>
    <row r="600" spans="1:11" x14ac:dyDescent="0.2">
      <c r="A600" s="4">
        <v>5599</v>
      </c>
      <c r="B600" s="4">
        <v>1226</v>
      </c>
      <c r="C600" s="8">
        <v>46136</v>
      </c>
      <c r="D600" s="8">
        <v>46140</v>
      </c>
      <c r="E600" s="10">
        <f t="shared" si="9"/>
        <v>4</v>
      </c>
      <c r="F600" s="4" t="s">
        <v>20</v>
      </c>
      <c r="G600" s="4" t="s">
        <v>13</v>
      </c>
      <c r="H600" s="4">
        <v>13386</v>
      </c>
      <c r="I600" s="4" t="str">
        <f>VLOOKUP(B600,Customers!$A:$D,4,FALSE)</f>
        <v>Regular</v>
      </c>
      <c r="J600" s="4" t="s">
        <v>37</v>
      </c>
      <c r="K600" s="4" t="s">
        <v>36</v>
      </c>
    </row>
    <row r="601" spans="1:11" x14ac:dyDescent="0.2">
      <c r="A601" s="4">
        <v>5600</v>
      </c>
      <c r="B601" s="4">
        <v>1058</v>
      </c>
      <c r="C601" s="8">
        <v>46062</v>
      </c>
      <c r="D601" s="8">
        <v>46065</v>
      </c>
      <c r="E601" s="10">
        <f t="shared" si="9"/>
        <v>3</v>
      </c>
      <c r="F601" s="4" t="s">
        <v>20</v>
      </c>
      <c r="G601" s="4" t="s">
        <v>13</v>
      </c>
      <c r="H601" s="4">
        <v>40998</v>
      </c>
      <c r="I601" s="4" t="str">
        <f>VLOOKUP(B601,Customers!$A:$D,4,FALSE)</f>
        <v>Regular</v>
      </c>
      <c r="J601" s="4" t="s">
        <v>35</v>
      </c>
      <c r="K601" s="4" t="s">
        <v>36</v>
      </c>
    </row>
    <row r="602" spans="1:11" x14ac:dyDescent="0.2">
      <c r="A602" s="4">
        <v>5601</v>
      </c>
      <c r="B602" s="4">
        <v>1176</v>
      </c>
      <c r="C602" s="8">
        <v>46096</v>
      </c>
      <c r="D602" s="8">
        <v>46098</v>
      </c>
      <c r="E602" s="10">
        <f t="shared" si="9"/>
        <v>2</v>
      </c>
      <c r="F602" s="4" t="s">
        <v>23</v>
      </c>
      <c r="G602" s="4" t="s">
        <v>14</v>
      </c>
      <c r="H602" s="4">
        <v>29795</v>
      </c>
      <c r="I602" s="4" t="str">
        <f>VLOOKUP(B602,Customers!$A:$D,4,FALSE)</f>
        <v>Premium</v>
      </c>
      <c r="J602" s="4" t="s">
        <v>37</v>
      </c>
      <c r="K602" s="4" t="s">
        <v>36</v>
      </c>
    </row>
    <row r="603" spans="1:11" x14ac:dyDescent="0.2">
      <c r="A603" s="4">
        <v>5602</v>
      </c>
      <c r="B603" s="4">
        <v>1108</v>
      </c>
      <c r="C603" s="8">
        <v>46028</v>
      </c>
      <c r="D603" s="8">
        <v>46035</v>
      </c>
      <c r="E603" s="10">
        <f t="shared" si="9"/>
        <v>7</v>
      </c>
      <c r="F603" s="4" t="s">
        <v>24</v>
      </c>
      <c r="G603" s="4" t="s">
        <v>13</v>
      </c>
      <c r="H603" s="4">
        <v>36110</v>
      </c>
      <c r="I603" s="4" t="str">
        <f>VLOOKUP(B603,Customers!$A:$D,4,FALSE)</f>
        <v>Regular</v>
      </c>
      <c r="J603" s="4" t="s">
        <v>37</v>
      </c>
      <c r="K603" s="4" t="s">
        <v>36</v>
      </c>
    </row>
    <row r="604" spans="1:11" x14ac:dyDescent="0.2">
      <c r="A604" s="4">
        <v>5603</v>
      </c>
      <c r="B604" s="4">
        <v>1073</v>
      </c>
      <c r="C604" s="8">
        <v>46163</v>
      </c>
      <c r="D604" s="8">
        <v>46172</v>
      </c>
      <c r="E604" s="10">
        <f t="shared" si="9"/>
        <v>9</v>
      </c>
      <c r="F604" s="4" t="s">
        <v>20</v>
      </c>
      <c r="G604" s="4" t="s">
        <v>15</v>
      </c>
      <c r="H604" s="4">
        <v>38507</v>
      </c>
      <c r="I604" s="4" t="str">
        <f>VLOOKUP(B604,Customers!$A:$D,4,FALSE)</f>
        <v>Premium</v>
      </c>
      <c r="J604" s="4" t="s">
        <v>35</v>
      </c>
      <c r="K604" s="4" t="s">
        <v>36</v>
      </c>
    </row>
    <row r="605" spans="1:11" x14ac:dyDescent="0.2">
      <c r="A605" s="4">
        <v>5604</v>
      </c>
      <c r="B605" s="4">
        <v>1031</v>
      </c>
      <c r="C605" s="8">
        <v>46088</v>
      </c>
      <c r="D605" s="8">
        <v>46092</v>
      </c>
      <c r="E605" s="10">
        <f t="shared" si="9"/>
        <v>4</v>
      </c>
      <c r="F605" s="4" t="s">
        <v>22</v>
      </c>
      <c r="G605" s="4" t="s">
        <v>13</v>
      </c>
      <c r="H605" s="4">
        <v>45947</v>
      </c>
      <c r="I605" s="4" t="str">
        <f>VLOOKUP(B605,Customers!$A:$D,4,FALSE)</f>
        <v>Premium</v>
      </c>
      <c r="J605" s="4" t="s">
        <v>37</v>
      </c>
      <c r="K605" s="4" t="s">
        <v>36</v>
      </c>
    </row>
    <row r="606" spans="1:11" x14ac:dyDescent="0.2">
      <c r="A606" s="4">
        <v>5605</v>
      </c>
      <c r="B606" s="4">
        <v>1005</v>
      </c>
      <c r="C606" s="8">
        <v>46036</v>
      </c>
      <c r="D606" s="8">
        <v>46045</v>
      </c>
      <c r="E606" s="10">
        <f t="shared" si="9"/>
        <v>9</v>
      </c>
      <c r="F606" s="4" t="s">
        <v>23</v>
      </c>
      <c r="G606" s="4" t="s">
        <v>15</v>
      </c>
      <c r="H606" s="4">
        <v>43578</v>
      </c>
      <c r="I606" s="4" t="str">
        <f>VLOOKUP(B606,Customers!$A:$D,4,FALSE)</f>
        <v>Regular</v>
      </c>
      <c r="J606" s="4" t="s">
        <v>37</v>
      </c>
      <c r="K606" s="4" t="s">
        <v>36</v>
      </c>
    </row>
    <row r="607" spans="1:11" x14ac:dyDescent="0.2">
      <c r="A607" s="4">
        <v>5606</v>
      </c>
      <c r="B607" s="4">
        <v>1010</v>
      </c>
      <c r="C607" s="8">
        <v>46115</v>
      </c>
      <c r="D607" s="8">
        <v>46118</v>
      </c>
      <c r="E607" s="10">
        <f t="shared" si="9"/>
        <v>3</v>
      </c>
      <c r="F607" s="4" t="s">
        <v>22</v>
      </c>
      <c r="G607" s="4" t="s">
        <v>15</v>
      </c>
      <c r="H607" s="4">
        <v>15449</v>
      </c>
      <c r="I607" s="4" t="str">
        <f>VLOOKUP(B607,Customers!$A:$D,4,FALSE)</f>
        <v>Premium</v>
      </c>
      <c r="J607" s="4" t="s">
        <v>37</v>
      </c>
      <c r="K607" s="4" t="s">
        <v>36</v>
      </c>
    </row>
    <row r="608" spans="1:11" x14ac:dyDescent="0.2">
      <c r="A608" s="4">
        <v>5607</v>
      </c>
      <c r="B608" s="4">
        <v>1162</v>
      </c>
      <c r="C608" s="8">
        <v>46153</v>
      </c>
      <c r="D608" s="8">
        <v>46156</v>
      </c>
      <c r="E608" s="10">
        <f t="shared" si="9"/>
        <v>3</v>
      </c>
      <c r="F608" s="4" t="s">
        <v>25</v>
      </c>
      <c r="G608" s="4" t="s">
        <v>11</v>
      </c>
      <c r="H608" s="4">
        <v>35136</v>
      </c>
      <c r="I608" s="4" t="str">
        <f>VLOOKUP(B608,Customers!$A:$D,4,FALSE)</f>
        <v>Premium</v>
      </c>
      <c r="J608" s="4" t="s">
        <v>35</v>
      </c>
      <c r="K608" s="4" t="s">
        <v>36</v>
      </c>
    </row>
    <row r="609" spans="1:11" x14ac:dyDescent="0.2">
      <c r="A609" s="4">
        <v>5608</v>
      </c>
      <c r="B609" s="4">
        <v>1257</v>
      </c>
      <c r="C609" s="8">
        <v>46070</v>
      </c>
      <c r="D609" s="8">
        <v>46075</v>
      </c>
      <c r="E609" s="10">
        <f t="shared" si="9"/>
        <v>5</v>
      </c>
      <c r="F609" s="4" t="s">
        <v>25</v>
      </c>
      <c r="G609" s="4" t="s">
        <v>11</v>
      </c>
      <c r="H609" s="4">
        <v>46992</v>
      </c>
      <c r="I609" s="4" t="str">
        <f>VLOOKUP(B609,Customers!$A:$D,4,FALSE)</f>
        <v>Premium</v>
      </c>
      <c r="J609" s="4" t="s">
        <v>35</v>
      </c>
      <c r="K609" s="4" t="s">
        <v>36</v>
      </c>
    </row>
    <row r="610" spans="1:11" x14ac:dyDescent="0.2">
      <c r="A610" s="4">
        <v>5609</v>
      </c>
      <c r="B610" s="4">
        <v>1272</v>
      </c>
      <c r="C610" s="8">
        <v>46033</v>
      </c>
      <c r="D610" s="8">
        <v>46038</v>
      </c>
      <c r="E610" s="10">
        <f t="shared" si="9"/>
        <v>5</v>
      </c>
      <c r="F610" s="4" t="s">
        <v>22</v>
      </c>
      <c r="G610" s="4" t="s">
        <v>14</v>
      </c>
      <c r="H610" s="4">
        <v>32408</v>
      </c>
      <c r="I610" s="4" t="str">
        <f>VLOOKUP(B610,Customers!$A:$D,4,FALSE)</f>
        <v>Premium</v>
      </c>
      <c r="J610" s="4" t="s">
        <v>37</v>
      </c>
      <c r="K610" s="4" t="s">
        <v>36</v>
      </c>
    </row>
    <row r="611" spans="1:11" x14ac:dyDescent="0.2">
      <c r="A611" s="4">
        <v>5610</v>
      </c>
      <c r="B611" s="4">
        <v>1178</v>
      </c>
      <c r="C611" s="8">
        <v>46063</v>
      </c>
      <c r="D611" s="8">
        <v>46065</v>
      </c>
      <c r="E611" s="10">
        <f t="shared" si="9"/>
        <v>2</v>
      </c>
      <c r="F611" s="4" t="s">
        <v>19</v>
      </c>
      <c r="G611" s="4" t="s">
        <v>14</v>
      </c>
      <c r="H611" s="4">
        <v>41275</v>
      </c>
      <c r="I611" s="4" t="str">
        <f>VLOOKUP(B611,Customers!$A:$D,4,FALSE)</f>
        <v>Premium</v>
      </c>
      <c r="J611" s="4" t="s">
        <v>37</v>
      </c>
      <c r="K611" s="4" t="s">
        <v>36</v>
      </c>
    </row>
    <row r="612" spans="1:11" x14ac:dyDescent="0.2">
      <c r="A612" s="4">
        <v>5611</v>
      </c>
      <c r="B612" s="4">
        <v>1142</v>
      </c>
      <c r="C612" s="8">
        <v>46083</v>
      </c>
      <c r="D612" s="8">
        <v>46093</v>
      </c>
      <c r="E612" s="10">
        <f t="shared" si="9"/>
        <v>10</v>
      </c>
      <c r="F612" s="4" t="s">
        <v>20</v>
      </c>
      <c r="G612" s="4" t="s">
        <v>14</v>
      </c>
      <c r="H612" s="4">
        <v>25673</v>
      </c>
      <c r="I612" s="4" t="str">
        <f>VLOOKUP(B612,Customers!$A:$D,4,FALSE)</f>
        <v>Premium</v>
      </c>
      <c r="J612" s="4" t="s">
        <v>35</v>
      </c>
      <c r="K612" s="4" t="s">
        <v>36</v>
      </c>
    </row>
    <row r="613" spans="1:11" x14ac:dyDescent="0.2">
      <c r="A613" s="4">
        <v>5612</v>
      </c>
      <c r="B613" s="4">
        <v>1116</v>
      </c>
      <c r="C613" s="8">
        <v>46165</v>
      </c>
      <c r="D613" s="8">
        <v>46171</v>
      </c>
      <c r="E613" s="10">
        <f t="shared" si="9"/>
        <v>6</v>
      </c>
      <c r="F613" s="4" t="s">
        <v>18</v>
      </c>
      <c r="G613" s="4" t="s">
        <v>14</v>
      </c>
      <c r="H613" s="4">
        <v>26045</v>
      </c>
      <c r="I613" s="4" t="str">
        <f>VLOOKUP(B613,Customers!$A:$D,4,FALSE)</f>
        <v>Premium</v>
      </c>
      <c r="J613" s="4" t="s">
        <v>35</v>
      </c>
      <c r="K613" s="4" t="s">
        <v>36</v>
      </c>
    </row>
    <row r="614" spans="1:11" x14ac:dyDescent="0.2">
      <c r="A614" s="4">
        <v>5613</v>
      </c>
      <c r="B614" s="4">
        <v>1267</v>
      </c>
      <c r="C614" s="8">
        <v>46045</v>
      </c>
      <c r="D614" s="8">
        <v>46053</v>
      </c>
      <c r="E614" s="10">
        <f t="shared" si="9"/>
        <v>8</v>
      </c>
      <c r="F614" s="4" t="s">
        <v>24</v>
      </c>
      <c r="G614" s="4" t="s">
        <v>15</v>
      </c>
      <c r="H614" s="4">
        <v>16052</v>
      </c>
      <c r="I614" s="4" t="str">
        <f>VLOOKUP(B614,Customers!$A:$D,4,FALSE)</f>
        <v>Premium</v>
      </c>
      <c r="J614" s="4" t="s">
        <v>35</v>
      </c>
      <c r="K614" s="4" t="s">
        <v>36</v>
      </c>
    </row>
    <row r="615" spans="1:11" x14ac:dyDescent="0.2">
      <c r="A615" s="4">
        <v>5614</v>
      </c>
      <c r="B615" s="4">
        <v>1169</v>
      </c>
      <c r="C615" s="8">
        <v>46132</v>
      </c>
      <c r="D615" s="8">
        <v>46138</v>
      </c>
      <c r="E615" s="10">
        <f t="shared" si="9"/>
        <v>6</v>
      </c>
      <c r="F615" s="4" t="s">
        <v>25</v>
      </c>
      <c r="G615" s="4" t="s">
        <v>11</v>
      </c>
      <c r="H615" s="4">
        <v>8935</v>
      </c>
      <c r="I615" s="4" t="str">
        <f>VLOOKUP(B615,Customers!$A:$D,4,FALSE)</f>
        <v>Premium</v>
      </c>
      <c r="J615" s="4" t="s">
        <v>35</v>
      </c>
      <c r="K615" s="4" t="s">
        <v>36</v>
      </c>
    </row>
    <row r="616" spans="1:11" x14ac:dyDescent="0.2">
      <c r="A616" s="4">
        <v>5615</v>
      </c>
      <c r="B616" s="4">
        <v>1104</v>
      </c>
      <c r="C616" s="8">
        <v>46058</v>
      </c>
      <c r="D616" s="8">
        <v>46068</v>
      </c>
      <c r="E616" s="10">
        <f t="shared" si="9"/>
        <v>10</v>
      </c>
      <c r="F616" s="4" t="s">
        <v>18</v>
      </c>
      <c r="G616" s="4" t="s">
        <v>14</v>
      </c>
      <c r="H616" s="4">
        <v>45423</v>
      </c>
      <c r="I616" s="4" t="str">
        <f>VLOOKUP(B616,Customers!$A:$D,4,FALSE)</f>
        <v>Regular</v>
      </c>
      <c r="J616" s="4" t="s">
        <v>35</v>
      </c>
      <c r="K616" s="4" t="s">
        <v>36</v>
      </c>
    </row>
    <row r="617" spans="1:11" x14ac:dyDescent="0.2">
      <c r="A617" s="4">
        <v>5616</v>
      </c>
      <c r="B617" s="4">
        <v>1290</v>
      </c>
      <c r="C617" s="8">
        <v>46133</v>
      </c>
      <c r="D617" s="8">
        <v>46137</v>
      </c>
      <c r="E617" s="10">
        <f t="shared" si="9"/>
        <v>4</v>
      </c>
      <c r="F617" s="4" t="s">
        <v>18</v>
      </c>
      <c r="G617" s="4" t="s">
        <v>14</v>
      </c>
      <c r="H617" s="4">
        <v>4744</v>
      </c>
      <c r="I617" s="4" t="str">
        <f>VLOOKUP(B617,Customers!$A:$D,4,FALSE)</f>
        <v>Regular</v>
      </c>
      <c r="J617" s="4" t="s">
        <v>35</v>
      </c>
      <c r="K617" s="4" t="s">
        <v>36</v>
      </c>
    </row>
    <row r="618" spans="1:11" x14ac:dyDescent="0.2">
      <c r="A618" s="4">
        <v>5617</v>
      </c>
      <c r="B618" s="4">
        <v>1075</v>
      </c>
      <c r="C618" s="8">
        <v>46070</v>
      </c>
      <c r="D618" s="8">
        <v>46077</v>
      </c>
      <c r="E618" s="10">
        <f t="shared" si="9"/>
        <v>7</v>
      </c>
      <c r="F618" s="4" t="s">
        <v>20</v>
      </c>
      <c r="G618" s="4" t="s">
        <v>14</v>
      </c>
      <c r="H618" s="4">
        <v>27434</v>
      </c>
      <c r="I618" s="4" t="str">
        <f>VLOOKUP(B618,Customers!$A:$D,4,FALSE)</f>
        <v>Premium</v>
      </c>
      <c r="J618" s="4" t="s">
        <v>37</v>
      </c>
      <c r="K618" s="4" t="s">
        <v>36</v>
      </c>
    </row>
    <row r="619" spans="1:11" x14ac:dyDescent="0.2">
      <c r="A619" s="4">
        <v>5618</v>
      </c>
      <c r="B619" s="4">
        <v>1141</v>
      </c>
      <c r="C619" s="8">
        <v>46100</v>
      </c>
      <c r="D619" s="8">
        <v>46109</v>
      </c>
      <c r="E619" s="10">
        <f t="shared" si="9"/>
        <v>9</v>
      </c>
      <c r="F619" s="4" t="s">
        <v>18</v>
      </c>
      <c r="G619" s="4" t="s">
        <v>13</v>
      </c>
      <c r="H619" s="4">
        <v>7297</v>
      </c>
      <c r="I619" s="4" t="str">
        <f>VLOOKUP(B619,Customers!$A:$D,4,FALSE)</f>
        <v>Premium</v>
      </c>
      <c r="J619" s="4" t="s">
        <v>35</v>
      </c>
      <c r="K619" s="4" t="s">
        <v>36</v>
      </c>
    </row>
    <row r="620" spans="1:11" x14ac:dyDescent="0.2">
      <c r="A620" s="4">
        <v>5619</v>
      </c>
      <c r="B620" s="4">
        <v>1137</v>
      </c>
      <c r="C620" s="8">
        <v>46070</v>
      </c>
      <c r="D620" s="8">
        <v>46072</v>
      </c>
      <c r="E620" s="10">
        <f t="shared" si="9"/>
        <v>2</v>
      </c>
      <c r="F620" s="4" t="s">
        <v>24</v>
      </c>
      <c r="G620" s="4" t="s">
        <v>11</v>
      </c>
      <c r="H620" s="4">
        <v>15516</v>
      </c>
      <c r="I620" s="4" t="str">
        <f>VLOOKUP(B620,Customers!$A:$D,4,FALSE)</f>
        <v>Premium</v>
      </c>
      <c r="J620" s="4" t="s">
        <v>35</v>
      </c>
      <c r="K620" s="4" t="s">
        <v>36</v>
      </c>
    </row>
    <row r="621" spans="1:11" x14ac:dyDescent="0.2">
      <c r="A621" s="4">
        <v>5620</v>
      </c>
      <c r="B621" s="4">
        <v>1041</v>
      </c>
      <c r="C621" s="8">
        <v>46029</v>
      </c>
      <c r="D621" s="8">
        <v>46036</v>
      </c>
      <c r="E621" s="10">
        <f t="shared" si="9"/>
        <v>7</v>
      </c>
      <c r="F621" s="4" t="s">
        <v>25</v>
      </c>
      <c r="G621" s="4" t="s">
        <v>13</v>
      </c>
      <c r="H621" s="4">
        <v>33220</v>
      </c>
      <c r="I621" s="4" t="str">
        <f>VLOOKUP(B621,Customers!$A:$D,4,FALSE)</f>
        <v>Regular</v>
      </c>
      <c r="J621" s="4" t="s">
        <v>37</v>
      </c>
      <c r="K621" s="4" t="s">
        <v>36</v>
      </c>
    </row>
    <row r="622" spans="1:11" x14ac:dyDescent="0.2">
      <c r="A622" s="4">
        <v>5621</v>
      </c>
      <c r="B622" s="4">
        <v>1199</v>
      </c>
      <c r="C622" s="8">
        <v>46118</v>
      </c>
      <c r="D622" s="8">
        <v>46122</v>
      </c>
      <c r="E622" s="10">
        <f t="shared" si="9"/>
        <v>4</v>
      </c>
      <c r="F622" s="4" t="s">
        <v>25</v>
      </c>
      <c r="G622" s="4" t="s">
        <v>15</v>
      </c>
      <c r="H622" s="4">
        <v>9312</v>
      </c>
      <c r="I622" s="4" t="str">
        <f>VLOOKUP(B622,Customers!$A:$D,4,FALSE)</f>
        <v>Regular</v>
      </c>
      <c r="J622" s="4" t="s">
        <v>35</v>
      </c>
      <c r="K622" s="4" t="s">
        <v>36</v>
      </c>
    </row>
    <row r="623" spans="1:11" x14ac:dyDescent="0.2">
      <c r="A623" s="4">
        <v>5622</v>
      </c>
      <c r="B623" s="4">
        <v>1017</v>
      </c>
      <c r="C623" s="8">
        <v>46072</v>
      </c>
      <c r="D623" s="8">
        <v>46077</v>
      </c>
      <c r="E623" s="10">
        <f t="shared" si="9"/>
        <v>5</v>
      </c>
      <c r="F623" s="4" t="s">
        <v>21</v>
      </c>
      <c r="G623" s="4" t="s">
        <v>12</v>
      </c>
      <c r="H623" s="4">
        <v>17985</v>
      </c>
      <c r="I623" s="4" t="str">
        <f>VLOOKUP(B623,Customers!$A:$D,4,FALSE)</f>
        <v>Regular</v>
      </c>
      <c r="J623" s="4" t="s">
        <v>37</v>
      </c>
      <c r="K623" s="4" t="s">
        <v>36</v>
      </c>
    </row>
    <row r="624" spans="1:11" x14ac:dyDescent="0.2">
      <c r="A624" s="4">
        <v>5623</v>
      </c>
      <c r="B624" s="4">
        <v>1105</v>
      </c>
      <c r="C624" s="8">
        <v>46079</v>
      </c>
      <c r="D624" s="8">
        <v>46084</v>
      </c>
      <c r="E624" s="10">
        <f t="shared" si="9"/>
        <v>5</v>
      </c>
      <c r="F624" s="4" t="s">
        <v>23</v>
      </c>
      <c r="G624" s="4" t="s">
        <v>13</v>
      </c>
      <c r="H624" s="4">
        <v>29088</v>
      </c>
      <c r="I624" s="4" t="str">
        <f>VLOOKUP(B624,Customers!$A:$D,4,FALSE)</f>
        <v>Regular</v>
      </c>
      <c r="J624" s="4" t="s">
        <v>37</v>
      </c>
      <c r="K624" s="4" t="s">
        <v>36</v>
      </c>
    </row>
    <row r="625" spans="1:11" x14ac:dyDescent="0.2">
      <c r="A625" s="4">
        <v>5624</v>
      </c>
      <c r="B625" s="4">
        <v>1127</v>
      </c>
      <c r="C625" s="8">
        <v>46106</v>
      </c>
      <c r="D625" s="8">
        <v>46115</v>
      </c>
      <c r="E625" s="10">
        <f t="shared" si="9"/>
        <v>9</v>
      </c>
      <c r="F625" s="4" t="s">
        <v>21</v>
      </c>
      <c r="G625" s="4" t="s">
        <v>15</v>
      </c>
      <c r="H625" s="4">
        <v>3041</v>
      </c>
      <c r="I625" s="4" t="str">
        <f>VLOOKUP(B625,Customers!$A:$D,4,FALSE)</f>
        <v>Regular</v>
      </c>
      <c r="J625" s="4" t="s">
        <v>37</v>
      </c>
      <c r="K625" s="4" t="s">
        <v>36</v>
      </c>
    </row>
    <row r="626" spans="1:11" x14ac:dyDescent="0.2">
      <c r="A626" s="4">
        <v>5625</v>
      </c>
      <c r="B626" s="4">
        <v>1293</v>
      </c>
      <c r="C626" s="8">
        <v>46103</v>
      </c>
      <c r="D626" s="8">
        <v>46111</v>
      </c>
      <c r="E626" s="10">
        <f t="shared" si="9"/>
        <v>8</v>
      </c>
      <c r="F626" s="4" t="s">
        <v>20</v>
      </c>
      <c r="G626" s="4" t="s">
        <v>11</v>
      </c>
      <c r="H626" s="4">
        <v>7464</v>
      </c>
      <c r="I626" s="4" t="str">
        <f>VLOOKUP(B626,Customers!$A:$D,4,FALSE)</f>
        <v>Premium</v>
      </c>
      <c r="J626" s="4" t="s">
        <v>37</v>
      </c>
      <c r="K626" s="4" t="s">
        <v>36</v>
      </c>
    </row>
    <row r="627" spans="1:11" x14ac:dyDescent="0.2">
      <c r="A627" s="4">
        <v>5626</v>
      </c>
      <c r="B627" s="4">
        <v>1126</v>
      </c>
      <c r="C627" s="8">
        <v>46139</v>
      </c>
      <c r="D627" s="8">
        <v>46141</v>
      </c>
      <c r="E627" s="10">
        <f t="shared" si="9"/>
        <v>2</v>
      </c>
      <c r="F627" s="4" t="s">
        <v>21</v>
      </c>
      <c r="G627" s="4" t="s">
        <v>12</v>
      </c>
      <c r="H627" s="4">
        <v>36849</v>
      </c>
      <c r="I627" s="4" t="str">
        <f>VLOOKUP(B627,Customers!$A:$D,4,FALSE)</f>
        <v>Premium</v>
      </c>
      <c r="J627" s="4" t="s">
        <v>37</v>
      </c>
      <c r="K627" s="4" t="s">
        <v>36</v>
      </c>
    </row>
    <row r="628" spans="1:11" x14ac:dyDescent="0.2">
      <c r="A628" s="4">
        <v>5627</v>
      </c>
      <c r="B628" s="4">
        <v>1098</v>
      </c>
      <c r="C628" s="8">
        <v>46155</v>
      </c>
      <c r="D628" s="8">
        <v>46157</v>
      </c>
      <c r="E628" s="10">
        <f t="shared" si="9"/>
        <v>2</v>
      </c>
      <c r="F628" s="4" t="s">
        <v>22</v>
      </c>
      <c r="G628" s="4" t="s">
        <v>15</v>
      </c>
      <c r="H628" s="4">
        <v>26385</v>
      </c>
      <c r="I628" s="4" t="str">
        <f>VLOOKUP(B628,Customers!$A:$D,4,FALSE)</f>
        <v>Regular</v>
      </c>
      <c r="J628" s="4" t="s">
        <v>37</v>
      </c>
      <c r="K628" s="4" t="s">
        <v>36</v>
      </c>
    </row>
    <row r="629" spans="1:11" x14ac:dyDescent="0.2">
      <c r="A629" s="4">
        <v>5628</v>
      </c>
      <c r="B629" s="4">
        <v>1086</v>
      </c>
      <c r="C629" s="8">
        <v>46096</v>
      </c>
      <c r="D629" s="8">
        <v>46105</v>
      </c>
      <c r="E629" s="10">
        <f t="shared" si="9"/>
        <v>9</v>
      </c>
      <c r="F629" s="4" t="s">
        <v>21</v>
      </c>
      <c r="G629" s="4" t="s">
        <v>14</v>
      </c>
      <c r="H629" s="4">
        <v>40482</v>
      </c>
      <c r="I629" s="4" t="str">
        <f>VLOOKUP(B629,Customers!$A:$D,4,FALSE)</f>
        <v>Premium</v>
      </c>
      <c r="J629" s="4" t="s">
        <v>35</v>
      </c>
      <c r="K629" s="4" t="s">
        <v>36</v>
      </c>
    </row>
    <row r="630" spans="1:11" x14ac:dyDescent="0.2">
      <c r="A630" s="4">
        <v>5629</v>
      </c>
      <c r="B630" s="4">
        <v>1238</v>
      </c>
      <c r="C630" s="8">
        <v>46155</v>
      </c>
      <c r="D630" s="8">
        <v>46159</v>
      </c>
      <c r="E630" s="10">
        <f t="shared" si="9"/>
        <v>4</v>
      </c>
      <c r="F630" s="4" t="s">
        <v>25</v>
      </c>
      <c r="G630" s="4" t="s">
        <v>12</v>
      </c>
      <c r="H630" s="4">
        <v>47659</v>
      </c>
      <c r="I630" s="4" t="str">
        <f>VLOOKUP(B630,Customers!$A:$D,4,FALSE)</f>
        <v>Premium</v>
      </c>
      <c r="J630" s="4" t="s">
        <v>35</v>
      </c>
      <c r="K630" s="4" t="s">
        <v>36</v>
      </c>
    </row>
    <row r="631" spans="1:11" x14ac:dyDescent="0.2">
      <c r="A631" s="4">
        <v>5630</v>
      </c>
      <c r="B631" s="4">
        <v>1070</v>
      </c>
      <c r="C631" s="8">
        <v>46069</v>
      </c>
      <c r="D631" s="8">
        <v>46079</v>
      </c>
      <c r="E631" s="10">
        <f t="shared" si="9"/>
        <v>10</v>
      </c>
      <c r="F631" s="4" t="s">
        <v>21</v>
      </c>
      <c r="G631" s="4" t="s">
        <v>15</v>
      </c>
      <c r="H631" s="4">
        <v>21498</v>
      </c>
      <c r="I631" s="4" t="str">
        <f>VLOOKUP(B631,Customers!$A:$D,4,FALSE)</f>
        <v>Regular</v>
      </c>
      <c r="J631" s="4" t="s">
        <v>37</v>
      </c>
      <c r="K631" s="4" t="s">
        <v>36</v>
      </c>
    </row>
    <row r="632" spans="1:11" x14ac:dyDescent="0.2">
      <c r="A632" s="4">
        <v>5631</v>
      </c>
      <c r="B632" s="4">
        <v>1233</v>
      </c>
      <c r="C632" s="8">
        <v>46029</v>
      </c>
      <c r="D632" s="8">
        <v>46033</v>
      </c>
      <c r="E632" s="10">
        <f t="shared" si="9"/>
        <v>4</v>
      </c>
      <c r="F632" s="4" t="s">
        <v>24</v>
      </c>
      <c r="G632" s="4" t="s">
        <v>15</v>
      </c>
      <c r="H632" s="4">
        <v>6210</v>
      </c>
      <c r="I632" s="4" t="str">
        <f>VLOOKUP(B632,Customers!$A:$D,4,FALSE)</f>
        <v>Regular</v>
      </c>
      <c r="J632" s="4" t="s">
        <v>37</v>
      </c>
      <c r="K632" s="4" t="s">
        <v>36</v>
      </c>
    </row>
    <row r="633" spans="1:11" x14ac:dyDescent="0.2">
      <c r="A633" s="4">
        <v>5632</v>
      </c>
      <c r="B633" s="4">
        <v>1064</v>
      </c>
      <c r="C633" s="8">
        <v>46105</v>
      </c>
      <c r="D633" s="8">
        <v>46109</v>
      </c>
      <c r="E633" s="10">
        <f t="shared" si="9"/>
        <v>4</v>
      </c>
      <c r="F633" s="4" t="s">
        <v>23</v>
      </c>
      <c r="G633" s="4" t="s">
        <v>12</v>
      </c>
      <c r="H633" s="4">
        <v>46583</v>
      </c>
      <c r="I633" s="4" t="str">
        <f>VLOOKUP(B633,Customers!$A:$D,4,FALSE)</f>
        <v>Premium</v>
      </c>
      <c r="J633" s="4" t="s">
        <v>37</v>
      </c>
      <c r="K633" s="4" t="s">
        <v>36</v>
      </c>
    </row>
    <row r="634" spans="1:11" x14ac:dyDescent="0.2">
      <c r="A634" s="4">
        <v>5633</v>
      </c>
      <c r="B634" s="4">
        <v>1269</v>
      </c>
      <c r="C634" s="8">
        <v>46115</v>
      </c>
      <c r="D634" s="8">
        <v>46118</v>
      </c>
      <c r="E634" s="10">
        <f t="shared" si="9"/>
        <v>3</v>
      </c>
      <c r="F634" s="4" t="s">
        <v>21</v>
      </c>
      <c r="G634" s="4" t="s">
        <v>11</v>
      </c>
      <c r="H634" s="4">
        <v>40412</v>
      </c>
      <c r="I634" s="4" t="str">
        <f>VLOOKUP(B634,Customers!$A:$D,4,FALSE)</f>
        <v>Premium</v>
      </c>
      <c r="J634" s="4" t="s">
        <v>35</v>
      </c>
      <c r="K634" s="4" t="s">
        <v>36</v>
      </c>
    </row>
    <row r="635" spans="1:11" x14ac:dyDescent="0.2">
      <c r="A635" s="4">
        <v>5634</v>
      </c>
      <c r="B635" s="4">
        <v>1195</v>
      </c>
      <c r="C635" s="8">
        <v>46119</v>
      </c>
      <c r="D635" s="8">
        <v>46129</v>
      </c>
      <c r="E635" s="10">
        <f t="shared" si="9"/>
        <v>10</v>
      </c>
      <c r="F635" s="4" t="s">
        <v>20</v>
      </c>
      <c r="G635" s="4" t="s">
        <v>13</v>
      </c>
      <c r="H635" s="4">
        <v>22267</v>
      </c>
      <c r="I635" s="4" t="str">
        <f>VLOOKUP(B635,Customers!$A:$D,4,FALSE)</f>
        <v>Premium</v>
      </c>
      <c r="J635" s="4" t="s">
        <v>35</v>
      </c>
      <c r="K635" s="4" t="s">
        <v>36</v>
      </c>
    </row>
    <row r="636" spans="1:11" x14ac:dyDescent="0.2">
      <c r="A636" s="4">
        <v>5635</v>
      </c>
      <c r="B636" s="4">
        <v>1092</v>
      </c>
      <c r="C636" s="8">
        <v>46064</v>
      </c>
      <c r="D636" s="8">
        <v>46068</v>
      </c>
      <c r="E636" s="10">
        <f t="shared" si="9"/>
        <v>4</v>
      </c>
      <c r="F636" s="4" t="s">
        <v>20</v>
      </c>
      <c r="G636" s="4" t="s">
        <v>15</v>
      </c>
      <c r="H636" s="4">
        <v>20489</v>
      </c>
      <c r="I636" s="4" t="str">
        <f>VLOOKUP(B636,Customers!$A:$D,4,FALSE)</f>
        <v>Premium</v>
      </c>
      <c r="J636" s="4" t="s">
        <v>37</v>
      </c>
      <c r="K636" s="4" t="s">
        <v>36</v>
      </c>
    </row>
    <row r="637" spans="1:11" x14ac:dyDescent="0.2">
      <c r="A637" s="4">
        <v>5636</v>
      </c>
      <c r="B637" s="4">
        <v>1093</v>
      </c>
      <c r="C637" s="8">
        <v>46137</v>
      </c>
      <c r="D637" s="8">
        <v>46143</v>
      </c>
      <c r="E637" s="10">
        <f t="shared" si="9"/>
        <v>6</v>
      </c>
      <c r="F637" s="4" t="s">
        <v>23</v>
      </c>
      <c r="G637" s="4" t="s">
        <v>13</v>
      </c>
      <c r="H637" s="4">
        <v>13594</v>
      </c>
      <c r="I637" s="4" t="str">
        <f>VLOOKUP(B637,Customers!$A:$D,4,FALSE)</f>
        <v>Regular</v>
      </c>
      <c r="J637" s="4" t="s">
        <v>35</v>
      </c>
      <c r="K637" s="4" t="s">
        <v>36</v>
      </c>
    </row>
    <row r="638" spans="1:11" x14ac:dyDescent="0.2">
      <c r="A638" s="4">
        <v>5637</v>
      </c>
      <c r="B638" s="4">
        <v>1235</v>
      </c>
      <c r="C638" s="8">
        <v>46087</v>
      </c>
      <c r="D638" s="8">
        <v>46089</v>
      </c>
      <c r="E638" s="10">
        <f t="shared" si="9"/>
        <v>2</v>
      </c>
      <c r="F638" s="4" t="s">
        <v>25</v>
      </c>
      <c r="G638" s="4" t="s">
        <v>15</v>
      </c>
      <c r="H638" s="4">
        <v>35918</v>
      </c>
      <c r="I638" s="4" t="str">
        <f>VLOOKUP(B638,Customers!$A:$D,4,FALSE)</f>
        <v>Premium</v>
      </c>
      <c r="J638" s="4" t="s">
        <v>35</v>
      </c>
      <c r="K638" s="4" t="s">
        <v>36</v>
      </c>
    </row>
    <row r="639" spans="1:11" x14ac:dyDescent="0.2">
      <c r="A639" s="4">
        <v>5638</v>
      </c>
      <c r="B639" s="4">
        <v>1112</v>
      </c>
      <c r="C639" s="8">
        <v>46149</v>
      </c>
      <c r="D639" s="8">
        <v>46154</v>
      </c>
      <c r="E639" s="10">
        <f t="shared" si="9"/>
        <v>5</v>
      </c>
      <c r="F639" s="4" t="s">
        <v>25</v>
      </c>
      <c r="G639" s="4" t="s">
        <v>15</v>
      </c>
      <c r="H639" s="4">
        <v>27179</v>
      </c>
      <c r="I639" s="4" t="str">
        <f>VLOOKUP(B639,Customers!$A:$D,4,FALSE)</f>
        <v>Premium</v>
      </c>
      <c r="J639" s="4" t="s">
        <v>37</v>
      </c>
      <c r="K639" s="4" t="s">
        <v>36</v>
      </c>
    </row>
    <row r="640" spans="1:11" x14ac:dyDescent="0.2">
      <c r="A640" s="4">
        <v>5639</v>
      </c>
      <c r="B640" s="4">
        <v>1126</v>
      </c>
      <c r="C640" s="8">
        <v>46043</v>
      </c>
      <c r="D640" s="8">
        <v>46045</v>
      </c>
      <c r="E640" s="10">
        <f t="shared" si="9"/>
        <v>2</v>
      </c>
      <c r="F640" s="4" t="s">
        <v>22</v>
      </c>
      <c r="G640" s="4" t="s">
        <v>11</v>
      </c>
      <c r="H640" s="4">
        <v>41498</v>
      </c>
      <c r="I640" s="4" t="str">
        <f>VLOOKUP(B640,Customers!$A:$D,4,FALSE)</f>
        <v>Premium</v>
      </c>
      <c r="J640" s="4" t="s">
        <v>35</v>
      </c>
      <c r="K640" s="4" t="s">
        <v>36</v>
      </c>
    </row>
    <row r="641" spans="1:11" x14ac:dyDescent="0.2">
      <c r="A641" s="4">
        <v>5640</v>
      </c>
      <c r="B641" s="4">
        <v>1076</v>
      </c>
      <c r="C641" s="8">
        <v>46035</v>
      </c>
      <c r="D641" s="8">
        <v>46039</v>
      </c>
      <c r="E641" s="10">
        <f t="shared" si="9"/>
        <v>4</v>
      </c>
      <c r="F641" s="4" t="s">
        <v>20</v>
      </c>
      <c r="G641" s="4" t="s">
        <v>14</v>
      </c>
      <c r="H641" s="4">
        <v>2706</v>
      </c>
      <c r="I641" s="4" t="str">
        <f>VLOOKUP(B641,Customers!$A:$D,4,FALSE)</f>
        <v>Regular</v>
      </c>
      <c r="J641" s="4" t="s">
        <v>35</v>
      </c>
      <c r="K641" s="4" t="s">
        <v>36</v>
      </c>
    </row>
    <row r="642" spans="1:11" x14ac:dyDescent="0.2">
      <c r="A642" s="4">
        <v>5641</v>
      </c>
      <c r="B642" s="4">
        <v>1170</v>
      </c>
      <c r="C642" s="8">
        <v>46031</v>
      </c>
      <c r="D642" s="8">
        <v>46037</v>
      </c>
      <c r="E642" s="10">
        <f t="shared" si="9"/>
        <v>6</v>
      </c>
      <c r="F642" s="4" t="s">
        <v>23</v>
      </c>
      <c r="G642" s="4" t="s">
        <v>12</v>
      </c>
      <c r="H642" s="4">
        <v>7436</v>
      </c>
      <c r="I642" s="4" t="str">
        <f>VLOOKUP(B642,Customers!$A:$D,4,FALSE)</f>
        <v>Regular</v>
      </c>
      <c r="J642" s="4" t="s">
        <v>37</v>
      </c>
      <c r="K642" s="4" t="s">
        <v>36</v>
      </c>
    </row>
    <row r="643" spans="1:11" x14ac:dyDescent="0.2">
      <c r="A643" s="4">
        <v>5642</v>
      </c>
      <c r="B643" s="4">
        <v>1146</v>
      </c>
      <c r="C643" s="8">
        <v>46068</v>
      </c>
      <c r="D643" s="8">
        <v>46072</v>
      </c>
      <c r="E643" s="10">
        <f t="shared" ref="E643:E706" si="10">D643-C643</f>
        <v>4</v>
      </c>
      <c r="F643" s="4" t="s">
        <v>18</v>
      </c>
      <c r="G643" s="4" t="s">
        <v>15</v>
      </c>
      <c r="H643" s="4">
        <v>49408</v>
      </c>
      <c r="I643" s="4" t="str">
        <f>VLOOKUP(B643,Customers!$A:$D,4,FALSE)</f>
        <v>Regular</v>
      </c>
      <c r="J643" s="4" t="s">
        <v>37</v>
      </c>
      <c r="K643" s="4" t="s">
        <v>36</v>
      </c>
    </row>
    <row r="644" spans="1:11" x14ac:dyDescent="0.2">
      <c r="A644" s="4">
        <v>5643</v>
      </c>
      <c r="B644" s="4">
        <v>1154</v>
      </c>
      <c r="C644" s="8">
        <v>46032</v>
      </c>
      <c r="D644" s="8">
        <v>46035</v>
      </c>
      <c r="E644" s="10">
        <f t="shared" si="10"/>
        <v>3</v>
      </c>
      <c r="F644" s="4" t="s">
        <v>19</v>
      </c>
      <c r="G644" s="4" t="s">
        <v>14</v>
      </c>
      <c r="H644" s="4">
        <v>25134</v>
      </c>
      <c r="I644" s="4" t="str">
        <f>VLOOKUP(B644,Customers!$A:$D,4,FALSE)</f>
        <v>Regular</v>
      </c>
      <c r="J644" s="4" t="s">
        <v>35</v>
      </c>
      <c r="K644" s="4" t="s">
        <v>36</v>
      </c>
    </row>
    <row r="645" spans="1:11" x14ac:dyDescent="0.2">
      <c r="A645" s="4">
        <v>5644</v>
      </c>
      <c r="B645" s="4">
        <v>1034</v>
      </c>
      <c r="C645" s="8">
        <v>46132</v>
      </c>
      <c r="D645" s="8">
        <v>46142</v>
      </c>
      <c r="E645" s="10">
        <f t="shared" si="10"/>
        <v>10</v>
      </c>
      <c r="F645" s="4" t="s">
        <v>22</v>
      </c>
      <c r="G645" s="4" t="s">
        <v>15</v>
      </c>
      <c r="H645" s="4">
        <v>9117</v>
      </c>
      <c r="I645" s="4" t="str">
        <f>VLOOKUP(B645,Customers!$A:$D,4,FALSE)</f>
        <v>Regular</v>
      </c>
      <c r="J645" s="4" t="s">
        <v>35</v>
      </c>
      <c r="K645" s="4" t="s">
        <v>36</v>
      </c>
    </row>
    <row r="646" spans="1:11" x14ac:dyDescent="0.2">
      <c r="A646" s="4">
        <v>5645</v>
      </c>
      <c r="B646" s="4">
        <v>1270</v>
      </c>
      <c r="C646" s="8">
        <v>46093</v>
      </c>
      <c r="D646" s="8">
        <v>46100</v>
      </c>
      <c r="E646" s="10">
        <f t="shared" si="10"/>
        <v>7</v>
      </c>
      <c r="F646" s="4" t="s">
        <v>21</v>
      </c>
      <c r="G646" s="4" t="s">
        <v>11</v>
      </c>
      <c r="H646" s="4">
        <v>14052</v>
      </c>
      <c r="I646" s="4" t="str">
        <f>VLOOKUP(B646,Customers!$A:$D,4,FALSE)</f>
        <v>Premium</v>
      </c>
      <c r="J646" s="4" t="s">
        <v>35</v>
      </c>
      <c r="K646" s="4" t="s">
        <v>36</v>
      </c>
    </row>
    <row r="647" spans="1:11" x14ac:dyDescent="0.2">
      <c r="A647" s="4">
        <v>5646</v>
      </c>
      <c r="B647" s="4">
        <v>1293</v>
      </c>
      <c r="C647" s="8">
        <v>46037</v>
      </c>
      <c r="D647" s="8">
        <v>46040</v>
      </c>
      <c r="E647" s="10">
        <f t="shared" si="10"/>
        <v>3</v>
      </c>
      <c r="F647" s="4" t="s">
        <v>23</v>
      </c>
      <c r="G647" s="4" t="s">
        <v>15</v>
      </c>
      <c r="H647" s="4">
        <v>47752</v>
      </c>
      <c r="I647" s="4" t="str">
        <f>VLOOKUP(B647,Customers!$A:$D,4,FALSE)</f>
        <v>Premium</v>
      </c>
      <c r="J647" s="4" t="s">
        <v>37</v>
      </c>
      <c r="K647" s="4" t="s">
        <v>36</v>
      </c>
    </row>
    <row r="648" spans="1:11" x14ac:dyDescent="0.2">
      <c r="A648" s="4">
        <v>5647</v>
      </c>
      <c r="B648" s="4">
        <v>1133</v>
      </c>
      <c r="C648" s="8">
        <v>46132</v>
      </c>
      <c r="D648" s="8">
        <v>46139</v>
      </c>
      <c r="E648" s="10">
        <f t="shared" si="10"/>
        <v>7</v>
      </c>
      <c r="F648" s="4" t="s">
        <v>19</v>
      </c>
      <c r="G648" s="4" t="s">
        <v>13</v>
      </c>
      <c r="H648" s="4">
        <v>40558</v>
      </c>
      <c r="I648" s="4" t="str">
        <f>VLOOKUP(B648,Customers!$A:$D,4,FALSE)</f>
        <v>Premium</v>
      </c>
      <c r="J648" s="4" t="s">
        <v>37</v>
      </c>
      <c r="K648" s="4" t="s">
        <v>36</v>
      </c>
    </row>
    <row r="649" spans="1:11" x14ac:dyDescent="0.2">
      <c r="A649" s="4">
        <v>5648</v>
      </c>
      <c r="B649" s="4">
        <v>1253</v>
      </c>
      <c r="C649" s="8">
        <v>46156</v>
      </c>
      <c r="D649" s="8">
        <v>46165</v>
      </c>
      <c r="E649" s="10">
        <f t="shared" si="10"/>
        <v>9</v>
      </c>
      <c r="F649" s="4" t="s">
        <v>18</v>
      </c>
      <c r="G649" s="4" t="s">
        <v>11</v>
      </c>
      <c r="H649" s="4">
        <v>15551</v>
      </c>
      <c r="I649" s="4" t="str">
        <f>VLOOKUP(B649,Customers!$A:$D,4,FALSE)</f>
        <v>Regular</v>
      </c>
      <c r="J649" s="4" t="s">
        <v>37</v>
      </c>
      <c r="K649" s="4" t="s">
        <v>36</v>
      </c>
    </row>
    <row r="650" spans="1:11" x14ac:dyDescent="0.2">
      <c r="A650" s="4">
        <v>5649</v>
      </c>
      <c r="B650" s="4">
        <v>1061</v>
      </c>
      <c r="C650" s="8">
        <v>46072</v>
      </c>
      <c r="D650" s="8">
        <v>46074</v>
      </c>
      <c r="E650" s="10">
        <f t="shared" si="10"/>
        <v>2</v>
      </c>
      <c r="F650" s="4" t="s">
        <v>20</v>
      </c>
      <c r="G650" s="4" t="s">
        <v>15</v>
      </c>
      <c r="H650" s="4">
        <v>41290</v>
      </c>
      <c r="I650" s="4" t="str">
        <f>VLOOKUP(B650,Customers!$A:$D,4,FALSE)</f>
        <v>Regular</v>
      </c>
      <c r="J650" s="4" t="s">
        <v>35</v>
      </c>
      <c r="K650" s="4" t="s">
        <v>36</v>
      </c>
    </row>
    <row r="651" spans="1:11" x14ac:dyDescent="0.2">
      <c r="A651" s="4">
        <v>5650</v>
      </c>
      <c r="B651" s="4">
        <v>1212</v>
      </c>
      <c r="C651" s="8">
        <v>46076</v>
      </c>
      <c r="D651" s="8">
        <v>46084</v>
      </c>
      <c r="E651" s="10">
        <f t="shared" si="10"/>
        <v>8</v>
      </c>
      <c r="F651" s="4" t="s">
        <v>20</v>
      </c>
      <c r="G651" s="4" t="s">
        <v>14</v>
      </c>
      <c r="H651" s="4">
        <v>23214</v>
      </c>
      <c r="I651" s="4" t="str">
        <f>VLOOKUP(B651,Customers!$A:$D,4,FALSE)</f>
        <v>Premium</v>
      </c>
      <c r="J651" s="4" t="s">
        <v>35</v>
      </c>
      <c r="K651" s="4" t="s">
        <v>36</v>
      </c>
    </row>
    <row r="652" spans="1:11" x14ac:dyDescent="0.2">
      <c r="A652" s="4">
        <v>5651</v>
      </c>
      <c r="B652" s="4">
        <v>1145</v>
      </c>
      <c r="C652" s="8">
        <v>46025</v>
      </c>
      <c r="D652" s="8">
        <v>46030</v>
      </c>
      <c r="E652" s="10">
        <f t="shared" si="10"/>
        <v>5</v>
      </c>
      <c r="F652" s="4" t="s">
        <v>22</v>
      </c>
      <c r="G652" s="4" t="s">
        <v>12</v>
      </c>
      <c r="H652" s="4">
        <v>20470</v>
      </c>
      <c r="I652" s="4" t="str">
        <f>VLOOKUP(B652,Customers!$A:$D,4,FALSE)</f>
        <v>Regular</v>
      </c>
      <c r="J652" s="4" t="s">
        <v>37</v>
      </c>
      <c r="K652" s="4" t="s">
        <v>36</v>
      </c>
    </row>
    <row r="653" spans="1:11" x14ac:dyDescent="0.2">
      <c r="A653" s="4">
        <v>5652</v>
      </c>
      <c r="B653" s="4">
        <v>1166</v>
      </c>
      <c r="C653" s="8">
        <v>46152</v>
      </c>
      <c r="D653" s="8">
        <v>46162</v>
      </c>
      <c r="E653" s="10">
        <f t="shared" si="10"/>
        <v>10</v>
      </c>
      <c r="F653" s="4" t="s">
        <v>20</v>
      </c>
      <c r="G653" s="4" t="s">
        <v>12</v>
      </c>
      <c r="H653" s="4">
        <v>45246</v>
      </c>
      <c r="I653" s="4" t="str">
        <f>VLOOKUP(B653,Customers!$A:$D,4,FALSE)</f>
        <v>Premium</v>
      </c>
      <c r="J653" s="4" t="s">
        <v>37</v>
      </c>
      <c r="K653" s="4" t="s">
        <v>36</v>
      </c>
    </row>
    <row r="654" spans="1:11" x14ac:dyDescent="0.2">
      <c r="A654" s="4">
        <v>5653</v>
      </c>
      <c r="B654" s="4">
        <v>1292</v>
      </c>
      <c r="C654" s="8">
        <v>46110</v>
      </c>
      <c r="D654" s="8">
        <v>46118</v>
      </c>
      <c r="E654" s="10">
        <f t="shared" si="10"/>
        <v>8</v>
      </c>
      <c r="F654" s="4" t="s">
        <v>20</v>
      </c>
      <c r="G654" s="4" t="s">
        <v>13</v>
      </c>
      <c r="H654" s="4">
        <v>13015</v>
      </c>
      <c r="I654" s="4" t="str">
        <f>VLOOKUP(B654,Customers!$A:$D,4,FALSE)</f>
        <v>Regular</v>
      </c>
      <c r="J654" s="4" t="s">
        <v>37</v>
      </c>
      <c r="K654" s="4" t="s">
        <v>36</v>
      </c>
    </row>
    <row r="655" spans="1:11" x14ac:dyDescent="0.2">
      <c r="A655" s="4">
        <v>5654</v>
      </c>
      <c r="B655" s="4">
        <v>1243</v>
      </c>
      <c r="C655" s="8">
        <v>46109</v>
      </c>
      <c r="D655" s="8">
        <v>46118</v>
      </c>
      <c r="E655" s="10">
        <f t="shared" si="10"/>
        <v>9</v>
      </c>
      <c r="F655" s="4" t="s">
        <v>20</v>
      </c>
      <c r="G655" s="4" t="s">
        <v>13</v>
      </c>
      <c r="H655" s="4">
        <v>31855</v>
      </c>
      <c r="I655" s="4" t="str">
        <f>VLOOKUP(B655,Customers!$A:$D,4,FALSE)</f>
        <v>Regular</v>
      </c>
      <c r="J655" s="4" t="s">
        <v>35</v>
      </c>
      <c r="K655" s="4" t="s">
        <v>36</v>
      </c>
    </row>
    <row r="656" spans="1:11" x14ac:dyDescent="0.2">
      <c r="A656" s="4">
        <v>5655</v>
      </c>
      <c r="B656" s="4">
        <v>1172</v>
      </c>
      <c r="C656" s="8">
        <v>46140</v>
      </c>
      <c r="D656" s="8">
        <v>46150</v>
      </c>
      <c r="E656" s="10">
        <f t="shared" si="10"/>
        <v>10</v>
      </c>
      <c r="F656" s="4" t="s">
        <v>25</v>
      </c>
      <c r="G656" s="4" t="s">
        <v>15</v>
      </c>
      <c r="H656" s="4">
        <v>48966</v>
      </c>
      <c r="I656" s="4" t="str">
        <f>VLOOKUP(B656,Customers!$A:$D,4,FALSE)</f>
        <v>Regular</v>
      </c>
      <c r="J656" s="4" t="s">
        <v>35</v>
      </c>
      <c r="K656" s="4" t="s">
        <v>36</v>
      </c>
    </row>
    <row r="657" spans="1:11" x14ac:dyDescent="0.2">
      <c r="A657" s="4">
        <v>5656</v>
      </c>
      <c r="B657" s="4">
        <v>1290</v>
      </c>
      <c r="C657" s="8">
        <v>46156</v>
      </c>
      <c r="D657" s="8">
        <v>46162</v>
      </c>
      <c r="E657" s="10">
        <f t="shared" si="10"/>
        <v>6</v>
      </c>
      <c r="F657" s="4" t="s">
        <v>19</v>
      </c>
      <c r="G657" s="4" t="s">
        <v>11</v>
      </c>
      <c r="H657" s="4">
        <v>35419</v>
      </c>
      <c r="I657" s="4" t="str">
        <f>VLOOKUP(B657,Customers!$A:$D,4,FALSE)</f>
        <v>Regular</v>
      </c>
      <c r="J657" s="4" t="s">
        <v>35</v>
      </c>
      <c r="K657" s="4" t="s">
        <v>36</v>
      </c>
    </row>
    <row r="658" spans="1:11" x14ac:dyDescent="0.2">
      <c r="A658" s="4">
        <v>5657</v>
      </c>
      <c r="B658" s="4">
        <v>1182</v>
      </c>
      <c r="C658" s="8">
        <v>46076</v>
      </c>
      <c r="D658" s="8">
        <v>46083</v>
      </c>
      <c r="E658" s="10">
        <f t="shared" si="10"/>
        <v>7</v>
      </c>
      <c r="F658" s="4" t="s">
        <v>23</v>
      </c>
      <c r="G658" s="4" t="s">
        <v>13</v>
      </c>
      <c r="H658" s="4">
        <v>18680</v>
      </c>
      <c r="I658" s="4" t="str">
        <f>VLOOKUP(B658,Customers!$A:$D,4,FALSE)</f>
        <v>Regular</v>
      </c>
      <c r="J658" s="4" t="s">
        <v>35</v>
      </c>
      <c r="K658" s="4" t="s">
        <v>36</v>
      </c>
    </row>
    <row r="659" spans="1:11" x14ac:dyDescent="0.2">
      <c r="A659" s="4">
        <v>5658</v>
      </c>
      <c r="B659" s="4">
        <v>1274</v>
      </c>
      <c r="C659" s="8">
        <v>46109</v>
      </c>
      <c r="D659" s="8">
        <v>46117</v>
      </c>
      <c r="E659" s="10">
        <f t="shared" si="10"/>
        <v>8</v>
      </c>
      <c r="F659" s="4" t="s">
        <v>18</v>
      </c>
      <c r="G659" s="4" t="s">
        <v>11</v>
      </c>
      <c r="H659" s="4">
        <v>39994</v>
      </c>
      <c r="I659" s="4" t="str">
        <f>VLOOKUP(B659,Customers!$A:$D,4,FALSE)</f>
        <v>Regular</v>
      </c>
      <c r="J659" s="4" t="s">
        <v>37</v>
      </c>
      <c r="K659" s="4" t="s">
        <v>36</v>
      </c>
    </row>
    <row r="660" spans="1:11" x14ac:dyDescent="0.2">
      <c r="A660" s="4">
        <v>5659</v>
      </c>
      <c r="B660" s="4">
        <v>1158</v>
      </c>
      <c r="C660" s="8">
        <v>46070</v>
      </c>
      <c r="D660" s="8">
        <v>46073</v>
      </c>
      <c r="E660" s="10">
        <f t="shared" si="10"/>
        <v>3</v>
      </c>
      <c r="F660" s="4" t="s">
        <v>19</v>
      </c>
      <c r="G660" s="4" t="s">
        <v>12</v>
      </c>
      <c r="H660" s="4">
        <v>18092</v>
      </c>
      <c r="I660" s="4" t="str">
        <f>VLOOKUP(B660,Customers!$A:$D,4,FALSE)</f>
        <v>Premium</v>
      </c>
      <c r="J660" s="4" t="s">
        <v>37</v>
      </c>
      <c r="K660" s="4" t="s">
        <v>36</v>
      </c>
    </row>
    <row r="661" spans="1:11" x14ac:dyDescent="0.2">
      <c r="A661" s="4">
        <v>5660</v>
      </c>
      <c r="B661" s="4">
        <v>1122</v>
      </c>
      <c r="C661" s="8">
        <v>46045</v>
      </c>
      <c r="D661" s="8">
        <v>46054</v>
      </c>
      <c r="E661" s="10">
        <f t="shared" si="10"/>
        <v>9</v>
      </c>
      <c r="F661" s="4" t="s">
        <v>19</v>
      </c>
      <c r="G661" s="4" t="s">
        <v>15</v>
      </c>
      <c r="H661" s="4">
        <v>20133</v>
      </c>
      <c r="I661" s="4" t="str">
        <f>VLOOKUP(B661,Customers!$A:$D,4,FALSE)</f>
        <v>Regular</v>
      </c>
      <c r="J661" s="4" t="s">
        <v>35</v>
      </c>
      <c r="K661" s="4" t="s">
        <v>36</v>
      </c>
    </row>
    <row r="662" spans="1:11" x14ac:dyDescent="0.2">
      <c r="A662" s="4">
        <v>5661</v>
      </c>
      <c r="B662" s="4">
        <v>1090</v>
      </c>
      <c r="C662" s="8">
        <v>46157</v>
      </c>
      <c r="D662" s="8">
        <v>46163</v>
      </c>
      <c r="E662" s="10">
        <f t="shared" si="10"/>
        <v>6</v>
      </c>
      <c r="F662" s="4" t="s">
        <v>23</v>
      </c>
      <c r="G662" s="4" t="s">
        <v>14</v>
      </c>
      <c r="H662" s="4">
        <v>2750</v>
      </c>
      <c r="I662" s="4" t="str">
        <f>VLOOKUP(B662,Customers!$A:$D,4,FALSE)</f>
        <v>Regular</v>
      </c>
      <c r="J662" s="4" t="s">
        <v>35</v>
      </c>
      <c r="K662" s="4" t="s">
        <v>36</v>
      </c>
    </row>
    <row r="663" spans="1:11" x14ac:dyDescent="0.2">
      <c r="A663" s="4">
        <v>5662</v>
      </c>
      <c r="B663" s="4">
        <v>1260</v>
      </c>
      <c r="C663" s="8">
        <v>46046</v>
      </c>
      <c r="D663" s="8">
        <v>46055</v>
      </c>
      <c r="E663" s="10">
        <f t="shared" si="10"/>
        <v>9</v>
      </c>
      <c r="F663" s="4" t="s">
        <v>20</v>
      </c>
      <c r="G663" s="4" t="s">
        <v>15</v>
      </c>
      <c r="H663" s="4">
        <v>33071</v>
      </c>
      <c r="I663" s="4" t="str">
        <f>VLOOKUP(B663,Customers!$A:$D,4,FALSE)</f>
        <v>Regular</v>
      </c>
      <c r="J663" s="4" t="s">
        <v>35</v>
      </c>
      <c r="K663" s="4" t="s">
        <v>36</v>
      </c>
    </row>
    <row r="664" spans="1:11" x14ac:dyDescent="0.2">
      <c r="A664" s="4">
        <v>5663</v>
      </c>
      <c r="B664" s="4">
        <v>1248</v>
      </c>
      <c r="C664" s="8">
        <v>46071</v>
      </c>
      <c r="D664" s="8">
        <v>46078</v>
      </c>
      <c r="E664" s="10">
        <f t="shared" si="10"/>
        <v>7</v>
      </c>
      <c r="F664" s="4" t="s">
        <v>22</v>
      </c>
      <c r="G664" s="4" t="s">
        <v>14</v>
      </c>
      <c r="H664" s="4">
        <v>9690</v>
      </c>
      <c r="I664" s="4" t="str">
        <f>VLOOKUP(B664,Customers!$A:$D,4,FALSE)</f>
        <v>Regular</v>
      </c>
      <c r="J664" s="4" t="s">
        <v>35</v>
      </c>
      <c r="K664" s="4" t="s">
        <v>36</v>
      </c>
    </row>
    <row r="665" spans="1:11" x14ac:dyDescent="0.2">
      <c r="A665" s="4">
        <v>5664</v>
      </c>
      <c r="B665" s="4">
        <v>1106</v>
      </c>
      <c r="C665" s="8">
        <v>46155</v>
      </c>
      <c r="D665" s="8">
        <v>46159</v>
      </c>
      <c r="E665" s="10">
        <f t="shared" si="10"/>
        <v>4</v>
      </c>
      <c r="F665" s="4" t="s">
        <v>20</v>
      </c>
      <c r="G665" s="4" t="s">
        <v>15</v>
      </c>
      <c r="H665" s="4">
        <v>25700</v>
      </c>
      <c r="I665" s="4" t="str">
        <f>VLOOKUP(B665,Customers!$A:$D,4,FALSE)</f>
        <v>Premium</v>
      </c>
      <c r="J665" s="4" t="s">
        <v>35</v>
      </c>
      <c r="K665" s="4" t="s">
        <v>36</v>
      </c>
    </row>
    <row r="666" spans="1:11" x14ac:dyDescent="0.2">
      <c r="A666" s="4">
        <v>5665</v>
      </c>
      <c r="B666" s="4">
        <v>1023</v>
      </c>
      <c r="C666" s="8">
        <v>46024</v>
      </c>
      <c r="D666" s="8">
        <v>46030</v>
      </c>
      <c r="E666" s="10">
        <f t="shared" si="10"/>
        <v>6</v>
      </c>
      <c r="F666" s="4" t="s">
        <v>23</v>
      </c>
      <c r="G666" s="4" t="s">
        <v>14</v>
      </c>
      <c r="H666" s="4">
        <v>30897</v>
      </c>
      <c r="I666" s="4" t="str">
        <f>VLOOKUP(B666,Customers!$A:$D,4,FALSE)</f>
        <v>Regular</v>
      </c>
      <c r="J666" s="4" t="s">
        <v>35</v>
      </c>
      <c r="K666" s="4" t="s">
        <v>36</v>
      </c>
    </row>
    <row r="667" spans="1:11" x14ac:dyDescent="0.2">
      <c r="A667" s="4">
        <v>5666</v>
      </c>
      <c r="B667" s="4">
        <v>1160</v>
      </c>
      <c r="C667" s="8">
        <v>46049</v>
      </c>
      <c r="D667" s="8">
        <v>46059</v>
      </c>
      <c r="E667" s="10">
        <f t="shared" si="10"/>
        <v>10</v>
      </c>
      <c r="F667" s="4" t="s">
        <v>20</v>
      </c>
      <c r="G667" s="4" t="s">
        <v>11</v>
      </c>
      <c r="H667" s="4">
        <v>20756</v>
      </c>
      <c r="I667" s="4" t="str">
        <f>VLOOKUP(B667,Customers!$A:$D,4,FALSE)</f>
        <v>Regular</v>
      </c>
      <c r="J667" s="4" t="s">
        <v>35</v>
      </c>
      <c r="K667" s="4" t="s">
        <v>36</v>
      </c>
    </row>
    <row r="668" spans="1:11" x14ac:dyDescent="0.2">
      <c r="A668" s="4">
        <v>5667</v>
      </c>
      <c r="B668" s="4">
        <v>1099</v>
      </c>
      <c r="C668" s="8">
        <v>46105</v>
      </c>
      <c r="D668" s="8">
        <v>46110</v>
      </c>
      <c r="E668" s="10">
        <f t="shared" si="10"/>
        <v>5</v>
      </c>
      <c r="F668" s="4" t="s">
        <v>22</v>
      </c>
      <c r="G668" s="4" t="s">
        <v>14</v>
      </c>
      <c r="H668" s="4">
        <v>35183</v>
      </c>
      <c r="I668" s="4" t="str">
        <f>VLOOKUP(B668,Customers!$A:$D,4,FALSE)</f>
        <v>Premium</v>
      </c>
      <c r="J668" s="4" t="s">
        <v>37</v>
      </c>
      <c r="K668" s="4" t="s">
        <v>36</v>
      </c>
    </row>
    <row r="669" spans="1:11" x14ac:dyDescent="0.2">
      <c r="A669" s="4">
        <v>5668</v>
      </c>
      <c r="B669" s="4">
        <v>1140</v>
      </c>
      <c r="C669" s="8">
        <v>46135</v>
      </c>
      <c r="D669" s="8">
        <v>46138</v>
      </c>
      <c r="E669" s="10">
        <f t="shared" si="10"/>
        <v>3</v>
      </c>
      <c r="F669" s="4" t="s">
        <v>18</v>
      </c>
      <c r="G669" s="4" t="s">
        <v>13</v>
      </c>
      <c r="H669" s="4">
        <v>18233</v>
      </c>
      <c r="I669" s="4" t="str">
        <f>VLOOKUP(B669,Customers!$A:$D,4,FALSE)</f>
        <v>Premium</v>
      </c>
      <c r="J669" s="4" t="s">
        <v>35</v>
      </c>
      <c r="K669" s="4" t="s">
        <v>36</v>
      </c>
    </row>
    <row r="670" spans="1:11" x14ac:dyDescent="0.2">
      <c r="A670" s="4">
        <v>5669</v>
      </c>
      <c r="B670" s="4">
        <v>1264</v>
      </c>
      <c r="C670" s="8">
        <v>46026</v>
      </c>
      <c r="D670" s="8">
        <v>46036</v>
      </c>
      <c r="E670" s="10">
        <f t="shared" si="10"/>
        <v>10</v>
      </c>
      <c r="F670" s="4" t="s">
        <v>23</v>
      </c>
      <c r="G670" s="4" t="s">
        <v>13</v>
      </c>
      <c r="H670" s="4">
        <v>35855</v>
      </c>
      <c r="I670" s="4" t="str">
        <f>VLOOKUP(B670,Customers!$A:$D,4,FALSE)</f>
        <v>Premium</v>
      </c>
      <c r="J670" s="4" t="s">
        <v>37</v>
      </c>
      <c r="K670" s="4" t="s">
        <v>36</v>
      </c>
    </row>
    <row r="671" spans="1:11" x14ac:dyDescent="0.2">
      <c r="A671" s="4">
        <v>5670</v>
      </c>
      <c r="B671" s="4">
        <v>1139</v>
      </c>
      <c r="C671" s="8">
        <v>46163</v>
      </c>
      <c r="D671" s="8">
        <v>46170</v>
      </c>
      <c r="E671" s="10">
        <f t="shared" si="10"/>
        <v>7</v>
      </c>
      <c r="F671" s="4" t="s">
        <v>18</v>
      </c>
      <c r="G671" s="4" t="s">
        <v>14</v>
      </c>
      <c r="H671" s="4">
        <v>37923</v>
      </c>
      <c r="I671" s="4" t="str">
        <f>VLOOKUP(B671,Customers!$A:$D,4,FALSE)</f>
        <v>Premium</v>
      </c>
      <c r="J671" s="4" t="s">
        <v>35</v>
      </c>
      <c r="K671" s="4" t="s">
        <v>36</v>
      </c>
    </row>
    <row r="672" spans="1:11" x14ac:dyDescent="0.2">
      <c r="A672" s="4">
        <v>5671</v>
      </c>
      <c r="B672" s="4">
        <v>1160</v>
      </c>
      <c r="C672" s="8">
        <v>46066</v>
      </c>
      <c r="D672" s="8">
        <v>46069</v>
      </c>
      <c r="E672" s="10">
        <f t="shared" si="10"/>
        <v>3</v>
      </c>
      <c r="F672" s="4" t="s">
        <v>19</v>
      </c>
      <c r="G672" s="4" t="s">
        <v>11</v>
      </c>
      <c r="H672" s="4">
        <v>29374</v>
      </c>
      <c r="I672" s="4" t="str">
        <f>VLOOKUP(B672,Customers!$A:$D,4,FALSE)</f>
        <v>Regular</v>
      </c>
      <c r="J672" s="4" t="s">
        <v>35</v>
      </c>
      <c r="K672" s="4" t="s">
        <v>36</v>
      </c>
    </row>
    <row r="673" spans="1:11" x14ac:dyDescent="0.2">
      <c r="A673" s="4">
        <v>5672</v>
      </c>
      <c r="B673" s="4">
        <v>1242</v>
      </c>
      <c r="C673" s="8">
        <v>46056</v>
      </c>
      <c r="D673" s="8">
        <v>46058</v>
      </c>
      <c r="E673" s="10">
        <f t="shared" si="10"/>
        <v>2</v>
      </c>
      <c r="F673" s="4" t="s">
        <v>20</v>
      </c>
      <c r="G673" s="4" t="s">
        <v>12</v>
      </c>
      <c r="H673" s="4">
        <v>25439</v>
      </c>
      <c r="I673" s="4" t="str">
        <f>VLOOKUP(B673,Customers!$A:$D,4,FALSE)</f>
        <v>Premium</v>
      </c>
      <c r="J673" s="4" t="s">
        <v>35</v>
      </c>
      <c r="K673" s="4" t="s">
        <v>36</v>
      </c>
    </row>
    <row r="674" spans="1:11" x14ac:dyDescent="0.2">
      <c r="A674" s="4">
        <v>5673</v>
      </c>
      <c r="B674" s="4">
        <v>1201</v>
      </c>
      <c r="C674" s="8">
        <v>46045</v>
      </c>
      <c r="D674" s="8">
        <v>46053</v>
      </c>
      <c r="E674" s="10">
        <f t="shared" si="10"/>
        <v>8</v>
      </c>
      <c r="F674" s="4" t="s">
        <v>18</v>
      </c>
      <c r="G674" s="4" t="s">
        <v>11</v>
      </c>
      <c r="H674" s="4">
        <v>39146</v>
      </c>
      <c r="I674" s="4" t="str">
        <f>VLOOKUP(B674,Customers!$A:$D,4,FALSE)</f>
        <v>Premium</v>
      </c>
      <c r="J674" s="4" t="s">
        <v>37</v>
      </c>
      <c r="K674" s="4" t="s">
        <v>36</v>
      </c>
    </row>
    <row r="675" spans="1:11" x14ac:dyDescent="0.2">
      <c r="A675" s="4">
        <v>5674</v>
      </c>
      <c r="B675" s="4">
        <v>1171</v>
      </c>
      <c r="C675" s="8">
        <v>46114</v>
      </c>
      <c r="D675" s="8">
        <v>46120</v>
      </c>
      <c r="E675" s="10">
        <f t="shared" si="10"/>
        <v>6</v>
      </c>
      <c r="F675" s="4" t="s">
        <v>24</v>
      </c>
      <c r="G675" s="4" t="s">
        <v>11</v>
      </c>
      <c r="H675" s="4">
        <v>5447</v>
      </c>
      <c r="I675" s="4" t="str">
        <f>VLOOKUP(B675,Customers!$A:$D,4,FALSE)</f>
        <v>Premium</v>
      </c>
      <c r="J675" s="4" t="s">
        <v>37</v>
      </c>
      <c r="K675" s="4" t="s">
        <v>36</v>
      </c>
    </row>
    <row r="676" spans="1:11" x14ac:dyDescent="0.2">
      <c r="A676" s="4">
        <v>5675</v>
      </c>
      <c r="B676" s="4">
        <v>1048</v>
      </c>
      <c r="C676" s="8">
        <v>46168</v>
      </c>
      <c r="D676" s="8">
        <v>46172</v>
      </c>
      <c r="E676" s="10">
        <f t="shared" si="10"/>
        <v>4</v>
      </c>
      <c r="F676" s="4" t="s">
        <v>25</v>
      </c>
      <c r="G676" s="4" t="s">
        <v>12</v>
      </c>
      <c r="H676" s="4">
        <v>30157</v>
      </c>
      <c r="I676" s="4" t="str">
        <f>VLOOKUP(B676,Customers!$A:$D,4,FALSE)</f>
        <v>Regular</v>
      </c>
      <c r="J676" s="4" t="s">
        <v>37</v>
      </c>
      <c r="K676" s="4" t="s">
        <v>36</v>
      </c>
    </row>
    <row r="677" spans="1:11" x14ac:dyDescent="0.2">
      <c r="A677" s="4">
        <v>5676</v>
      </c>
      <c r="B677" s="4">
        <v>1119</v>
      </c>
      <c r="C677" s="8">
        <v>46142</v>
      </c>
      <c r="D677" s="8">
        <v>46151</v>
      </c>
      <c r="E677" s="10">
        <f t="shared" si="10"/>
        <v>9</v>
      </c>
      <c r="F677" s="4" t="s">
        <v>24</v>
      </c>
      <c r="G677" s="4" t="s">
        <v>13</v>
      </c>
      <c r="H677" s="4">
        <v>40731</v>
      </c>
      <c r="I677" s="4" t="str">
        <f>VLOOKUP(B677,Customers!$A:$D,4,FALSE)</f>
        <v>Premium</v>
      </c>
      <c r="J677" s="4" t="s">
        <v>37</v>
      </c>
      <c r="K677" s="4" t="s">
        <v>36</v>
      </c>
    </row>
    <row r="678" spans="1:11" x14ac:dyDescent="0.2">
      <c r="A678" s="4">
        <v>5677</v>
      </c>
      <c r="B678" s="4">
        <v>1094</v>
      </c>
      <c r="C678" s="8">
        <v>46116</v>
      </c>
      <c r="D678" s="8">
        <v>46124</v>
      </c>
      <c r="E678" s="10">
        <f t="shared" si="10"/>
        <v>8</v>
      </c>
      <c r="F678" s="4" t="s">
        <v>19</v>
      </c>
      <c r="G678" s="4" t="s">
        <v>14</v>
      </c>
      <c r="H678" s="4">
        <v>30006</v>
      </c>
      <c r="I678" s="4" t="str">
        <f>VLOOKUP(B678,Customers!$A:$D,4,FALSE)</f>
        <v>Premium</v>
      </c>
      <c r="J678" s="4" t="s">
        <v>37</v>
      </c>
      <c r="K678" s="4" t="s">
        <v>36</v>
      </c>
    </row>
    <row r="679" spans="1:11" x14ac:dyDescent="0.2">
      <c r="A679" s="4">
        <v>5678</v>
      </c>
      <c r="B679" s="4">
        <v>1244</v>
      </c>
      <c r="C679" s="8">
        <v>46030</v>
      </c>
      <c r="D679" s="8">
        <v>46033</v>
      </c>
      <c r="E679" s="10">
        <f t="shared" si="10"/>
        <v>3</v>
      </c>
      <c r="F679" s="4" t="s">
        <v>23</v>
      </c>
      <c r="G679" s="4" t="s">
        <v>14</v>
      </c>
      <c r="H679" s="4">
        <v>31668</v>
      </c>
      <c r="I679" s="4" t="str">
        <f>VLOOKUP(B679,Customers!$A:$D,4,FALSE)</f>
        <v>Premium</v>
      </c>
      <c r="J679" s="4" t="s">
        <v>37</v>
      </c>
      <c r="K679" s="4" t="s">
        <v>36</v>
      </c>
    </row>
    <row r="680" spans="1:11" x14ac:dyDescent="0.2">
      <c r="A680" s="4">
        <v>5679</v>
      </c>
      <c r="B680" s="4">
        <v>1179</v>
      </c>
      <c r="C680" s="8">
        <v>46066</v>
      </c>
      <c r="D680" s="8">
        <v>46072</v>
      </c>
      <c r="E680" s="10">
        <f t="shared" si="10"/>
        <v>6</v>
      </c>
      <c r="F680" s="4" t="s">
        <v>18</v>
      </c>
      <c r="G680" s="4" t="s">
        <v>11</v>
      </c>
      <c r="H680" s="4">
        <v>7045</v>
      </c>
      <c r="I680" s="4" t="str">
        <f>VLOOKUP(B680,Customers!$A:$D,4,FALSE)</f>
        <v>Premium</v>
      </c>
      <c r="J680" s="4" t="s">
        <v>37</v>
      </c>
      <c r="K680" s="4" t="s">
        <v>36</v>
      </c>
    </row>
    <row r="681" spans="1:11" x14ac:dyDescent="0.2">
      <c r="A681" s="4">
        <v>5680</v>
      </c>
      <c r="B681" s="4">
        <v>1285</v>
      </c>
      <c r="C681" s="8">
        <v>46050</v>
      </c>
      <c r="D681" s="8">
        <v>46057</v>
      </c>
      <c r="E681" s="10">
        <f t="shared" si="10"/>
        <v>7</v>
      </c>
      <c r="F681" s="4" t="s">
        <v>23</v>
      </c>
      <c r="G681" s="4" t="s">
        <v>14</v>
      </c>
      <c r="H681" s="4">
        <v>35214</v>
      </c>
      <c r="I681" s="4" t="str">
        <f>VLOOKUP(B681,Customers!$A:$D,4,FALSE)</f>
        <v>Premium</v>
      </c>
      <c r="J681" s="4" t="s">
        <v>37</v>
      </c>
      <c r="K681" s="4" t="s">
        <v>36</v>
      </c>
    </row>
    <row r="682" spans="1:11" x14ac:dyDescent="0.2">
      <c r="A682" s="4">
        <v>5681</v>
      </c>
      <c r="B682" s="4">
        <v>1123</v>
      </c>
      <c r="C682" s="8">
        <v>46125</v>
      </c>
      <c r="D682" s="8">
        <v>46133</v>
      </c>
      <c r="E682" s="10">
        <f t="shared" si="10"/>
        <v>8</v>
      </c>
      <c r="F682" s="4" t="s">
        <v>24</v>
      </c>
      <c r="G682" s="4" t="s">
        <v>11</v>
      </c>
      <c r="H682" s="4">
        <v>10721</v>
      </c>
      <c r="I682" s="4" t="str">
        <f>VLOOKUP(B682,Customers!$A:$D,4,FALSE)</f>
        <v>Premium</v>
      </c>
      <c r="J682" s="4" t="s">
        <v>37</v>
      </c>
      <c r="K682" s="4" t="s">
        <v>36</v>
      </c>
    </row>
    <row r="683" spans="1:11" x14ac:dyDescent="0.2">
      <c r="A683" s="4">
        <v>5682</v>
      </c>
      <c r="B683" s="4">
        <v>1175</v>
      </c>
      <c r="C683" s="8">
        <v>46121</v>
      </c>
      <c r="D683" s="8">
        <v>46124</v>
      </c>
      <c r="E683" s="10">
        <f t="shared" si="10"/>
        <v>3</v>
      </c>
      <c r="F683" s="4" t="s">
        <v>24</v>
      </c>
      <c r="G683" s="4" t="s">
        <v>11</v>
      </c>
      <c r="H683" s="4">
        <v>28555</v>
      </c>
      <c r="I683" s="4" t="str">
        <f>VLOOKUP(B683,Customers!$A:$D,4,FALSE)</f>
        <v>Regular</v>
      </c>
      <c r="J683" s="4" t="s">
        <v>37</v>
      </c>
      <c r="K683" s="4" t="s">
        <v>36</v>
      </c>
    </row>
    <row r="684" spans="1:11" x14ac:dyDescent="0.2">
      <c r="A684" s="4">
        <v>5683</v>
      </c>
      <c r="B684" s="4">
        <v>1279</v>
      </c>
      <c r="C684" s="8">
        <v>46168</v>
      </c>
      <c r="D684" s="8">
        <v>46175</v>
      </c>
      <c r="E684" s="10">
        <f t="shared" si="10"/>
        <v>7</v>
      </c>
      <c r="F684" s="4" t="s">
        <v>24</v>
      </c>
      <c r="G684" s="4" t="s">
        <v>13</v>
      </c>
      <c r="H684" s="4">
        <v>43724</v>
      </c>
      <c r="I684" s="4" t="str">
        <f>VLOOKUP(B684,Customers!$A:$D,4,FALSE)</f>
        <v>Premium</v>
      </c>
      <c r="J684" s="4" t="s">
        <v>35</v>
      </c>
      <c r="K684" s="4" t="s">
        <v>36</v>
      </c>
    </row>
    <row r="685" spans="1:11" x14ac:dyDescent="0.2">
      <c r="A685" s="4">
        <v>5684</v>
      </c>
      <c r="B685" s="4">
        <v>1059</v>
      </c>
      <c r="C685" s="8">
        <v>46169</v>
      </c>
      <c r="D685" s="8">
        <v>46178</v>
      </c>
      <c r="E685" s="10">
        <f t="shared" si="10"/>
        <v>9</v>
      </c>
      <c r="F685" s="4" t="s">
        <v>25</v>
      </c>
      <c r="G685" s="4" t="s">
        <v>14</v>
      </c>
      <c r="H685" s="4">
        <v>36678</v>
      </c>
      <c r="I685" s="4" t="str">
        <f>VLOOKUP(B685,Customers!$A:$D,4,FALSE)</f>
        <v>Premium</v>
      </c>
      <c r="J685" s="4" t="s">
        <v>35</v>
      </c>
      <c r="K685" s="4" t="s">
        <v>36</v>
      </c>
    </row>
    <row r="686" spans="1:11" x14ac:dyDescent="0.2">
      <c r="A686" s="4">
        <v>5685</v>
      </c>
      <c r="B686" s="4">
        <v>1158</v>
      </c>
      <c r="C686" s="8">
        <v>46136</v>
      </c>
      <c r="D686" s="8">
        <v>46140</v>
      </c>
      <c r="E686" s="10">
        <f t="shared" si="10"/>
        <v>4</v>
      </c>
      <c r="F686" s="4" t="s">
        <v>21</v>
      </c>
      <c r="G686" s="4" t="s">
        <v>12</v>
      </c>
      <c r="H686" s="4">
        <v>39507</v>
      </c>
      <c r="I686" s="4" t="str">
        <f>VLOOKUP(B686,Customers!$A:$D,4,FALSE)</f>
        <v>Premium</v>
      </c>
      <c r="J686" s="4" t="s">
        <v>35</v>
      </c>
      <c r="K686" s="4" t="s">
        <v>36</v>
      </c>
    </row>
    <row r="687" spans="1:11" x14ac:dyDescent="0.2">
      <c r="A687" s="4">
        <v>5686</v>
      </c>
      <c r="B687" s="4">
        <v>1254</v>
      </c>
      <c r="C687" s="8">
        <v>46120</v>
      </c>
      <c r="D687" s="8">
        <v>46127</v>
      </c>
      <c r="E687" s="10">
        <f t="shared" si="10"/>
        <v>7</v>
      </c>
      <c r="F687" s="4" t="s">
        <v>20</v>
      </c>
      <c r="G687" s="4" t="s">
        <v>12</v>
      </c>
      <c r="H687" s="4">
        <v>14561</v>
      </c>
      <c r="I687" s="4" t="str">
        <f>VLOOKUP(B687,Customers!$A:$D,4,FALSE)</f>
        <v>Premium</v>
      </c>
      <c r="J687" s="4" t="s">
        <v>35</v>
      </c>
      <c r="K687" s="4" t="s">
        <v>36</v>
      </c>
    </row>
    <row r="688" spans="1:11" x14ac:dyDescent="0.2">
      <c r="A688" s="4">
        <v>5687</v>
      </c>
      <c r="B688" s="4">
        <v>1076</v>
      </c>
      <c r="C688" s="8">
        <v>46171</v>
      </c>
      <c r="D688" s="8">
        <v>46173</v>
      </c>
      <c r="E688" s="10">
        <f t="shared" si="10"/>
        <v>2</v>
      </c>
      <c r="F688" s="4" t="s">
        <v>18</v>
      </c>
      <c r="G688" s="4" t="s">
        <v>15</v>
      </c>
      <c r="H688" s="4">
        <v>35116</v>
      </c>
      <c r="I688" s="4" t="str">
        <f>VLOOKUP(B688,Customers!$A:$D,4,FALSE)</f>
        <v>Regular</v>
      </c>
      <c r="J688" s="4" t="s">
        <v>37</v>
      </c>
      <c r="K688" s="4" t="s">
        <v>36</v>
      </c>
    </row>
    <row r="689" spans="1:11" x14ac:dyDescent="0.2">
      <c r="A689" s="4">
        <v>5688</v>
      </c>
      <c r="B689" s="4">
        <v>1101</v>
      </c>
      <c r="C689" s="8">
        <v>46122</v>
      </c>
      <c r="D689" s="8">
        <v>46131</v>
      </c>
      <c r="E689" s="10">
        <f t="shared" si="10"/>
        <v>9</v>
      </c>
      <c r="F689" s="4" t="s">
        <v>24</v>
      </c>
      <c r="G689" s="4" t="s">
        <v>14</v>
      </c>
      <c r="H689" s="4">
        <v>19943</v>
      </c>
      <c r="I689" s="4" t="str">
        <f>VLOOKUP(B689,Customers!$A:$D,4,FALSE)</f>
        <v>Premium</v>
      </c>
      <c r="J689" s="4" t="s">
        <v>37</v>
      </c>
      <c r="K689" s="4" t="s">
        <v>36</v>
      </c>
    </row>
    <row r="690" spans="1:11" x14ac:dyDescent="0.2">
      <c r="A690" s="4">
        <v>5689</v>
      </c>
      <c r="B690" s="4">
        <v>1046</v>
      </c>
      <c r="C690" s="8">
        <v>46134</v>
      </c>
      <c r="D690" s="8">
        <v>46141</v>
      </c>
      <c r="E690" s="10">
        <f t="shared" si="10"/>
        <v>7</v>
      </c>
      <c r="F690" s="4" t="s">
        <v>20</v>
      </c>
      <c r="G690" s="4" t="s">
        <v>11</v>
      </c>
      <c r="H690" s="4">
        <v>33751</v>
      </c>
      <c r="I690" s="4" t="str">
        <f>VLOOKUP(B690,Customers!$A:$D,4,FALSE)</f>
        <v>Regular</v>
      </c>
      <c r="J690" s="4" t="s">
        <v>37</v>
      </c>
      <c r="K690" s="4" t="s">
        <v>36</v>
      </c>
    </row>
    <row r="691" spans="1:11" x14ac:dyDescent="0.2">
      <c r="A691" s="4">
        <v>5690</v>
      </c>
      <c r="B691" s="4">
        <v>1032</v>
      </c>
      <c r="C691" s="8">
        <v>46055</v>
      </c>
      <c r="D691" s="8">
        <v>46061</v>
      </c>
      <c r="E691" s="10">
        <f t="shared" si="10"/>
        <v>6</v>
      </c>
      <c r="F691" s="4" t="s">
        <v>19</v>
      </c>
      <c r="G691" s="4" t="s">
        <v>11</v>
      </c>
      <c r="H691" s="4">
        <v>3781</v>
      </c>
      <c r="I691" s="4" t="str">
        <f>VLOOKUP(B691,Customers!$A:$D,4,FALSE)</f>
        <v>Premium</v>
      </c>
      <c r="J691" s="4" t="s">
        <v>35</v>
      </c>
      <c r="K691" s="4" t="s">
        <v>36</v>
      </c>
    </row>
    <row r="692" spans="1:11" x14ac:dyDescent="0.2">
      <c r="A692" s="4">
        <v>5691</v>
      </c>
      <c r="B692" s="4">
        <v>1057</v>
      </c>
      <c r="C692" s="8">
        <v>46166</v>
      </c>
      <c r="D692" s="8">
        <v>46173</v>
      </c>
      <c r="E692" s="10">
        <f t="shared" si="10"/>
        <v>7</v>
      </c>
      <c r="F692" s="4" t="s">
        <v>22</v>
      </c>
      <c r="G692" s="4" t="s">
        <v>12</v>
      </c>
      <c r="H692" s="4">
        <v>15716</v>
      </c>
      <c r="I692" s="4" t="str">
        <f>VLOOKUP(B692,Customers!$A:$D,4,FALSE)</f>
        <v>Regular</v>
      </c>
      <c r="J692" s="4" t="s">
        <v>37</v>
      </c>
      <c r="K692" s="4" t="s">
        <v>36</v>
      </c>
    </row>
    <row r="693" spans="1:11" x14ac:dyDescent="0.2">
      <c r="A693" s="4">
        <v>5692</v>
      </c>
      <c r="B693" s="4">
        <v>1196</v>
      </c>
      <c r="C693" s="8">
        <v>46123</v>
      </c>
      <c r="D693" s="8">
        <v>46130</v>
      </c>
      <c r="E693" s="10">
        <f t="shared" si="10"/>
        <v>7</v>
      </c>
      <c r="F693" s="4" t="s">
        <v>21</v>
      </c>
      <c r="G693" s="4" t="s">
        <v>15</v>
      </c>
      <c r="H693" s="4">
        <v>28820</v>
      </c>
      <c r="I693" s="4" t="str">
        <f>VLOOKUP(B693,Customers!$A:$D,4,FALSE)</f>
        <v>Premium</v>
      </c>
      <c r="J693" s="4" t="s">
        <v>35</v>
      </c>
      <c r="K693" s="4" t="s">
        <v>36</v>
      </c>
    </row>
    <row r="694" spans="1:11" x14ac:dyDescent="0.2">
      <c r="A694" s="4">
        <v>5693</v>
      </c>
      <c r="B694" s="4">
        <v>1072</v>
      </c>
      <c r="C694" s="8">
        <v>46067</v>
      </c>
      <c r="D694" s="8">
        <v>46076</v>
      </c>
      <c r="E694" s="10">
        <f t="shared" si="10"/>
        <v>9</v>
      </c>
      <c r="F694" s="4" t="s">
        <v>24</v>
      </c>
      <c r="G694" s="4" t="s">
        <v>11</v>
      </c>
      <c r="H694" s="4">
        <v>25504</v>
      </c>
      <c r="I694" s="4" t="str">
        <f>VLOOKUP(B694,Customers!$A:$D,4,FALSE)</f>
        <v>Regular</v>
      </c>
      <c r="J694" s="4" t="s">
        <v>37</v>
      </c>
      <c r="K694" s="4" t="s">
        <v>36</v>
      </c>
    </row>
    <row r="695" spans="1:11" x14ac:dyDescent="0.2">
      <c r="A695" s="4">
        <v>5694</v>
      </c>
      <c r="B695" s="4">
        <v>1148</v>
      </c>
      <c r="C695" s="8">
        <v>46129</v>
      </c>
      <c r="D695" s="8">
        <v>46133</v>
      </c>
      <c r="E695" s="10">
        <f t="shared" si="10"/>
        <v>4</v>
      </c>
      <c r="F695" s="4" t="s">
        <v>18</v>
      </c>
      <c r="G695" s="4" t="s">
        <v>13</v>
      </c>
      <c r="H695" s="4">
        <v>1060</v>
      </c>
      <c r="I695" s="4" t="str">
        <f>VLOOKUP(B695,Customers!$A:$D,4,FALSE)</f>
        <v>Premium</v>
      </c>
      <c r="J695" s="4" t="s">
        <v>35</v>
      </c>
      <c r="K695" s="4" t="s">
        <v>36</v>
      </c>
    </row>
    <row r="696" spans="1:11" x14ac:dyDescent="0.2">
      <c r="A696" s="4">
        <v>5695</v>
      </c>
      <c r="B696" s="4">
        <v>1250</v>
      </c>
      <c r="C696" s="8">
        <v>46027</v>
      </c>
      <c r="D696" s="8">
        <v>46031</v>
      </c>
      <c r="E696" s="10">
        <f t="shared" si="10"/>
        <v>4</v>
      </c>
      <c r="F696" s="4" t="s">
        <v>21</v>
      </c>
      <c r="G696" s="4" t="s">
        <v>13</v>
      </c>
      <c r="H696" s="4">
        <v>5848</v>
      </c>
      <c r="I696" s="4" t="str">
        <f>VLOOKUP(B696,Customers!$A:$D,4,FALSE)</f>
        <v>Regular</v>
      </c>
      <c r="J696" s="4" t="s">
        <v>35</v>
      </c>
      <c r="K696" s="4" t="s">
        <v>36</v>
      </c>
    </row>
    <row r="697" spans="1:11" x14ac:dyDescent="0.2">
      <c r="A697" s="4">
        <v>5696</v>
      </c>
      <c r="B697" s="4">
        <v>1218</v>
      </c>
      <c r="C697" s="8">
        <v>46129</v>
      </c>
      <c r="D697" s="8">
        <v>46138</v>
      </c>
      <c r="E697" s="10">
        <f t="shared" si="10"/>
        <v>9</v>
      </c>
      <c r="F697" s="4" t="s">
        <v>18</v>
      </c>
      <c r="G697" s="4" t="s">
        <v>15</v>
      </c>
      <c r="H697" s="4">
        <v>33685</v>
      </c>
      <c r="I697" s="4" t="str">
        <f>VLOOKUP(B697,Customers!$A:$D,4,FALSE)</f>
        <v>Premium</v>
      </c>
      <c r="J697" s="4" t="s">
        <v>37</v>
      </c>
      <c r="K697" s="4" t="s">
        <v>36</v>
      </c>
    </row>
    <row r="698" spans="1:11" x14ac:dyDescent="0.2">
      <c r="A698" s="4">
        <v>5697</v>
      </c>
      <c r="B698" s="4">
        <v>1197</v>
      </c>
      <c r="C698" s="8">
        <v>46164</v>
      </c>
      <c r="D698" s="8">
        <v>46173</v>
      </c>
      <c r="E698" s="10">
        <f t="shared" si="10"/>
        <v>9</v>
      </c>
      <c r="F698" s="4" t="s">
        <v>19</v>
      </c>
      <c r="G698" s="4" t="s">
        <v>13</v>
      </c>
      <c r="H698" s="4">
        <v>12476</v>
      </c>
      <c r="I698" s="4" t="str">
        <f>VLOOKUP(B698,Customers!$A:$D,4,FALSE)</f>
        <v>Regular</v>
      </c>
      <c r="J698" s="4" t="s">
        <v>37</v>
      </c>
      <c r="K698" s="4" t="s">
        <v>36</v>
      </c>
    </row>
    <row r="699" spans="1:11" x14ac:dyDescent="0.2">
      <c r="A699" s="4">
        <v>5698</v>
      </c>
      <c r="B699" s="4">
        <v>1122</v>
      </c>
      <c r="C699" s="8">
        <v>46024</v>
      </c>
      <c r="D699" s="8">
        <v>46033</v>
      </c>
      <c r="E699" s="10">
        <f t="shared" si="10"/>
        <v>9</v>
      </c>
      <c r="F699" s="4" t="s">
        <v>22</v>
      </c>
      <c r="G699" s="4" t="s">
        <v>15</v>
      </c>
      <c r="H699" s="4">
        <v>36093</v>
      </c>
      <c r="I699" s="4" t="str">
        <f>VLOOKUP(B699,Customers!$A:$D,4,FALSE)</f>
        <v>Regular</v>
      </c>
      <c r="J699" s="4" t="s">
        <v>37</v>
      </c>
      <c r="K699" s="4" t="s">
        <v>36</v>
      </c>
    </row>
    <row r="700" spans="1:11" x14ac:dyDescent="0.2">
      <c r="A700" s="4">
        <v>5699</v>
      </c>
      <c r="B700" s="4">
        <v>1291</v>
      </c>
      <c r="C700" s="8">
        <v>46031</v>
      </c>
      <c r="D700" s="8">
        <v>46033</v>
      </c>
      <c r="E700" s="10">
        <f t="shared" si="10"/>
        <v>2</v>
      </c>
      <c r="F700" s="4" t="s">
        <v>25</v>
      </c>
      <c r="G700" s="4" t="s">
        <v>14</v>
      </c>
      <c r="H700" s="4">
        <v>7716</v>
      </c>
      <c r="I700" s="4" t="str">
        <f>VLOOKUP(B700,Customers!$A:$D,4,FALSE)</f>
        <v>Regular</v>
      </c>
      <c r="J700" s="4" t="s">
        <v>37</v>
      </c>
      <c r="K700" s="4" t="s">
        <v>36</v>
      </c>
    </row>
    <row r="701" spans="1:11" x14ac:dyDescent="0.2">
      <c r="A701" s="4">
        <v>5700</v>
      </c>
      <c r="B701" s="4">
        <v>1270</v>
      </c>
      <c r="C701" s="8">
        <v>46043</v>
      </c>
      <c r="D701" s="8">
        <v>46047</v>
      </c>
      <c r="E701" s="10">
        <f t="shared" si="10"/>
        <v>4</v>
      </c>
      <c r="F701" s="4" t="s">
        <v>22</v>
      </c>
      <c r="G701" s="4" t="s">
        <v>15</v>
      </c>
      <c r="H701" s="4">
        <v>34178</v>
      </c>
      <c r="I701" s="4" t="str">
        <f>VLOOKUP(B701,Customers!$A:$D,4,FALSE)</f>
        <v>Premium</v>
      </c>
      <c r="J701" s="4" t="s">
        <v>35</v>
      </c>
      <c r="K701" s="4" t="s">
        <v>36</v>
      </c>
    </row>
    <row r="702" spans="1:11" x14ac:dyDescent="0.2">
      <c r="A702" s="4">
        <v>5701</v>
      </c>
      <c r="B702" s="4">
        <v>1126</v>
      </c>
      <c r="C702" s="8">
        <v>46156</v>
      </c>
      <c r="D702" s="8">
        <v>46159</v>
      </c>
      <c r="E702" s="10">
        <f t="shared" si="10"/>
        <v>3</v>
      </c>
      <c r="F702" s="4" t="s">
        <v>25</v>
      </c>
      <c r="G702" s="4" t="s">
        <v>12</v>
      </c>
      <c r="H702" s="4">
        <v>45131</v>
      </c>
      <c r="I702" s="4" t="str">
        <f>VLOOKUP(B702,Customers!$A:$D,4,FALSE)</f>
        <v>Premium</v>
      </c>
      <c r="J702" s="4" t="s">
        <v>37</v>
      </c>
      <c r="K702" s="4" t="s">
        <v>36</v>
      </c>
    </row>
    <row r="703" spans="1:11" x14ac:dyDescent="0.2">
      <c r="A703" s="4">
        <v>5702</v>
      </c>
      <c r="B703" s="4">
        <v>1274</v>
      </c>
      <c r="C703" s="8">
        <v>46036</v>
      </c>
      <c r="D703" s="8">
        <v>46043</v>
      </c>
      <c r="E703" s="10">
        <f t="shared" si="10"/>
        <v>7</v>
      </c>
      <c r="F703" s="4" t="s">
        <v>20</v>
      </c>
      <c r="G703" s="4" t="s">
        <v>15</v>
      </c>
      <c r="H703" s="4">
        <v>30055</v>
      </c>
      <c r="I703" s="4" t="str">
        <f>VLOOKUP(B703,Customers!$A:$D,4,FALSE)</f>
        <v>Regular</v>
      </c>
      <c r="J703" s="4" t="s">
        <v>37</v>
      </c>
      <c r="K703" s="4" t="s">
        <v>36</v>
      </c>
    </row>
    <row r="704" spans="1:11" x14ac:dyDescent="0.2">
      <c r="A704" s="4">
        <v>5703</v>
      </c>
      <c r="B704" s="4">
        <v>1216</v>
      </c>
      <c r="C704" s="8">
        <v>46169</v>
      </c>
      <c r="D704" s="8">
        <v>46176</v>
      </c>
      <c r="E704" s="10">
        <f t="shared" si="10"/>
        <v>7</v>
      </c>
      <c r="F704" s="4" t="s">
        <v>19</v>
      </c>
      <c r="G704" s="4" t="s">
        <v>14</v>
      </c>
      <c r="H704" s="4">
        <v>19253</v>
      </c>
      <c r="I704" s="4" t="str">
        <f>VLOOKUP(B704,Customers!$A:$D,4,FALSE)</f>
        <v>Premium</v>
      </c>
      <c r="J704" s="4" t="s">
        <v>35</v>
      </c>
      <c r="K704" s="4" t="s">
        <v>36</v>
      </c>
    </row>
    <row r="705" spans="1:11" x14ac:dyDescent="0.2">
      <c r="A705" s="4">
        <v>5704</v>
      </c>
      <c r="B705" s="4">
        <v>1289</v>
      </c>
      <c r="C705" s="8">
        <v>46032</v>
      </c>
      <c r="D705" s="8">
        <v>46038</v>
      </c>
      <c r="E705" s="10">
        <f t="shared" si="10"/>
        <v>6</v>
      </c>
      <c r="F705" s="4" t="s">
        <v>22</v>
      </c>
      <c r="G705" s="4" t="s">
        <v>12</v>
      </c>
      <c r="H705" s="4">
        <v>41541</v>
      </c>
      <c r="I705" s="4" t="str">
        <f>VLOOKUP(B705,Customers!$A:$D,4,FALSE)</f>
        <v>Regular</v>
      </c>
      <c r="J705" s="4" t="s">
        <v>37</v>
      </c>
      <c r="K705" s="4" t="s">
        <v>36</v>
      </c>
    </row>
    <row r="706" spans="1:11" x14ac:dyDescent="0.2">
      <c r="A706" s="4">
        <v>5705</v>
      </c>
      <c r="B706" s="4">
        <v>1294</v>
      </c>
      <c r="C706" s="8">
        <v>46171</v>
      </c>
      <c r="D706" s="8">
        <v>46175</v>
      </c>
      <c r="E706" s="10">
        <f t="shared" si="10"/>
        <v>4</v>
      </c>
      <c r="F706" s="4" t="s">
        <v>20</v>
      </c>
      <c r="G706" s="4" t="s">
        <v>14</v>
      </c>
      <c r="H706" s="4">
        <v>48624</v>
      </c>
      <c r="I706" s="4" t="str">
        <f>VLOOKUP(B706,Customers!$A:$D,4,FALSE)</f>
        <v>Premium</v>
      </c>
      <c r="J706" s="4" t="s">
        <v>35</v>
      </c>
      <c r="K706" s="4" t="s">
        <v>36</v>
      </c>
    </row>
    <row r="707" spans="1:11" x14ac:dyDescent="0.2">
      <c r="A707" s="4">
        <v>5706</v>
      </c>
      <c r="B707" s="4">
        <v>1043</v>
      </c>
      <c r="C707" s="8">
        <v>46096</v>
      </c>
      <c r="D707" s="8">
        <v>46105</v>
      </c>
      <c r="E707" s="10">
        <f t="shared" ref="E707:E770" si="11">D707-C707</f>
        <v>9</v>
      </c>
      <c r="F707" s="4" t="s">
        <v>18</v>
      </c>
      <c r="G707" s="4" t="s">
        <v>11</v>
      </c>
      <c r="H707" s="4">
        <v>5337</v>
      </c>
      <c r="I707" s="4" t="str">
        <f>VLOOKUP(B707,Customers!$A:$D,4,FALSE)</f>
        <v>Regular</v>
      </c>
      <c r="J707" s="4" t="s">
        <v>37</v>
      </c>
      <c r="K707" s="4" t="s">
        <v>36</v>
      </c>
    </row>
    <row r="708" spans="1:11" x14ac:dyDescent="0.2">
      <c r="A708" s="4">
        <v>5707</v>
      </c>
      <c r="B708" s="4">
        <v>1144</v>
      </c>
      <c r="C708" s="8">
        <v>46087</v>
      </c>
      <c r="D708" s="8">
        <v>46091</v>
      </c>
      <c r="E708" s="10">
        <f t="shared" si="11"/>
        <v>4</v>
      </c>
      <c r="F708" s="4" t="s">
        <v>22</v>
      </c>
      <c r="G708" s="4" t="s">
        <v>14</v>
      </c>
      <c r="H708" s="4">
        <v>1230</v>
      </c>
      <c r="I708" s="4" t="str">
        <f>VLOOKUP(B708,Customers!$A:$D,4,FALSE)</f>
        <v>Premium</v>
      </c>
      <c r="J708" s="4" t="s">
        <v>35</v>
      </c>
      <c r="K708" s="4" t="s">
        <v>36</v>
      </c>
    </row>
    <row r="709" spans="1:11" x14ac:dyDescent="0.2">
      <c r="A709" s="4">
        <v>5708</v>
      </c>
      <c r="B709" s="4">
        <v>1229</v>
      </c>
      <c r="C709" s="8">
        <v>46067</v>
      </c>
      <c r="D709" s="8">
        <v>46071</v>
      </c>
      <c r="E709" s="10">
        <f t="shared" si="11"/>
        <v>4</v>
      </c>
      <c r="F709" s="4" t="s">
        <v>19</v>
      </c>
      <c r="G709" s="4" t="s">
        <v>13</v>
      </c>
      <c r="H709" s="4">
        <v>17421</v>
      </c>
      <c r="I709" s="4" t="str">
        <f>VLOOKUP(B709,Customers!$A:$D,4,FALSE)</f>
        <v>Premium</v>
      </c>
      <c r="J709" s="4" t="s">
        <v>35</v>
      </c>
      <c r="K709" s="4" t="s">
        <v>36</v>
      </c>
    </row>
    <row r="710" spans="1:11" x14ac:dyDescent="0.2">
      <c r="A710" s="4">
        <v>5709</v>
      </c>
      <c r="B710" s="4">
        <v>1271</v>
      </c>
      <c r="C710" s="8">
        <v>46147</v>
      </c>
      <c r="D710" s="8">
        <v>46151</v>
      </c>
      <c r="E710" s="10">
        <f t="shared" si="11"/>
        <v>4</v>
      </c>
      <c r="F710" s="4" t="s">
        <v>20</v>
      </c>
      <c r="G710" s="4" t="s">
        <v>14</v>
      </c>
      <c r="H710" s="4">
        <v>5831</v>
      </c>
      <c r="I710" s="4" t="str">
        <f>VLOOKUP(B710,Customers!$A:$D,4,FALSE)</f>
        <v>Regular</v>
      </c>
      <c r="J710" s="4" t="s">
        <v>35</v>
      </c>
      <c r="K710" s="4" t="s">
        <v>36</v>
      </c>
    </row>
    <row r="711" spans="1:11" x14ac:dyDescent="0.2">
      <c r="A711" s="4">
        <v>5710</v>
      </c>
      <c r="B711" s="4">
        <v>1212</v>
      </c>
      <c r="C711" s="8">
        <v>46062</v>
      </c>
      <c r="D711" s="8">
        <v>46071</v>
      </c>
      <c r="E711" s="10">
        <f t="shared" si="11"/>
        <v>9</v>
      </c>
      <c r="F711" s="4" t="s">
        <v>21</v>
      </c>
      <c r="G711" s="4" t="s">
        <v>13</v>
      </c>
      <c r="H711" s="4">
        <v>43597</v>
      </c>
      <c r="I711" s="4" t="str">
        <f>VLOOKUP(B711,Customers!$A:$D,4,FALSE)</f>
        <v>Premium</v>
      </c>
      <c r="J711" s="4" t="s">
        <v>37</v>
      </c>
      <c r="K711" s="4" t="s">
        <v>36</v>
      </c>
    </row>
    <row r="712" spans="1:11" x14ac:dyDescent="0.2">
      <c r="A712" s="4">
        <v>5711</v>
      </c>
      <c r="B712" s="4">
        <v>1296</v>
      </c>
      <c r="C712" s="8">
        <v>46065</v>
      </c>
      <c r="D712" s="8">
        <v>46070</v>
      </c>
      <c r="E712" s="10">
        <f t="shared" si="11"/>
        <v>5</v>
      </c>
      <c r="F712" s="4" t="s">
        <v>19</v>
      </c>
      <c r="G712" s="4" t="s">
        <v>12</v>
      </c>
      <c r="H712" s="4">
        <v>42391</v>
      </c>
      <c r="I712" s="4" t="str">
        <f>VLOOKUP(B712,Customers!$A:$D,4,FALSE)</f>
        <v>Regular</v>
      </c>
      <c r="J712" s="4" t="s">
        <v>37</v>
      </c>
      <c r="K712" s="4" t="s">
        <v>36</v>
      </c>
    </row>
    <row r="713" spans="1:11" x14ac:dyDescent="0.2">
      <c r="A713" s="4">
        <v>5712</v>
      </c>
      <c r="B713" s="4">
        <v>1086</v>
      </c>
      <c r="C713" s="8">
        <v>46052</v>
      </c>
      <c r="D713" s="8">
        <v>46054</v>
      </c>
      <c r="E713" s="10">
        <f t="shared" si="11"/>
        <v>2</v>
      </c>
      <c r="F713" s="4" t="s">
        <v>25</v>
      </c>
      <c r="G713" s="4" t="s">
        <v>15</v>
      </c>
      <c r="H713" s="4">
        <v>31510</v>
      </c>
      <c r="I713" s="4" t="str">
        <f>VLOOKUP(B713,Customers!$A:$D,4,FALSE)</f>
        <v>Premium</v>
      </c>
      <c r="J713" s="4" t="s">
        <v>37</v>
      </c>
      <c r="K713" s="4" t="s">
        <v>36</v>
      </c>
    </row>
    <row r="714" spans="1:11" x14ac:dyDescent="0.2">
      <c r="A714" s="4">
        <v>5713</v>
      </c>
      <c r="B714" s="4">
        <v>1120</v>
      </c>
      <c r="C714" s="8">
        <v>46144</v>
      </c>
      <c r="D714" s="8">
        <v>46154</v>
      </c>
      <c r="E714" s="10">
        <f t="shared" si="11"/>
        <v>10</v>
      </c>
      <c r="F714" s="4" t="s">
        <v>21</v>
      </c>
      <c r="G714" s="4" t="s">
        <v>15</v>
      </c>
      <c r="H714" s="4">
        <v>31402</v>
      </c>
      <c r="I714" s="4" t="str">
        <f>VLOOKUP(B714,Customers!$A:$D,4,FALSE)</f>
        <v>Regular</v>
      </c>
      <c r="J714" s="4" t="s">
        <v>37</v>
      </c>
      <c r="K714" s="4" t="s">
        <v>36</v>
      </c>
    </row>
    <row r="715" spans="1:11" x14ac:dyDescent="0.2">
      <c r="A715" s="4">
        <v>5714</v>
      </c>
      <c r="B715" s="4">
        <v>1223</v>
      </c>
      <c r="C715" s="8">
        <v>46060</v>
      </c>
      <c r="D715" s="8">
        <v>46070</v>
      </c>
      <c r="E715" s="10">
        <f t="shared" si="11"/>
        <v>10</v>
      </c>
      <c r="F715" s="4" t="s">
        <v>20</v>
      </c>
      <c r="G715" s="4" t="s">
        <v>14</v>
      </c>
      <c r="H715" s="4">
        <v>29713</v>
      </c>
      <c r="I715" s="4" t="str">
        <f>VLOOKUP(B715,Customers!$A:$D,4,FALSE)</f>
        <v>Regular</v>
      </c>
      <c r="J715" s="4" t="s">
        <v>37</v>
      </c>
      <c r="K715" s="4" t="s">
        <v>36</v>
      </c>
    </row>
    <row r="716" spans="1:11" x14ac:dyDescent="0.2">
      <c r="A716" s="4">
        <v>5715</v>
      </c>
      <c r="B716" s="4">
        <v>1022</v>
      </c>
      <c r="C716" s="8">
        <v>46103</v>
      </c>
      <c r="D716" s="8">
        <v>46113</v>
      </c>
      <c r="E716" s="10">
        <f t="shared" si="11"/>
        <v>10</v>
      </c>
      <c r="F716" s="4" t="s">
        <v>23</v>
      </c>
      <c r="G716" s="4" t="s">
        <v>11</v>
      </c>
      <c r="H716" s="4">
        <v>42074</v>
      </c>
      <c r="I716" s="4" t="str">
        <f>VLOOKUP(B716,Customers!$A:$D,4,FALSE)</f>
        <v>Premium</v>
      </c>
      <c r="J716" s="4" t="s">
        <v>37</v>
      </c>
      <c r="K716" s="4" t="s">
        <v>36</v>
      </c>
    </row>
    <row r="717" spans="1:11" x14ac:dyDescent="0.2">
      <c r="A717" s="4">
        <v>5716</v>
      </c>
      <c r="B717" s="4">
        <v>1172</v>
      </c>
      <c r="C717" s="8">
        <v>46133</v>
      </c>
      <c r="D717" s="8">
        <v>46139</v>
      </c>
      <c r="E717" s="10">
        <f t="shared" si="11"/>
        <v>6</v>
      </c>
      <c r="F717" s="4" t="s">
        <v>22</v>
      </c>
      <c r="G717" s="4" t="s">
        <v>14</v>
      </c>
      <c r="H717" s="4">
        <v>6740</v>
      </c>
      <c r="I717" s="4" t="str">
        <f>VLOOKUP(B717,Customers!$A:$D,4,FALSE)</f>
        <v>Regular</v>
      </c>
      <c r="J717" s="4" t="s">
        <v>37</v>
      </c>
      <c r="K717" s="4" t="s">
        <v>36</v>
      </c>
    </row>
    <row r="718" spans="1:11" x14ac:dyDescent="0.2">
      <c r="A718" s="4">
        <v>5717</v>
      </c>
      <c r="B718" s="4">
        <v>1237</v>
      </c>
      <c r="C718" s="8">
        <v>46172</v>
      </c>
      <c r="D718" s="8">
        <v>46180</v>
      </c>
      <c r="E718" s="10">
        <f t="shared" si="11"/>
        <v>8</v>
      </c>
      <c r="F718" s="4" t="s">
        <v>24</v>
      </c>
      <c r="G718" s="4" t="s">
        <v>11</v>
      </c>
      <c r="H718" s="4">
        <v>13074</v>
      </c>
      <c r="I718" s="4" t="str">
        <f>VLOOKUP(B718,Customers!$A:$D,4,FALSE)</f>
        <v>Premium</v>
      </c>
      <c r="J718" s="4" t="s">
        <v>37</v>
      </c>
      <c r="K718" s="4" t="s">
        <v>36</v>
      </c>
    </row>
    <row r="719" spans="1:11" x14ac:dyDescent="0.2">
      <c r="A719" s="4">
        <v>5718</v>
      </c>
      <c r="B719" s="4">
        <v>1281</v>
      </c>
      <c r="C719" s="8">
        <v>46069</v>
      </c>
      <c r="D719" s="8">
        <v>46076</v>
      </c>
      <c r="E719" s="10">
        <f t="shared" si="11"/>
        <v>7</v>
      </c>
      <c r="F719" s="4" t="s">
        <v>20</v>
      </c>
      <c r="G719" s="4" t="s">
        <v>12</v>
      </c>
      <c r="H719" s="4">
        <v>4753</v>
      </c>
      <c r="I719" s="4" t="str">
        <f>VLOOKUP(B719,Customers!$A:$D,4,FALSE)</f>
        <v>Premium</v>
      </c>
      <c r="J719" s="4" t="s">
        <v>35</v>
      </c>
      <c r="K719" s="4" t="s">
        <v>36</v>
      </c>
    </row>
    <row r="720" spans="1:11" x14ac:dyDescent="0.2">
      <c r="A720" s="4">
        <v>5719</v>
      </c>
      <c r="B720" s="4">
        <v>1269</v>
      </c>
      <c r="C720" s="8">
        <v>46128</v>
      </c>
      <c r="D720" s="8">
        <v>46131</v>
      </c>
      <c r="E720" s="10">
        <f t="shared" si="11"/>
        <v>3</v>
      </c>
      <c r="F720" s="4" t="s">
        <v>23</v>
      </c>
      <c r="G720" s="4" t="s">
        <v>15</v>
      </c>
      <c r="H720" s="4">
        <v>23336</v>
      </c>
      <c r="I720" s="4" t="str">
        <f>VLOOKUP(B720,Customers!$A:$D,4,FALSE)</f>
        <v>Premium</v>
      </c>
      <c r="J720" s="4" t="s">
        <v>35</v>
      </c>
      <c r="K720" s="4" t="s">
        <v>36</v>
      </c>
    </row>
    <row r="721" spans="1:11" x14ac:dyDescent="0.2">
      <c r="A721" s="4">
        <v>5720</v>
      </c>
      <c r="B721" s="4">
        <v>1099</v>
      </c>
      <c r="C721" s="8">
        <v>46095</v>
      </c>
      <c r="D721" s="8">
        <v>46101</v>
      </c>
      <c r="E721" s="10">
        <f t="shared" si="11"/>
        <v>6</v>
      </c>
      <c r="F721" s="4" t="s">
        <v>20</v>
      </c>
      <c r="G721" s="4" t="s">
        <v>12</v>
      </c>
      <c r="H721" s="4">
        <v>40892</v>
      </c>
      <c r="I721" s="4" t="str">
        <f>VLOOKUP(B721,Customers!$A:$D,4,FALSE)</f>
        <v>Premium</v>
      </c>
      <c r="J721" s="4" t="s">
        <v>35</v>
      </c>
      <c r="K721" s="4" t="s">
        <v>36</v>
      </c>
    </row>
    <row r="722" spans="1:11" x14ac:dyDescent="0.2">
      <c r="A722" s="4">
        <v>5721</v>
      </c>
      <c r="B722" s="4">
        <v>1063</v>
      </c>
      <c r="C722" s="8">
        <v>46037</v>
      </c>
      <c r="D722" s="8">
        <v>46042</v>
      </c>
      <c r="E722" s="10">
        <f t="shared" si="11"/>
        <v>5</v>
      </c>
      <c r="F722" s="4" t="s">
        <v>23</v>
      </c>
      <c r="G722" s="4" t="s">
        <v>12</v>
      </c>
      <c r="H722" s="4">
        <v>39928</v>
      </c>
      <c r="I722" s="4" t="str">
        <f>VLOOKUP(B722,Customers!$A:$D,4,FALSE)</f>
        <v>Regular</v>
      </c>
      <c r="J722" s="4" t="s">
        <v>35</v>
      </c>
      <c r="K722" s="4" t="s">
        <v>36</v>
      </c>
    </row>
    <row r="723" spans="1:11" x14ac:dyDescent="0.2">
      <c r="A723" s="4">
        <v>5722</v>
      </c>
      <c r="B723" s="4">
        <v>1057</v>
      </c>
      <c r="C723" s="8">
        <v>46119</v>
      </c>
      <c r="D723" s="8">
        <v>46123</v>
      </c>
      <c r="E723" s="10">
        <f t="shared" si="11"/>
        <v>4</v>
      </c>
      <c r="F723" s="4" t="s">
        <v>18</v>
      </c>
      <c r="G723" s="4" t="s">
        <v>14</v>
      </c>
      <c r="H723" s="4">
        <v>19604</v>
      </c>
      <c r="I723" s="4" t="str">
        <f>VLOOKUP(B723,Customers!$A:$D,4,FALSE)</f>
        <v>Regular</v>
      </c>
      <c r="J723" s="4" t="s">
        <v>37</v>
      </c>
      <c r="K723" s="4" t="s">
        <v>36</v>
      </c>
    </row>
    <row r="724" spans="1:11" x14ac:dyDescent="0.2">
      <c r="A724" s="4">
        <v>5723</v>
      </c>
      <c r="B724" s="4">
        <v>1142</v>
      </c>
      <c r="C724" s="8">
        <v>46042</v>
      </c>
      <c r="D724" s="8">
        <v>46051</v>
      </c>
      <c r="E724" s="10">
        <f t="shared" si="11"/>
        <v>9</v>
      </c>
      <c r="F724" s="4" t="s">
        <v>21</v>
      </c>
      <c r="G724" s="4" t="s">
        <v>14</v>
      </c>
      <c r="H724" s="4">
        <v>17164</v>
      </c>
      <c r="I724" s="4" t="str">
        <f>VLOOKUP(B724,Customers!$A:$D,4,FALSE)</f>
        <v>Premium</v>
      </c>
      <c r="J724" s="4" t="s">
        <v>35</v>
      </c>
      <c r="K724" s="4" t="s">
        <v>36</v>
      </c>
    </row>
    <row r="725" spans="1:11" x14ac:dyDescent="0.2">
      <c r="A725" s="4">
        <v>5724</v>
      </c>
      <c r="B725" s="4">
        <v>1032</v>
      </c>
      <c r="C725" s="8">
        <v>46041</v>
      </c>
      <c r="D725" s="8">
        <v>46047</v>
      </c>
      <c r="E725" s="10">
        <f t="shared" si="11"/>
        <v>6</v>
      </c>
      <c r="F725" s="4" t="s">
        <v>21</v>
      </c>
      <c r="G725" s="4" t="s">
        <v>15</v>
      </c>
      <c r="H725" s="4">
        <v>22100</v>
      </c>
      <c r="I725" s="4" t="str">
        <f>VLOOKUP(B725,Customers!$A:$D,4,FALSE)</f>
        <v>Premium</v>
      </c>
      <c r="J725" s="4" t="s">
        <v>35</v>
      </c>
      <c r="K725" s="4" t="s">
        <v>36</v>
      </c>
    </row>
    <row r="726" spans="1:11" x14ac:dyDescent="0.2">
      <c r="A726" s="4">
        <v>5725</v>
      </c>
      <c r="B726" s="4">
        <v>1092</v>
      </c>
      <c r="C726" s="8">
        <v>46089</v>
      </c>
      <c r="D726" s="8">
        <v>46095</v>
      </c>
      <c r="E726" s="10">
        <f t="shared" si="11"/>
        <v>6</v>
      </c>
      <c r="F726" s="4" t="s">
        <v>25</v>
      </c>
      <c r="G726" s="4" t="s">
        <v>12</v>
      </c>
      <c r="H726" s="4">
        <v>32525</v>
      </c>
      <c r="I726" s="4" t="str">
        <f>VLOOKUP(B726,Customers!$A:$D,4,FALSE)</f>
        <v>Premium</v>
      </c>
      <c r="J726" s="4" t="s">
        <v>35</v>
      </c>
      <c r="K726" s="4" t="s">
        <v>36</v>
      </c>
    </row>
    <row r="727" spans="1:11" x14ac:dyDescent="0.2">
      <c r="A727" s="4">
        <v>5726</v>
      </c>
      <c r="B727" s="4">
        <v>1252</v>
      </c>
      <c r="C727" s="8">
        <v>46123</v>
      </c>
      <c r="D727" s="8">
        <v>46127</v>
      </c>
      <c r="E727" s="10">
        <f t="shared" si="11"/>
        <v>4</v>
      </c>
      <c r="F727" s="4" t="s">
        <v>23</v>
      </c>
      <c r="G727" s="4" t="s">
        <v>13</v>
      </c>
      <c r="H727" s="4">
        <v>35730</v>
      </c>
      <c r="I727" s="4" t="str">
        <f>VLOOKUP(B727,Customers!$A:$D,4,FALSE)</f>
        <v>Regular</v>
      </c>
      <c r="J727" s="4" t="s">
        <v>37</v>
      </c>
      <c r="K727" s="4" t="s">
        <v>36</v>
      </c>
    </row>
    <row r="728" spans="1:11" x14ac:dyDescent="0.2">
      <c r="A728" s="4">
        <v>5727</v>
      </c>
      <c r="B728" s="4">
        <v>1227</v>
      </c>
      <c r="C728" s="8">
        <v>46078</v>
      </c>
      <c r="D728" s="8">
        <v>46081</v>
      </c>
      <c r="E728" s="10">
        <f t="shared" si="11"/>
        <v>3</v>
      </c>
      <c r="F728" s="4" t="s">
        <v>22</v>
      </c>
      <c r="G728" s="4" t="s">
        <v>12</v>
      </c>
      <c r="H728" s="4">
        <v>2584</v>
      </c>
      <c r="I728" s="4" t="str">
        <f>VLOOKUP(B728,Customers!$A:$D,4,FALSE)</f>
        <v>Premium</v>
      </c>
      <c r="J728" s="4" t="s">
        <v>35</v>
      </c>
      <c r="K728" s="4" t="s">
        <v>36</v>
      </c>
    </row>
    <row r="729" spans="1:11" x14ac:dyDescent="0.2">
      <c r="A729" s="4">
        <v>5728</v>
      </c>
      <c r="B729" s="4">
        <v>1229</v>
      </c>
      <c r="C729" s="8">
        <v>46041</v>
      </c>
      <c r="D729" s="8">
        <v>46047</v>
      </c>
      <c r="E729" s="10">
        <f t="shared" si="11"/>
        <v>6</v>
      </c>
      <c r="F729" s="4" t="s">
        <v>20</v>
      </c>
      <c r="G729" s="4" t="s">
        <v>15</v>
      </c>
      <c r="H729" s="4">
        <v>10055</v>
      </c>
      <c r="I729" s="4" t="str">
        <f>VLOOKUP(B729,Customers!$A:$D,4,FALSE)</f>
        <v>Premium</v>
      </c>
      <c r="J729" s="4" t="s">
        <v>35</v>
      </c>
      <c r="K729" s="4" t="s">
        <v>36</v>
      </c>
    </row>
    <row r="730" spans="1:11" x14ac:dyDescent="0.2">
      <c r="A730" s="4">
        <v>5729</v>
      </c>
      <c r="B730" s="4">
        <v>1137</v>
      </c>
      <c r="C730" s="8">
        <v>46032</v>
      </c>
      <c r="D730" s="8">
        <v>46040</v>
      </c>
      <c r="E730" s="10">
        <f t="shared" si="11"/>
        <v>8</v>
      </c>
      <c r="F730" s="4" t="s">
        <v>18</v>
      </c>
      <c r="G730" s="4" t="s">
        <v>14</v>
      </c>
      <c r="H730" s="4">
        <v>25946</v>
      </c>
      <c r="I730" s="4" t="str">
        <f>VLOOKUP(B730,Customers!$A:$D,4,FALSE)</f>
        <v>Premium</v>
      </c>
      <c r="J730" s="4" t="s">
        <v>35</v>
      </c>
      <c r="K730" s="4" t="s">
        <v>36</v>
      </c>
    </row>
    <row r="731" spans="1:11" x14ac:dyDescent="0.2">
      <c r="A731" s="4">
        <v>5730</v>
      </c>
      <c r="B731" s="4">
        <v>1245</v>
      </c>
      <c r="C731" s="8">
        <v>46154</v>
      </c>
      <c r="D731" s="8">
        <v>46163</v>
      </c>
      <c r="E731" s="10">
        <f t="shared" si="11"/>
        <v>9</v>
      </c>
      <c r="F731" s="4" t="s">
        <v>21</v>
      </c>
      <c r="G731" s="4" t="s">
        <v>15</v>
      </c>
      <c r="H731" s="4">
        <v>47994</v>
      </c>
      <c r="I731" s="4" t="str">
        <f>VLOOKUP(B731,Customers!$A:$D,4,FALSE)</f>
        <v>Premium</v>
      </c>
      <c r="J731" s="4" t="s">
        <v>35</v>
      </c>
      <c r="K731" s="4" t="s">
        <v>36</v>
      </c>
    </row>
    <row r="732" spans="1:11" x14ac:dyDescent="0.2">
      <c r="A732" s="4">
        <v>5731</v>
      </c>
      <c r="B732" s="4">
        <v>1002</v>
      </c>
      <c r="C732" s="8">
        <v>46161</v>
      </c>
      <c r="D732" s="8">
        <v>46166</v>
      </c>
      <c r="E732" s="10">
        <f t="shared" si="11"/>
        <v>5</v>
      </c>
      <c r="F732" s="4" t="s">
        <v>21</v>
      </c>
      <c r="G732" s="4" t="s">
        <v>15</v>
      </c>
      <c r="H732" s="4">
        <v>8243</v>
      </c>
      <c r="I732" s="4" t="str">
        <f>VLOOKUP(B732,Customers!$A:$D,4,FALSE)</f>
        <v>Regular</v>
      </c>
      <c r="J732" s="4" t="s">
        <v>37</v>
      </c>
      <c r="K732" s="4" t="s">
        <v>36</v>
      </c>
    </row>
    <row r="733" spans="1:11" x14ac:dyDescent="0.2">
      <c r="A733" s="4">
        <v>5732</v>
      </c>
      <c r="B733" s="4">
        <v>1206</v>
      </c>
      <c r="C733" s="8">
        <v>46108</v>
      </c>
      <c r="D733" s="8">
        <v>46114</v>
      </c>
      <c r="E733" s="10">
        <f t="shared" si="11"/>
        <v>6</v>
      </c>
      <c r="F733" s="4" t="s">
        <v>20</v>
      </c>
      <c r="G733" s="4" t="s">
        <v>12</v>
      </c>
      <c r="H733" s="4">
        <v>24243</v>
      </c>
      <c r="I733" s="4" t="str">
        <f>VLOOKUP(B733,Customers!$A:$D,4,FALSE)</f>
        <v>Regular</v>
      </c>
      <c r="J733" s="4" t="s">
        <v>37</v>
      </c>
      <c r="K733" s="4" t="s">
        <v>36</v>
      </c>
    </row>
    <row r="734" spans="1:11" x14ac:dyDescent="0.2">
      <c r="A734" s="4">
        <v>5733</v>
      </c>
      <c r="B734" s="4">
        <v>1149</v>
      </c>
      <c r="C734" s="8">
        <v>46043</v>
      </c>
      <c r="D734" s="8">
        <v>46052</v>
      </c>
      <c r="E734" s="10">
        <f t="shared" si="11"/>
        <v>9</v>
      </c>
      <c r="F734" s="4" t="s">
        <v>24</v>
      </c>
      <c r="G734" s="4" t="s">
        <v>13</v>
      </c>
      <c r="H734" s="4">
        <v>36638</v>
      </c>
      <c r="I734" s="4" t="str">
        <f>VLOOKUP(B734,Customers!$A:$D,4,FALSE)</f>
        <v>Premium</v>
      </c>
      <c r="J734" s="4" t="s">
        <v>35</v>
      </c>
      <c r="K734" s="4" t="s">
        <v>36</v>
      </c>
    </row>
    <row r="735" spans="1:11" x14ac:dyDescent="0.2">
      <c r="A735" s="4">
        <v>5734</v>
      </c>
      <c r="B735" s="4">
        <v>1154</v>
      </c>
      <c r="C735" s="8">
        <v>46121</v>
      </c>
      <c r="D735" s="8">
        <v>46126</v>
      </c>
      <c r="E735" s="10">
        <f t="shared" si="11"/>
        <v>5</v>
      </c>
      <c r="F735" s="4" t="s">
        <v>21</v>
      </c>
      <c r="G735" s="4" t="s">
        <v>12</v>
      </c>
      <c r="H735" s="4">
        <v>41628</v>
      </c>
      <c r="I735" s="4" t="str">
        <f>VLOOKUP(B735,Customers!$A:$D,4,FALSE)</f>
        <v>Regular</v>
      </c>
      <c r="J735" s="4" t="s">
        <v>37</v>
      </c>
      <c r="K735" s="4" t="s">
        <v>36</v>
      </c>
    </row>
    <row r="736" spans="1:11" x14ac:dyDescent="0.2">
      <c r="A736" s="4">
        <v>5735</v>
      </c>
      <c r="B736" s="4">
        <v>1225</v>
      </c>
      <c r="C736" s="8">
        <v>46147</v>
      </c>
      <c r="D736" s="8">
        <v>46150</v>
      </c>
      <c r="E736" s="10">
        <f t="shared" si="11"/>
        <v>3</v>
      </c>
      <c r="F736" s="4" t="s">
        <v>24</v>
      </c>
      <c r="G736" s="4" t="s">
        <v>13</v>
      </c>
      <c r="H736" s="4">
        <v>2639</v>
      </c>
      <c r="I736" s="4" t="str">
        <f>VLOOKUP(B736,Customers!$A:$D,4,FALSE)</f>
        <v>Regular</v>
      </c>
      <c r="J736" s="4" t="s">
        <v>35</v>
      </c>
      <c r="K736" s="4" t="s">
        <v>36</v>
      </c>
    </row>
    <row r="737" spans="1:11" x14ac:dyDescent="0.2">
      <c r="A737" s="4">
        <v>5736</v>
      </c>
      <c r="B737" s="4">
        <v>1251</v>
      </c>
      <c r="C737" s="8">
        <v>46029</v>
      </c>
      <c r="D737" s="8">
        <v>46034</v>
      </c>
      <c r="E737" s="10">
        <f t="shared" si="11"/>
        <v>5</v>
      </c>
      <c r="F737" s="4" t="s">
        <v>21</v>
      </c>
      <c r="G737" s="4" t="s">
        <v>12</v>
      </c>
      <c r="H737" s="4">
        <v>35725</v>
      </c>
      <c r="I737" s="4" t="str">
        <f>VLOOKUP(B737,Customers!$A:$D,4,FALSE)</f>
        <v>Premium</v>
      </c>
      <c r="J737" s="4" t="s">
        <v>37</v>
      </c>
      <c r="K737" s="4" t="s">
        <v>36</v>
      </c>
    </row>
    <row r="738" spans="1:11" x14ac:dyDescent="0.2">
      <c r="A738" s="4">
        <v>5737</v>
      </c>
      <c r="B738" s="4">
        <v>1231</v>
      </c>
      <c r="C738" s="8">
        <v>46150</v>
      </c>
      <c r="D738" s="8">
        <v>46160</v>
      </c>
      <c r="E738" s="10">
        <f t="shared" si="11"/>
        <v>10</v>
      </c>
      <c r="F738" s="4" t="s">
        <v>20</v>
      </c>
      <c r="G738" s="4" t="s">
        <v>12</v>
      </c>
      <c r="H738" s="4">
        <v>22535</v>
      </c>
      <c r="I738" s="4" t="str">
        <f>VLOOKUP(B738,Customers!$A:$D,4,FALSE)</f>
        <v>Premium</v>
      </c>
      <c r="J738" s="4" t="s">
        <v>35</v>
      </c>
      <c r="K738" s="4" t="s">
        <v>36</v>
      </c>
    </row>
    <row r="739" spans="1:11" x14ac:dyDescent="0.2">
      <c r="A739" s="4">
        <v>5738</v>
      </c>
      <c r="B739" s="4">
        <v>1208</v>
      </c>
      <c r="C739" s="8">
        <v>46109</v>
      </c>
      <c r="D739" s="8">
        <v>46111</v>
      </c>
      <c r="E739" s="10">
        <f t="shared" si="11"/>
        <v>2</v>
      </c>
      <c r="F739" s="4" t="s">
        <v>23</v>
      </c>
      <c r="G739" s="4" t="s">
        <v>13</v>
      </c>
      <c r="H739" s="4">
        <v>43150</v>
      </c>
      <c r="I739" s="4" t="str">
        <f>VLOOKUP(B739,Customers!$A:$D,4,FALSE)</f>
        <v>Premium</v>
      </c>
      <c r="J739" s="4" t="s">
        <v>37</v>
      </c>
      <c r="K739" s="4" t="s">
        <v>36</v>
      </c>
    </row>
    <row r="740" spans="1:11" x14ac:dyDescent="0.2">
      <c r="A740" s="4">
        <v>5739</v>
      </c>
      <c r="B740" s="4">
        <v>1297</v>
      </c>
      <c r="C740" s="8">
        <v>46160</v>
      </c>
      <c r="D740" s="8">
        <v>46164</v>
      </c>
      <c r="E740" s="10">
        <f t="shared" si="11"/>
        <v>4</v>
      </c>
      <c r="F740" s="4" t="s">
        <v>24</v>
      </c>
      <c r="G740" s="4" t="s">
        <v>12</v>
      </c>
      <c r="H740" s="4">
        <v>2716</v>
      </c>
      <c r="I740" s="4" t="str">
        <f>VLOOKUP(B740,Customers!$A:$D,4,FALSE)</f>
        <v>Premium</v>
      </c>
      <c r="J740" s="4" t="s">
        <v>35</v>
      </c>
      <c r="K740" s="4" t="s">
        <v>36</v>
      </c>
    </row>
    <row r="741" spans="1:11" x14ac:dyDescent="0.2">
      <c r="A741" s="4">
        <v>5740</v>
      </c>
      <c r="B741" s="4">
        <v>1242</v>
      </c>
      <c r="C741" s="8">
        <v>46148</v>
      </c>
      <c r="D741" s="8">
        <v>46150</v>
      </c>
      <c r="E741" s="10">
        <f t="shared" si="11"/>
        <v>2</v>
      </c>
      <c r="F741" s="4" t="s">
        <v>20</v>
      </c>
      <c r="G741" s="4" t="s">
        <v>13</v>
      </c>
      <c r="H741" s="4">
        <v>46260</v>
      </c>
      <c r="I741" s="4" t="str">
        <f>VLOOKUP(B741,Customers!$A:$D,4,FALSE)</f>
        <v>Premium</v>
      </c>
      <c r="J741" s="4" t="s">
        <v>35</v>
      </c>
      <c r="K741" s="4" t="s">
        <v>36</v>
      </c>
    </row>
    <row r="742" spans="1:11" x14ac:dyDescent="0.2">
      <c r="A742" s="4">
        <v>5741</v>
      </c>
      <c r="B742" s="4">
        <v>1026</v>
      </c>
      <c r="C742" s="8">
        <v>46026</v>
      </c>
      <c r="D742" s="8">
        <v>46030</v>
      </c>
      <c r="E742" s="10">
        <f t="shared" si="11"/>
        <v>4</v>
      </c>
      <c r="F742" s="4" t="s">
        <v>22</v>
      </c>
      <c r="G742" s="4" t="s">
        <v>12</v>
      </c>
      <c r="H742" s="4">
        <v>30196</v>
      </c>
      <c r="I742" s="4" t="str">
        <f>VLOOKUP(B742,Customers!$A:$D,4,FALSE)</f>
        <v>Premium</v>
      </c>
      <c r="J742" s="4" t="s">
        <v>35</v>
      </c>
      <c r="K742" s="4" t="s">
        <v>36</v>
      </c>
    </row>
    <row r="743" spans="1:11" x14ac:dyDescent="0.2">
      <c r="A743" s="4">
        <v>5742</v>
      </c>
      <c r="B743" s="4">
        <v>1059</v>
      </c>
      <c r="C743" s="8">
        <v>46039</v>
      </c>
      <c r="D743" s="8">
        <v>46042</v>
      </c>
      <c r="E743" s="10">
        <f t="shared" si="11"/>
        <v>3</v>
      </c>
      <c r="F743" s="4" t="s">
        <v>25</v>
      </c>
      <c r="G743" s="4" t="s">
        <v>11</v>
      </c>
      <c r="H743" s="4">
        <v>40645</v>
      </c>
      <c r="I743" s="4" t="str">
        <f>VLOOKUP(B743,Customers!$A:$D,4,FALSE)</f>
        <v>Premium</v>
      </c>
      <c r="J743" s="4" t="s">
        <v>35</v>
      </c>
      <c r="K743" s="4" t="s">
        <v>36</v>
      </c>
    </row>
    <row r="744" spans="1:11" x14ac:dyDescent="0.2">
      <c r="A744" s="4">
        <v>5743</v>
      </c>
      <c r="B744" s="4">
        <v>1219</v>
      </c>
      <c r="C744" s="8">
        <v>46039</v>
      </c>
      <c r="D744" s="8">
        <v>46044</v>
      </c>
      <c r="E744" s="10">
        <f t="shared" si="11"/>
        <v>5</v>
      </c>
      <c r="F744" s="4" t="s">
        <v>19</v>
      </c>
      <c r="G744" s="4" t="s">
        <v>15</v>
      </c>
      <c r="H744" s="4">
        <v>21549</v>
      </c>
      <c r="I744" s="4" t="str">
        <f>VLOOKUP(B744,Customers!$A:$D,4,FALSE)</f>
        <v>Premium</v>
      </c>
      <c r="J744" s="4" t="s">
        <v>35</v>
      </c>
      <c r="K744" s="4" t="s">
        <v>36</v>
      </c>
    </row>
    <row r="745" spans="1:11" x14ac:dyDescent="0.2">
      <c r="A745" s="4">
        <v>5744</v>
      </c>
      <c r="B745" s="4">
        <v>1071</v>
      </c>
      <c r="C745" s="8">
        <v>46170</v>
      </c>
      <c r="D745" s="8">
        <v>46180</v>
      </c>
      <c r="E745" s="10">
        <f t="shared" si="11"/>
        <v>10</v>
      </c>
      <c r="F745" s="4" t="s">
        <v>19</v>
      </c>
      <c r="G745" s="4" t="s">
        <v>13</v>
      </c>
      <c r="H745" s="4">
        <v>3287</v>
      </c>
      <c r="I745" s="4" t="str">
        <f>VLOOKUP(B745,Customers!$A:$D,4,FALSE)</f>
        <v>Regular</v>
      </c>
      <c r="J745" s="4" t="s">
        <v>35</v>
      </c>
      <c r="K745" s="4" t="s">
        <v>36</v>
      </c>
    </row>
    <row r="746" spans="1:11" x14ac:dyDescent="0.2">
      <c r="A746" s="4">
        <v>5745</v>
      </c>
      <c r="B746" s="4">
        <v>1062</v>
      </c>
      <c r="C746" s="8">
        <v>46108</v>
      </c>
      <c r="D746" s="8">
        <v>46111</v>
      </c>
      <c r="E746" s="10">
        <f t="shared" si="11"/>
        <v>3</v>
      </c>
      <c r="F746" s="4" t="s">
        <v>22</v>
      </c>
      <c r="G746" s="4" t="s">
        <v>13</v>
      </c>
      <c r="H746" s="4">
        <v>49946</v>
      </c>
      <c r="I746" s="4" t="str">
        <f>VLOOKUP(B746,Customers!$A:$D,4,FALSE)</f>
        <v>Premium</v>
      </c>
      <c r="J746" s="4" t="s">
        <v>37</v>
      </c>
      <c r="K746" s="4" t="s">
        <v>36</v>
      </c>
    </row>
    <row r="747" spans="1:11" x14ac:dyDescent="0.2">
      <c r="A747" s="4">
        <v>5746</v>
      </c>
      <c r="B747" s="4">
        <v>1284</v>
      </c>
      <c r="C747" s="8">
        <v>46066</v>
      </c>
      <c r="D747" s="8">
        <v>46073</v>
      </c>
      <c r="E747" s="10">
        <f t="shared" si="11"/>
        <v>7</v>
      </c>
      <c r="F747" s="4" t="s">
        <v>18</v>
      </c>
      <c r="G747" s="4" t="s">
        <v>15</v>
      </c>
      <c r="H747" s="4">
        <v>16267</v>
      </c>
      <c r="I747" s="4" t="str">
        <f>VLOOKUP(B747,Customers!$A:$D,4,FALSE)</f>
        <v>Regular</v>
      </c>
      <c r="J747" s="4" t="s">
        <v>35</v>
      </c>
      <c r="K747" s="4" t="s">
        <v>36</v>
      </c>
    </row>
    <row r="748" spans="1:11" x14ac:dyDescent="0.2">
      <c r="A748" s="4">
        <v>5747</v>
      </c>
      <c r="B748" s="4">
        <v>1193</v>
      </c>
      <c r="C748" s="8">
        <v>46057</v>
      </c>
      <c r="D748" s="8">
        <v>46060</v>
      </c>
      <c r="E748" s="10">
        <f t="shared" si="11"/>
        <v>3</v>
      </c>
      <c r="F748" s="4" t="s">
        <v>18</v>
      </c>
      <c r="G748" s="4" t="s">
        <v>12</v>
      </c>
      <c r="H748" s="4">
        <v>32213</v>
      </c>
      <c r="I748" s="4" t="str">
        <f>VLOOKUP(B748,Customers!$A:$D,4,FALSE)</f>
        <v>Regular</v>
      </c>
      <c r="J748" s="4" t="s">
        <v>35</v>
      </c>
      <c r="K748" s="4" t="s">
        <v>36</v>
      </c>
    </row>
    <row r="749" spans="1:11" x14ac:dyDescent="0.2">
      <c r="A749" s="4">
        <v>5748</v>
      </c>
      <c r="B749" s="4">
        <v>1092</v>
      </c>
      <c r="C749" s="8">
        <v>46024</v>
      </c>
      <c r="D749" s="8">
        <v>46026</v>
      </c>
      <c r="E749" s="10">
        <f t="shared" si="11"/>
        <v>2</v>
      </c>
      <c r="F749" s="4" t="s">
        <v>23</v>
      </c>
      <c r="G749" s="4" t="s">
        <v>11</v>
      </c>
      <c r="H749" s="4">
        <v>18894</v>
      </c>
      <c r="I749" s="4" t="str">
        <f>VLOOKUP(B749,Customers!$A:$D,4,FALSE)</f>
        <v>Premium</v>
      </c>
      <c r="J749" s="4" t="s">
        <v>37</v>
      </c>
      <c r="K749" s="4" t="s">
        <v>36</v>
      </c>
    </row>
    <row r="750" spans="1:11" x14ac:dyDescent="0.2">
      <c r="A750" s="4">
        <v>5749</v>
      </c>
      <c r="B750" s="4">
        <v>1106</v>
      </c>
      <c r="C750" s="8">
        <v>46144</v>
      </c>
      <c r="D750" s="8">
        <v>46148</v>
      </c>
      <c r="E750" s="10">
        <f t="shared" si="11"/>
        <v>4</v>
      </c>
      <c r="F750" s="4" t="s">
        <v>18</v>
      </c>
      <c r="G750" s="4" t="s">
        <v>14</v>
      </c>
      <c r="H750" s="4">
        <v>34581</v>
      </c>
      <c r="I750" s="4" t="str">
        <f>VLOOKUP(B750,Customers!$A:$D,4,FALSE)</f>
        <v>Premium</v>
      </c>
      <c r="J750" s="4" t="s">
        <v>37</v>
      </c>
      <c r="K750" s="4" t="s">
        <v>36</v>
      </c>
    </row>
    <row r="751" spans="1:11" x14ac:dyDescent="0.2">
      <c r="A751" s="4">
        <v>5750</v>
      </c>
      <c r="B751" s="4">
        <v>1090</v>
      </c>
      <c r="C751" s="8">
        <v>46128</v>
      </c>
      <c r="D751" s="8">
        <v>46133</v>
      </c>
      <c r="E751" s="10">
        <f t="shared" si="11"/>
        <v>5</v>
      </c>
      <c r="F751" s="4" t="s">
        <v>20</v>
      </c>
      <c r="G751" s="4" t="s">
        <v>11</v>
      </c>
      <c r="H751" s="4">
        <v>12096</v>
      </c>
      <c r="I751" s="4" t="str">
        <f>VLOOKUP(B751,Customers!$A:$D,4,FALSE)</f>
        <v>Regular</v>
      </c>
      <c r="J751" s="4" t="s">
        <v>37</v>
      </c>
      <c r="K751" s="4" t="s">
        <v>36</v>
      </c>
    </row>
    <row r="752" spans="1:11" x14ac:dyDescent="0.2">
      <c r="A752" s="4">
        <v>5751</v>
      </c>
      <c r="B752" s="4">
        <v>1179</v>
      </c>
      <c r="C752" s="8">
        <v>46045</v>
      </c>
      <c r="D752" s="8">
        <v>46051</v>
      </c>
      <c r="E752" s="10">
        <f t="shared" si="11"/>
        <v>6</v>
      </c>
      <c r="F752" s="4" t="s">
        <v>21</v>
      </c>
      <c r="G752" s="4" t="s">
        <v>12</v>
      </c>
      <c r="H752" s="4">
        <v>36850</v>
      </c>
      <c r="I752" s="4" t="str">
        <f>VLOOKUP(B752,Customers!$A:$D,4,FALSE)</f>
        <v>Premium</v>
      </c>
      <c r="J752" s="4" t="s">
        <v>35</v>
      </c>
      <c r="K752" s="4" t="s">
        <v>36</v>
      </c>
    </row>
    <row r="753" spans="1:11" x14ac:dyDescent="0.2">
      <c r="A753" s="4">
        <v>5752</v>
      </c>
      <c r="B753" s="4">
        <v>1272</v>
      </c>
      <c r="C753" s="8">
        <v>46072</v>
      </c>
      <c r="D753" s="8">
        <v>46075</v>
      </c>
      <c r="E753" s="10">
        <f t="shared" si="11"/>
        <v>3</v>
      </c>
      <c r="F753" s="4" t="s">
        <v>23</v>
      </c>
      <c r="G753" s="4" t="s">
        <v>11</v>
      </c>
      <c r="H753" s="4">
        <v>24017</v>
      </c>
      <c r="I753" s="4" t="str">
        <f>VLOOKUP(B753,Customers!$A:$D,4,FALSE)</f>
        <v>Premium</v>
      </c>
      <c r="J753" s="4" t="s">
        <v>35</v>
      </c>
      <c r="K753" s="4" t="s">
        <v>36</v>
      </c>
    </row>
    <row r="754" spans="1:11" x14ac:dyDescent="0.2">
      <c r="A754" s="4">
        <v>5753</v>
      </c>
      <c r="B754" s="4">
        <v>1142</v>
      </c>
      <c r="C754" s="8">
        <v>46141</v>
      </c>
      <c r="D754" s="8">
        <v>46146</v>
      </c>
      <c r="E754" s="10">
        <f t="shared" si="11"/>
        <v>5</v>
      </c>
      <c r="F754" s="4" t="s">
        <v>20</v>
      </c>
      <c r="G754" s="4" t="s">
        <v>13</v>
      </c>
      <c r="H754" s="4">
        <v>7684</v>
      </c>
      <c r="I754" s="4" t="str">
        <f>VLOOKUP(B754,Customers!$A:$D,4,FALSE)</f>
        <v>Premium</v>
      </c>
      <c r="J754" s="4" t="s">
        <v>35</v>
      </c>
      <c r="K754" s="4" t="s">
        <v>36</v>
      </c>
    </row>
    <row r="755" spans="1:11" x14ac:dyDescent="0.2">
      <c r="A755" s="4">
        <v>5754</v>
      </c>
      <c r="B755" s="4">
        <v>1091</v>
      </c>
      <c r="C755" s="8">
        <v>46144</v>
      </c>
      <c r="D755" s="8">
        <v>46153</v>
      </c>
      <c r="E755" s="10">
        <f t="shared" si="11"/>
        <v>9</v>
      </c>
      <c r="F755" s="4" t="s">
        <v>18</v>
      </c>
      <c r="G755" s="4" t="s">
        <v>12</v>
      </c>
      <c r="H755" s="4">
        <v>3840</v>
      </c>
      <c r="I755" s="4" t="str">
        <f>VLOOKUP(B755,Customers!$A:$D,4,FALSE)</f>
        <v>Premium</v>
      </c>
      <c r="J755" s="4" t="s">
        <v>37</v>
      </c>
      <c r="K755" s="4" t="s">
        <v>36</v>
      </c>
    </row>
    <row r="756" spans="1:11" x14ac:dyDescent="0.2">
      <c r="A756" s="4">
        <v>5755</v>
      </c>
      <c r="B756" s="4">
        <v>1223</v>
      </c>
      <c r="C756" s="8">
        <v>46095</v>
      </c>
      <c r="D756" s="8">
        <v>46100</v>
      </c>
      <c r="E756" s="10">
        <f t="shared" si="11"/>
        <v>5</v>
      </c>
      <c r="F756" s="4" t="s">
        <v>22</v>
      </c>
      <c r="G756" s="4" t="s">
        <v>14</v>
      </c>
      <c r="H756" s="4">
        <v>40723</v>
      </c>
      <c r="I756" s="4" t="str">
        <f>VLOOKUP(B756,Customers!$A:$D,4,FALSE)</f>
        <v>Regular</v>
      </c>
      <c r="J756" s="4" t="s">
        <v>37</v>
      </c>
      <c r="K756" s="4" t="s">
        <v>36</v>
      </c>
    </row>
    <row r="757" spans="1:11" x14ac:dyDescent="0.2">
      <c r="A757" s="4">
        <v>5756</v>
      </c>
      <c r="B757" s="4">
        <v>1027</v>
      </c>
      <c r="C757" s="8">
        <v>46034</v>
      </c>
      <c r="D757" s="8">
        <v>46037</v>
      </c>
      <c r="E757" s="10">
        <f t="shared" si="11"/>
        <v>3</v>
      </c>
      <c r="F757" s="4" t="s">
        <v>18</v>
      </c>
      <c r="G757" s="4" t="s">
        <v>13</v>
      </c>
      <c r="H757" s="4">
        <v>2204</v>
      </c>
      <c r="I757" s="4" t="str">
        <f>VLOOKUP(B757,Customers!$A:$D,4,FALSE)</f>
        <v>Premium</v>
      </c>
      <c r="J757" s="4" t="s">
        <v>37</v>
      </c>
      <c r="K757" s="4" t="s">
        <v>36</v>
      </c>
    </row>
    <row r="758" spans="1:11" x14ac:dyDescent="0.2">
      <c r="A758" s="4">
        <v>5757</v>
      </c>
      <c r="B758" s="4">
        <v>1037</v>
      </c>
      <c r="C758" s="8">
        <v>46154</v>
      </c>
      <c r="D758" s="8">
        <v>46157</v>
      </c>
      <c r="E758" s="10">
        <f t="shared" si="11"/>
        <v>3</v>
      </c>
      <c r="F758" s="4" t="s">
        <v>24</v>
      </c>
      <c r="G758" s="4" t="s">
        <v>15</v>
      </c>
      <c r="H758" s="4">
        <v>39143</v>
      </c>
      <c r="I758" s="4" t="str">
        <f>VLOOKUP(B758,Customers!$A:$D,4,FALSE)</f>
        <v>Premium</v>
      </c>
      <c r="J758" s="4" t="s">
        <v>37</v>
      </c>
      <c r="K758" s="4" t="s">
        <v>36</v>
      </c>
    </row>
    <row r="759" spans="1:11" x14ac:dyDescent="0.2">
      <c r="A759" s="4">
        <v>5758</v>
      </c>
      <c r="B759" s="4">
        <v>1167</v>
      </c>
      <c r="C759" s="8">
        <v>46130</v>
      </c>
      <c r="D759" s="8">
        <v>46135</v>
      </c>
      <c r="E759" s="10">
        <f t="shared" si="11"/>
        <v>5</v>
      </c>
      <c r="F759" s="4" t="s">
        <v>24</v>
      </c>
      <c r="G759" s="4" t="s">
        <v>12</v>
      </c>
      <c r="H759" s="4">
        <v>21673</v>
      </c>
      <c r="I759" s="4" t="str">
        <f>VLOOKUP(B759,Customers!$A:$D,4,FALSE)</f>
        <v>Premium</v>
      </c>
      <c r="J759" s="4" t="s">
        <v>35</v>
      </c>
      <c r="K759" s="4" t="s">
        <v>36</v>
      </c>
    </row>
    <row r="760" spans="1:11" x14ac:dyDescent="0.2">
      <c r="A760" s="4">
        <v>5759</v>
      </c>
      <c r="B760" s="4">
        <v>1212</v>
      </c>
      <c r="C760" s="8">
        <v>46048</v>
      </c>
      <c r="D760" s="8">
        <v>46053</v>
      </c>
      <c r="E760" s="10">
        <f t="shared" si="11"/>
        <v>5</v>
      </c>
      <c r="F760" s="4" t="s">
        <v>24</v>
      </c>
      <c r="G760" s="4" t="s">
        <v>15</v>
      </c>
      <c r="H760" s="4">
        <v>14761</v>
      </c>
      <c r="I760" s="4" t="str">
        <f>VLOOKUP(B760,Customers!$A:$D,4,FALSE)</f>
        <v>Premium</v>
      </c>
      <c r="J760" s="4" t="s">
        <v>35</v>
      </c>
      <c r="K760" s="4" t="s">
        <v>36</v>
      </c>
    </row>
    <row r="761" spans="1:11" x14ac:dyDescent="0.2">
      <c r="A761" s="4">
        <v>5760</v>
      </c>
      <c r="B761" s="4">
        <v>1028</v>
      </c>
      <c r="C761" s="8">
        <v>46143</v>
      </c>
      <c r="D761" s="8">
        <v>46152</v>
      </c>
      <c r="E761" s="10">
        <f t="shared" si="11"/>
        <v>9</v>
      </c>
      <c r="F761" s="4" t="s">
        <v>21</v>
      </c>
      <c r="G761" s="4" t="s">
        <v>13</v>
      </c>
      <c r="H761" s="4">
        <v>14466</v>
      </c>
      <c r="I761" s="4" t="str">
        <f>VLOOKUP(B761,Customers!$A:$D,4,FALSE)</f>
        <v>Regular</v>
      </c>
      <c r="J761" s="4" t="s">
        <v>37</v>
      </c>
      <c r="K761" s="4" t="s">
        <v>36</v>
      </c>
    </row>
    <row r="762" spans="1:11" x14ac:dyDescent="0.2">
      <c r="A762" s="4">
        <v>5761</v>
      </c>
      <c r="B762" s="4">
        <v>1192</v>
      </c>
      <c r="C762" s="8">
        <v>46068</v>
      </c>
      <c r="D762" s="8">
        <v>46076</v>
      </c>
      <c r="E762" s="10">
        <f t="shared" si="11"/>
        <v>8</v>
      </c>
      <c r="F762" s="4" t="s">
        <v>18</v>
      </c>
      <c r="G762" s="4" t="s">
        <v>15</v>
      </c>
      <c r="H762" s="4">
        <v>47474</v>
      </c>
      <c r="I762" s="4" t="str">
        <f>VLOOKUP(B762,Customers!$A:$D,4,FALSE)</f>
        <v>Regular</v>
      </c>
      <c r="J762" s="4" t="s">
        <v>35</v>
      </c>
      <c r="K762" s="4" t="s">
        <v>36</v>
      </c>
    </row>
    <row r="763" spans="1:11" x14ac:dyDescent="0.2">
      <c r="A763" s="4">
        <v>5762</v>
      </c>
      <c r="B763" s="4">
        <v>1104</v>
      </c>
      <c r="C763" s="8">
        <v>46114</v>
      </c>
      <c r="D763" s="8">
        <v>46120</v>
      </c>
      <c r="E763" s="10">
        <f t="shared" si="11"/>
        <v>6</v>
      </c>
      <c r="F763" s="4" t="s">
        <v>19</v>
      </c>
      <c r="G763" s="4" t="s">
        <v>13</v>
      </c>
      <c r="H763" s="4">
        <v>2403</v>
      </c>
      <c r="I763" s="4" t="str">
        <f>VLOOKUP(B763,Customers!$A:$D,4,FALSE)</f>
        <v>Regular</v>
      </c>
      <c r="J763" s="4" t="s">
        <v>35</v>
      </c>
      <c r="K763" s="4" t="s">
        <v>36</v>
      </c>
    </row>
    <row r="764" spans="1:11" x14ac:dyDescent="0.2">
      <c r="A764" s="4">
        <v>5763</v>
      </c>
      <c r="B764" s="4">
        <v>1057</v>
      </c>
      <c r="C764" s="8">
        <v>46094</v>
      </c>
      <c r="D764" s="8">
        <v>46098</v>
      </c>
      <c r="E764" s="10">
        <f t="shared" si="11"/>
        <v>4</v>
      </c>
      <c r="F764" s="4" t="s">
        <v>25</v>
      </c>
      <c r="G764" s="4" t="s">
        <v>15</v>
      </c>
      <c r="H764" s="4">
        <v>27708</v>
      </c>
      <c r="I764" s="4" t="str">
        <f>VLOOKUP(B764,Customers!$A:$D,4,FALSE)</f>
        <v>Regular</v>
      </c>
      <c r="J764" s="4" t="s">
        <v>35</v>
      </c>
      <c r="K764" s="4" t="s">
        <v>36</v>
      </c>
    </row>
    <row r="765" spans="1:11" x14ac:dyDescent="0.2">
      <c r="A765" s="4">
        <v>5764</v>
      </c>
      <c r="B765" s="4">
        <v>1152</v>
      </c>
      <c r="C765" s="8">
        <v>46110</v>
      </c>
      <c r="D765" s="8">
        <v>46115</v>
      </c>
      <c r="E765" s="10">
        <f t="shared" si="11"/>
        <v>5</v>
      </c>
      <c r="F765" s="4" t="s">
        <v>18</v>
      </c>
      <c r="G765" s="4" t="s">
        <v>11</v>
      </c>
      <c r="H765" s="4">
        <v>11436</v>
      </c>
      <c r="I765" s="4" t="str">
        <f>VLOOKUP(B765,Customers!$A:$D,4,FALSE)</f>
        <v>Regular</v>
      </c>
      <c r="J765" s="4" t="s">
        <v>35</v>
      </c>
      <c r="K765" s="4" t="s">
        <v>36</v>
      </c>
    </row>
    <row r="766" spans="1:11" x14ac:dyDescent="0.2">
      <c r="A766" s="4">
        <v>5765</v>
      </c>
      <c r="B766" s="4">
        <v>1268</v>
      </c>
      <c r="C766" s="8">
        <v>46045</v>
      </c>
      <c r="D766" s="8">
        <v>46053</v>
      </c>
      <c r="E766" s="10">
        <f t="shared" si="11"/>
        <v>8</v>
      </c>
      <c r="F766" s="4" t="s">
        <v>25</v>
      </c>
      <c r="G766" s="4" t="s">
        <v>13</v>
      </c>
      <c r="H766" s="4">
        <v>39069</v>
      </c>
      <c r="I766" s="4" t="str">
        <f>VLOOKUP(B766,Customers!$A:$D,4,FALSE)</f>
        <v>Regular</v>
      </c>
      <c r="J766" s="4" t="s">
        <v>37</v>
      </c>
      <c r="K766" s="4" t="s">
        <v>36</v>
      </c>
    </row>
    <row r="767" spans="1:11" x14ac:dyDescent="0.2">
      <c r="A767" s="4">
        <v>5766</v>
      </c>
      <c r="B767" s="4">
        <v>1008</v>
      </c>
      <c r="C767" s="8">
        <v>46141</v>
      </c>
      <c r="D767" s="8">
        <v>46147</v>
      </c>
      <c r="E767" s="10">
        <f t="shared" si="11"/>
        <v>6</v>
      </c>
      <c r="F767" s="4" t="s">
        <v>21</v>
      </c>
      <c r="G767" s="4" t="s">
        <v>13</v>
      </c>
      <c r="H767" s="4">
        <v>16541</v>
      </c>
      <c r="I767" s="4" t="str">
        <f>VLOOKUP(B767,Customers!$A:$D,4,FALSE)</f>
        <v>Premium</v>
      </c>
      <c r="J767" s="4" t="s">
        <v>37</v>
      </c>
      <c r="K767" s="4" t="s">
        <v>36</v>
      </c>
    </row>
    <row r="768" spans="1:11" x14ac:dyDescent="0.2">
      <c r="A768" s="4">
        <v>5767</v>
      </c>
      <c r="B768" s="4">
        <v>1077</v>
      </c>
      <c r="C768" s="8">
        <v>46134</v>
      </c>
      <c r="D768" s="8">
        <v>46139</v>
      </c>
      <c r="E768" s="10">
        <f t="shared" si="11"/>
        <v>5</v>
      </c>
      <c r="F768" s="4" t="s">
        <v>20</v>
      </c>
      <c r="G768" s="4" t="s">
        <v>15</v>
      </c>
      <c r="H768" s="4">
        <v>3198</v>
      </c>
      <c r="I768" s="4" t="str">
        <f>VLOOKUP(B768,Customers!$A:$D,4,FALSE)</f>
        <v>Regular</v>
      </c>
      <c r="J768" s="4" t="s">
        <v>35</v>
      </c>
      <c r="K768" s="4" t="s">
        <v>36</v>
      </c>
    </row>
    <row r="769" spans="1:11" x14ac:dyDescent="0.2">
      <c r="A769" s="4">
        <v>5768</v>
      </c>
      <c r="B769" s="4">
        <v>1018</v>
      </c>
      <c r="C769" s="8">
        <v>46143</v>
      </c>
      <c r="D769" s="8">
        <v>46153</v>
      </c>
      <c r="E769" s="10">
        <f t="shared" si="11"/>
        <v>10</v>
      </c>
      <c r="F769" s="4" t="s">
        <v>21</v>
      </c>
      <c r="G769" s="4" t="s">
        <v>11</v>
      </c>
      <c r="H769" s="4">
        <v>26142</v>
      </c>
      <c r="I769" s="4" t="str">
        <f>VLOOKUP(B769,Customers!$A:$D,4,FALSE)</f>
        <v>Premium</v>
      </c>
      <c r="J769" s="4" t="s">
        <v>37</v>
      </c>
      <c r="K769" s="4" t="s">
        <v>36</v>
      </c>
    </row>
    <row r="770" spans="1:11" x14ac:dyDescent="0.2">
      <c r="A770" s="4">
        <v>5769</v>
      </c>
      <c r="B770" s="4">
        <v>1254</v>
      </c>
      <c r="C770" s="8">
        <v>46048</v>
      </c>
      <c r="D770" s="8">
        <v>46057</v>
      </c>
      <c r="E770" s="10">
        <f t="shared" si="11"/>
        <v>9</v>
      </c>
      <c r="F770" s="4" t="s">
        <v>24</v>
      </c>
      <c r="G770" s="4" t="s">
        <v>12</v>
      </c>
      <c r="H770" s="4">
        <v>36901</v>
      </c>
      <c r="I770" s="4" t="str">
        <f>VLOOKUP(B770,Customers!$A:$D,4,FALSE)</f>
        <v>Premium</v>
      </c>
      <c r="J770" s="4" t="s">
        <v>35</v>
      </c>
      <c r="K770" s="4" t="s">
        <v>36</v>
      </c>
    </row>
    <row r="771" spans="1:11" x14ac:dyDescent="0.2">
      <c r="A771" s="4">
        <v>5770</v>
      </c>
      <c r="B771" s="4">
        <v>1068</v>
      </c>
      <c r="C771" s="8">
        <v>46127</v>
      </c>
      <c r="D771" s="8">
        <v>46132</v>
      </c>
      <c r="E771" s="10">
        <f t="shared" ref="E771:E834" si="12">D771-C771</f>
        <v>5</v>
      </c>
      <c r="F771" s="4" t="s">
        <v>19</v>
      </c>
      <c r="G771" s="4" t="s">
        <v>14</v>
      </c>
      <c r="H771" s="4">
        <v>15967</v>
      </c>
      <c r="I771" s="4" t="str">
        <f>VLOOKUP(B771,Customers!$A:$D,4,FALSE)</f>
        <v>Premium</v>
      </c>
      <c r="J771" s="4" t="s">
        <v>35</v>
      </c>
      <c r="K771" s="4" t="s">
        <v>36</v>
      </c>
    </row>
    <row r="772" spans="1:11" x14ac:dyDescent="0.2">
      <c r="A772" s="4">
        <v>5771</v>
      </c>
      <c r="B772" s="4">
        <v>1157</v>
      </c>
      <c r="C772" s="8">
        <v>46027</v>
      </c>
      <c r="D772" s="8">
        <v>46036</v>
      </c>
      <c r="E772" s="10">
        <f t="shared" si="12"/>
        <v>9</v>
      </c>
      <c r="F772" s="4" t="s">
        <v>18</v>
      </c>
      <c r="G772" s="4" t="s">
        <v>15</v>
      </c>
      <c r="H772" s="4">
        <v>37680</v>
      </c>
      <c r="I772" s="4" t="str">
        <f>VLOOKUP(B772,Customers!$A:$D,4,FALSE)</f>
        <v>Regular</v>
      </c>
      <c r="J772" s="4" t="s">
        <v>35</v>
      </c>
      <c r="K772" s="4" t="s">
        <v>36</v>
      </c>
    </row>
    <row r="773" spans="1:11" x14ac:dyDescent="0.2">
      <c r="A773" s="4">
        <v>5772</v>
      </c>
      <c r="B773" s="4">
        <v>1071</v>
      </c>
      <c r="C773" s="8">
        <v>46139</v>
      </c>
      <c r="D773" s="8">
        <v>46148</v>
      </c>
      <c r="E773" s="10">
        <f t="shared" si="12"/>
        <v>9</v>
      </c>
      <c r="F773" s="4" t="s">
        <v>21</v>
      </c>
      <c r="G773" s="4" t="s">
        <v>13</v>
      </c>
      <c r="H773" s="4">
        <v>24575</v>
      </c>
      <c r="I773" s="4" t="str">
        <f>VLOOKUP(B773,Customers!$A:$D,4,FALSE)</f>
        <v>Regular</v>
      </c>
      <c r="J773" s="4" t="s">
        <v>37</v>
      </c>
      <c r="K773" s="4" t="s">
        <v>36</v>
      </c>
    </row>
    <row r="774" spans="1:11" x14ac:dyDescent="0.2">
      <c r="A774" s="4">
        <v>5773</v>
      </c>
      <c r="B774" s="4">
        <v>1198</v>
      </c>
      <c r="C774" s="8">
        <v>46023</v>
      </c>
      <c r="D774" s="8">
        <v>46026</v>
      </c>
      <c r="E774" s="10">
        <f t="shared" si="12"/>
        <v>3</v>
      </c>
      <c r="F774" s="4" t="s">
        <v>19</v>
      </c>
      <c r="G774" s="4" t="s">
        <v>11</v>
      </c>
      <c r="H774" s="4">
        <v>2443</v>
      </c>
      <c r="I774" s="4" t="str">
        <f>VLOOKUP(B774,Customers!$A:$D,4,FALSE)</f>
        <v>Premium</v>
      </c>
      <c r="J774" s="4" t="s">
        <v>37</v>
      </c>
      <c r="K774" s="4" t="s">
        <v>36</v>
      </c>
    </row>
    <row r="775" spans="1:11" x14ac:dyDescent="0.2">
      <c r="A775" s="4">
        <v>5774</v>
      </c>
      <c r="B775" s="4">
        <v>1278</v>
      </c>
      <c r="C775" s="8">
        <v>46132</v>
      </c>
      <c r="D775" s="8">
        <v>46138</v>
      </c>
      <c r="E775" s="10">
        <f t="shared" si="12"/>
        <v>6</v>
      </c>
      <c r="F775" s="4" t="s">
        <v>24</v>
      </c>
      <c r="G775" s="4" t="s">
        <v>12</v>
      </c>
      <c r="H775" s="4">
        <v>40962</v>
      </c>
      <c r="I775" s="4" t="str">
        <f>VLOOKUP(B775,Customers!$A:$D,4,FALSE)</f>
        <v>Regular</v>
      </c>
      <c r="J775" s="4" t="s">
        <v>37</v>
      </c>
      <c r="K775" s="4" t="s">
        <v>36</v>
      </c>
    </row>
    <row r="776" spans="1:11" x14ac:dyDescent="0.2">
      <c r="A776" s="4">
        <v>5775</v>
      </c>
      <c r="B776" s="4">
        <v>1187</v>
      </c>
      <c r="C776" s="8">
        <v>46037</v>
      </c>
      <c r="D776" s="8">
        <v>46047</v>
      </c>
      <c r="E776" s="10">
        <f t="shared" si="12"/>
        <v>10</v>
      </c>
      <c r="F776" s="4" t="s">
        <v>20</v>
      </c>
      <c r="G776" s="4" t="s">
        <v>12</v>
      </c>
      <c r="H776" s="4">
        <v>25397</v>
      </c>
      <c r="I776" s="4" t="str">
        <f>VLOOKUP(B776,Customers!$A:$D,4,FALSE)</f>
        <v>Regular</v>
      </c>
      <c r="J776" s="4" t="s">
        <v>37</v>
      </c>
      <c r="K776" s="4" t="s">
        <v>36</v>
      </c>
    </row>
    <row r="777" spans="1:11" x14ac:dyDescent="0.2">
      <c r="A777" s="4">
        <v>5776</v>
      </c>
      <c r="B777" s="4">
        <v>1188</v>
      </c>
      <c r="C777" s="8">
        <v>46142</v>
      </c>
      <c r="D777" s="8">
        <v>46144</v>
      </c>
      <c r="E777" s="10">
        <f t="shared" si="12"/>
        <v>2</v>
      </c>
      <c r="F777" s="4" t="s">
        <v>19</v>
      </c>
      <c r="G777" s="4" t="s">
        <v>13</v>
      </c>
      <c r="H777" s="4">
        <v>42778</v>
      </c>
      <c r="I777" s="4" t="str">
        <f>VLOOKUP(B777,Customers!$A:$D,4,FALSE)</f>
        <v>Premium</v>
      </c>
      <c r="J777" s="4" t="s">
        <v>35</v>
      </c>
      <c r="K777" s="4" t="s">
        <v>36</v>
      </c>
    </row>
    <row r="778" spans="1:11" x14ac:dyDescent="0.2">
      <c r="A778" s="4">
        <v>5777</v>
      </c>
      <c r="B778" s="4">
        <v>1071</v>
      </c>
      <c r="C778" s="8">
        <v>46166</v>
      </c>
      <c r="D778" s="8">
        <v>46171</v>
      </c>
      <c r="E778" s="10">
        <f t="shared" si="12"/>
        <v>5</v>
      </c>
      <c r="F778" s="4" t="s">
        <v>19</v>
      </c>
      <c r="G778" s="4" t="s">
        <v>13</v>
      </c>
      <c r="H778" s="4">
        <v>35665</v>
      </c>
      <c r="I778" s="4" t="str">
        <f>VLOOKUP(B778,Customers!$A:$D,4,FALSE)</f>
        <v>Regular</v>
      </c>
      <c r="J778" s="4" t="s">
        <v>35</v>
      </c>
      <c r="K778" s="4" t="s">
        <v>36</v>
      </c>
    </row>
    <row r="779" spans="1:11" x14ac:dyDescent="0.2">
      <c r="A779" s="4">
        <v>5778</v>
      </c>
      <c r="B779" s="4">
        <v>1116</v>
      </c>
      <c r="C779" s="8">
        <v>46145</v>
      </c>
      <c r="D779" s="8">
        <v>46150</v>
      </c>
      <c r="E779" s="10">
        <f t="shared" si="12"/>
        <v>5</v>
      </c>
      <c r="F779" s="4" t="s">
        <v>19</v>
      </c>
      <c r="G779" s="4" t="s">
        <v>14</v>
      </c>
      <c r="H779" s="4">
        <v>17821</v>
      </c>
      <c r="I779" s="4" t="str">
        <f>VLOOKUP(B779,Customers!$A:$D,4,FALSE)</f>
        <v>Premium</v>
      </c>
      <c r="J779" s="4" t="s">
        <v>37</v>
      </c>
      <c r="K779" s="4" t="s">
        <v>36</v>
      </c>
    </row>
    <row r="780" spans="1:11" x14ac:dyDescent="0.2">
      <c r="A780" s="4">
        <v>5779</v>
      </c>
      <c r="B780" s="4">
        <v>1033</v>
      </c>
      <c r="C780" s="8">
        <v>46093</v>
      </c>
      <c r="D780" s="8">
        <v>46095</v>
      </c>
      <c r="E780" s="10">
        <f t="shared" si="12"/>
        <v>2</v>
      </c>
      <c r="F780" s="4" t="s">
        <v>19</v>
      </c>
      <c r="G780" s="4" t="s">
        <v>14</v>
      </c>
      <c r="H780" s="4">
        <v>29949</v>
      </c>
      <c r="I780" s="4" t="str">
        <f>VLOOKUP(B780,Customers!$A:$D,4,FALSE)</f>
        <v>Premium</v>
      </c>
      <c r="J780" s="4" t="s">
        <v>37</v>
      </c>
      <c r="K780" s="4" t="s">
        <v>36</v>
      </c>
    </row>
    <row r="781" spans="1:11" x14ac:dyDescent="0.2">
      <c r="A781" s="4">
        <v>5780</v>
      </c>
      <c r="B781" s="4">
        <v>1063</v>
      </c>
      <c r="C781" s="8">
        <v>46151</v>
      </c>
      <c r="D781" s="8">
        <v>46161</v>
      </c>
      <c r="E781" s="10">
        <f t="shared" si="12"/>
        <v>10</v>
      </c>
      <c r="F781" s="4" t="s">
        <v>25</v>
      </c>
      <c r="G781" s="4" t="s">
        <v>11</v>
      </c>
      <c r="H781" s="4">
        <v>44753</v>
      </c>
      <c r="I781" s="4" t="str">
        <f>VLOOKUP(B781,Customers!$A:$D,4,FALSE)</f>
        <v>Regular</v>
      </c>
      <c r="J781" s="4" t="s">
        <v>37</v>
      </c>
      <c r="K781" s="4" t="s">
        <v>36</v>
      </c>
    </row>
    <row r="782" spans="1:11" x14ac:dyDescent="0.2">
      <c r="A782" s="4">
        <v>5781</v>
      </c>
      <c r="B782" s="4">
        <v>1034</v>
      </c>
      <c r="C782" s="8">
        <v>46138</v>
      </c>
      <c r="D782" s="8">
        <v>46145</v>
      </c>
      <c r="E782" s="10">
        <f t="shared" si="12"/>
        <v>7</v>
      </c>
      <c r="F782" s="4" t="s">
        <v>24</v>
      </c>
      <c r="G782" s="4" t="s">
        <v>15</v>
      </c>
      <c r="H782" s="4">
        <v>6021</v>
      </c>
      <c r="I782" s="4" t="str">
        <f>VLOOKUP(B782,Customers!$A:$D,4,FALSE)</f>
        <v>Regular</v>
      </c>
      <c r="J782" s="4" t="s">
        <v>35</v>
      </c>
      <c r="K782" s="4" t="s">
        <v>36</v>
      </c>
    </row>
    <row r="783" spans="1:11" x14ac:dyDescent="0.2">
      <c r="A783" s="4">
        <v>5782</v>
      </c>
      <c r="B783" s="4">
        <v>1148</v>
      </c>
      <c r="C783" s="8">
        <v>46123</v>
      </c>
      <c r="D783" s="8">
        <v>46127</v>
      </c>
      <c r="E783" s="10">
        <f t="shared" si="12"/>
        <v>4</v>
      </c>
      <c r="F783" s="4" t="s">
        <v>23</v>
      </c>
      <c r="G783" s="4" t="s">
        <v>12</v>
      </c>
      <c r="H783" s="4">
        <v>11098</v>
      </c>
      <c r="I783" s="4" t="str">
        <f>VLOOKUP(B783,Customers!$A:$D,4,FALSE)</f>
        <v>Premium</v>
      </c>
      <c r="J783" s="4" t="s">
        <v>37</v>
      </c>
      <c r="K783" s="4" t="s">
        <v>36</v>
      </c>
    </row>
    <row r="784" spans="1:11" x14ac:dyDescent="0.2">
      <c r="A784" s="4">
        <v>5783</v>
      </c>
      <c r="B784" s="4">
        <v>1255</v>
      </c>
      <c r="C784" s="8">
        <v>46051</v>
      </c>
      <c r="D784" s="8">
        <v>46055</v>
      </c>
      <c r="E784" s="10">
        <f t="shared" si="12"/>
        <v>4</v>
      </c>
      <c r="F784" s="4" t="s">
        <v>18</v>
      </c>
      <c r="G784" s="4" t="s">
        <v>13</v>
      </c>
      <c r="H784" s="4">
        <v>34423</v>
      </c>
      <c r="I784" s="4" t="str">
        <f>VLOOKUP(B784,Customers!$A:$D,4,FALSE)</f>
        <v>Regular</v>
      </c>
      <c r="J784" s="4" t="s">
        <v>35</v>
      </c>
      <c r="K784" s="4" t="s">
        <v>36</v>
      </c>
    </row>
    <row r="785" spans="1:11" x14ac:dyDescent="0.2">
      <c r="A785" s="4">
        <v>5784</v>
      </c>
      <c r="B785" s="4">
        <v>1278</v>
      </c>
      <c r="C785" s="8">
        <v>46098</v>
      </c>
      <c r="D785" s="8">
        <v>46106</v>
      </c>
      <c r="E785" s="10">
        <f t="shared" si="12"/>
        <v>8</v>
      </c>
      <c r="F785" s="4" t="s">
        <v>18</v>
      </c>
      <c r="G785" s="4" t="s">
        <v>15</v>
      </c>
      <c r="H785" s="4">
        <v>23021</v>
      </c>
      <c r="I785" s="4" t="str">
        <f>VLOOKUP(B785,Customers!$A:$D,4,FALSE)</f>
        <v>Regular</v>
      </c>
      <c r="J785" s="4" t="s">
        <v>37</v>
      </c>
      <c r="K785" s="4" t="s">
        <v>36</v>
      </c>
    </row>
    <row r="786" spans="1:11" x14ac:dyDescent="0.2">
      <c r="A786" s="4">
        <v>5785</v>
      </c>
      <c r="B786" s="4">
        <v>1150</v>
      </c>
      <c r="C786" s="8">
        <v>46136</v>
      </c>
      <c r="D786" s="8">
        <v>46138</v>
      </c>
      <c r="E786" s="10">
        <f t="shared" si="12"/>
        <v>2</v>
      </c>
      <c r="F786" s="4" t="s">
        <v>24</v>
      </c>
      <c r="G786" s="4" t="s">
        <v>12</v>
      </c>
      <c r="H786" s="4">
        <v>1744</v>
      </c>
      <c r="I786" s="4" t="str">
        <f>VLOOKUP(B786,Customers!$A:$D,4,FALSE)</f>
        <v>Premium</v>
      </c>
      <c r="J786" s="4" t="s">
        <v>35</v>
      </c>
      <c r="K786" s="4" t="s">
        <v>36</v>
      </c>
    </row>
    <row r="787" spans="1:11" x14ac:dyDescent="0.2">
      <c r="A787" s="4">
        <v>5786</v>
      </c>
      <c r="B787" s="4">
        <v>1211</v>
      </c>
      <c r="C787" s="8">
        <v>46156</v>
      </c>
      <c r="D787" s="8">
        <v>46163</v>
      </c>
      <c r="E787" s="10">
        <f t="shared" si="12"/>
        <v>7</v>
      </c>
      <c r="F787" s="4" t="s">
        <v>19</v>
      </c>
      <c r="G787" s="4" t="s">
        <v>14</v>
      </c>
      <c r="H787" s="4">
        <v>32160</v>
      </c>
      <c r="I787" s="4" t="str">
        <f>VLOOKUP(B787,Customers!$A:$D,4,FALSE)</f>
        <v>Regular</v>
      </c>
      <c r="J787" s="4" t="s">
        <v>37</v>
      </c>
      <c r="K787" s="4" t="s">
        <v>36</v>
      </c>
    </row>
    <row r="788" spans="1:11" x14ac:dyDescent="0.2">
      <c r="A788" s="4">
        <v>5787</v>
      </c>
      <c r="B788" s="4">
        <v>1291</v>
      </c>
      <c r="C788" s="8">
        <v>46140</v>
      </c>
      <c r="D788" s="8">
        <v>46146</v>
      </c>
      <c r="E788" s="10">
        <f t="shared" si="12"/>
        <v>6</v>
      </c>
      <c r="F788" s="4" t="s">
        <v>18</v>
      </c>
      <c r="G788" s="4" t="s">
        <v>14</v>
      </c>
      <c r="H788" s="4">
        <v>11554</v>
      </c>
      <c r="I788" s="4" t="str">
        <f>VLOOKUP(B788,Customers!$A:$D,4,FALSE)</f>
        <v>Regular</v>
      </c>
      <c r="J788" s="4" t="s">
        <v>37</v>
      </c>
      <c r="K788" s="4" t="s">
        <v>36</v>
      </c>
    </row>
    <row r="789" spans="1:11" x14ac:dyDescent="0.2">
      <c r="A789" s="4">
        <v>5788</v>
      </c>
      <c r="B789" s="4">
        <v>1191</v>
      </c>
      <c r="C789" s="8">
        <v>46081</v>
      </c>
      <c r="D789" s="8">
        <v>46090</v>
      </c>
      <c r="E789" s="10">
        <f t="shared" si="12"/>
        <v>9</v>
      </c>
      <c r="F789" s="4" t="s">
        <v>22</v>
      </c>
      <c r="G789" s="4" t="s">
        <v>12</v>
      </c>
      <c r="H789" s="4">
        <v>10021</v>
      </c>
      <c r="I789" s="4" t="str">
        <f>VLOOKUP(B789,Customers!$A:$D,4,FALSE)</f>
        <v>Regular</v>
      </c>
      <c r="J789" s="4" t="s">
        <v>37</v>
      </c>
      <c r="K789" s="4" t="s">
        <v>36</v>
      </c>
    </row>
    <row r="790" spans="1:11" x14ac:dyDescent="0.2">
      <c r="A790" s="4">
        <v>5789</v>
      </c>
      <c r="B790" s="4">
        <v>1086</v>
      </c>
      <c r="C790" s="8">
        <v>46095</v>
      </c>
      <c r="D790" s="8">
        <v>46104</v>
      </c>
      <c r="E790" s="10">
        <f t="shared" si="12"/>
        <v>9</v>
      </c>
      <c r="F790" s="4" t="s">
        <v>18</v>
      </c>
      <c r="G790" s="4" t="s">
        <v>11</v>
      </c>
      <c r="H790" s="4">
        <v>18993</v>
      </c>
      <c r="I790" s="4" t="str">
        <f>VLOOKUP(B790,Customers!$A:$D,4,FALSE)</f>
        <v>Premium</v>
      </c>
      <c r="J790" s="4" t="s">
        <v>35</v>
      </c>
      <c r="K790" s="4" t="s">
        <v>36</v>
      </c>
    </row>
    <row r="791" spans="1:11" x14ac:dyDescent="0.2">
      <c r="A791" s="4">
        <v>5790</v>
      </c>
      <c r="B791" s="4">
        <v>1083</v>
      </c>
      <c r="C791" s="8">
        <v>46067</v>
      </c>
      <c r="D791" s="8">
        <v>46071</v>
      </c>
      <c r="E791" s="10">
        <f t="shared" si="12"/>
        <v>4</v>
      </c>
      <c r="F791" s="4" t="s">
        <v>24</v>
      </c>
      <c r="G791" s="4" t="s">
        <v>12</v>
      </c>
      <c r="H791" s="4">
        <v>2996</v>
      </c>
      <c r="I791" s="4" t="str">
        <f>VLOOKUP(B791,Customers!$A:$D,4,FALSE)</f>
        <v>Premium</v>
      </c>
      <c r="J791" s="4" t="s">
        <v>37</v>
      </c>
      <c r="K791" s="4" t="s">
        <v>36</v>
      </c>
    </row>
    <row r="792" spans="1:11" x14ac:dyDescent="0.2">
      <c r="A792" s="4">
        <v>5791</v>
      </c>
      <c r="B792" s="4">
        <v>1226</v>
      </c>
      <c r="C792" s="8">
        <v>46170</v>
      </c>
      <c r="D792" s="8">
        <v>46174</v>
      </c>
      <c r="E792" s="10">
        <f t="shared" si="12"/>
        <v>4</v>
      </c>
      <c r="F792" s="4" t="s">
        <v>22</v>
      </c>
      <c r="G792" s="4" t="s">
        <v>14</v>
      </c>
      <c r="H792" s="4">
        <v>12391</v>
      </c>
      <c r="I792" s="4" t="str">
        <f>VLOOKUP(B792,Customers!$A:$D,4,FALSE)</f>
        <v>Regular</v>
      </c>
      <c r="J792" s="4" t="s">
        <v>35</v>
      </c>
      <c r="K792" s="4" t="s">
        <v>36</v>
      </c>
    </row>
    <row r="793" spans="1:11" x14ac:dyDescent="0.2">
      <c r="A793" s="4">
        <v>5792</v>
      </c>
      <c r="B793" s="4">
        <v>1163</v>
      </c>
      <c r="C793" s="8">
        <v>46166</v>
      </c>
      <c r="D793" s="8">
        <v>46168</v>
      </c>
      <c r="E793" s="10">
        <f t="shared" si="12"/>
        <v>2</v>
      </c>
      <c r="F793" s="4" t="s">
        <v>19</v>
      </c>
      <c r="G793" s="4" t="s">
        <v>13</v>
      </c>
      <c r="H793" s="4">
        <v>24739</v>
      </c>
      <c r="I793" s="4" t="str">
        <f>VLOOKUP(B793,Customers!$A:$D,4,FALSE)</f>
        <v>Regular</v>
      </c>
      <c r="J793" s="4" t="s">
        <v>37</v>
      </c>
      <c r="K793" s="4" t="s">
        <v>36</v>
      </c>
    </row>
    <row r="794" spans="1:11" x14ac:dyDescent="0.2">
      <c r="A794" s="4">
        <v>5793</v>
      </c>
      <c r="B794" s="4">
        <v>1274</v>
      </c>
      <c r="C794" s="8">
        <v>46161</v>
      </c>
      <c r="D794" s="8">
        <v>46165</v>
      </c>
      <c r="E794" s="10">
        <f t="shared" si="12"/>
        <v>4</v>
      </c>
      <c r="F794" s="4" t="s">
        <v>22</v>
      </c>
      <c r="G794" s="4" t="s">
        <v>12</v>
      </c>
      <c r="H794" s="4">
        <v>1933</v>
      </c>
      <c r="I794" s="4" t="str">
        <f>VLOOKUP(B794,Customers!$A:$D,4,FALSE)</f>
        <v>Regular</v>
      </c>
      <c r="J794" s="4" t="s">
        <v>37</v>
      </c>
      <c r="K794" s="4" t="s">
        <v>36</v>
      </c>
    </row>
    <row r="795" spans="1:11" x14ac:dyDescent="0.2">
      <c r="A795" s="4">
        <v>5794</v>
      </c>
      <c r="B795" s="4">
        <v>1235</v>
      </c>
      <c r="C795" s="8">
        <v>46150</v>
      </c>
      <c r="D795" s="8">
        <v>46154</v>
      </c>
      <c r="E795" s="10">
        <f t="shared" si="12"/>
        <v>4</v>
      </c>
      <c r="F795" s="4" t="s">
        <v>19</v>
      </c>
      <c r="G795" s="4" t="s">
        <v>13</v>
      </c>
      <c r="H795" s="4">
        <v>581</v>
      </c>
      <c r="I795" s="4" t="str">
        <f>VLOOKUP(B795,Customers!$A:$D,4,FALSE)</f>
        <v>Premium</v>
      </c>
      <c r="J795" s="4" t="s">
        <v>37</v>
      </c>
      <c r="K795" s="4" t="s">
        <v>36</v>
      </c>
    </row>
    <row r="796" spans="1:11" x14ac:dyDescent="0.2">
      <c r="A796" s="4">
        <v>5795</v>
      </c>
      <c r="B796" s="4">
        <v>1149</v>
      </c>
      <c r="C796" s="8">
        <v>46098</v>
      </c>
      <c r="D796" s="8">
        <v>46107</v>
      </c>
      <c r="E796" s="10">
        <f t="shared" si="12"/>
        <v>9</v>
      </c>
      <c r="F796" s="4" t="s">
        <v>18</v>
      </c>
      <c r="G796" s="4" t="s">
        <v>11</v>
      </c>
      <c r="H796" s="4">
        <v>48045</v>
      </c>
      <c r="I796" s="4" t="str">
        <f>VLOOKUP(B796,Customers!$A:$D,4,FALSE)</f>
        <v>Premium</v>
      </c>
      <c r="J796" s="4" t="s">
        <v>37</v>
      </c>
      <c r="K796" s="4" t="s">
        <v>36</v>
      </c>
    </row>
    <row r="797" spans="1:11" x14ac:dyDescent="0.2">
      <c r="A797" s="4">
        <v>5796</v>
      </c>
      <c r="B797" s="4">
        <v>1246</v>
      </c>
      <c r="C797" s="8">
        <v>46109</v>
      </c>
      <c r="D797" s="8">
        <v>46112</v>
      </c>
      <c r="E797" s="10">
        <f t="shared" si="12"/>
        <v>3</v>
      </c>
      <c r="F797" s="4" t="s">
        <v>20</v>
      </c>
      <c r="G797" s="4" t="s">
        <v>13</v>
      </c>
      <c r="H797" s="4">
        <v>44733</v>
      </c>
      <c r="I797" s="4" t="str">
        <f>VLOOKUP(B797,Customers!$A:$D,4,FALSE)</f>
        <v>Premium</v>
      </c>
      <c r="J797" s="4" t="s">
        <v>35</v>
      </c>
      <c r="K797" s="4" t="s">
        <v>36</v>
      </c>
    </row>
    <row r="798" spans="1:11" x14ac:dyDescent="0.2">
      <c r="A798" s="4">
        <v>5797</v>
      </c>
      <c r="B798" s="4">
        <v>1206</v>
      </c>
      <c r="C798" s="8">
        <v>46101</v>
      </c>
      <c r="D798" s="8">
        <v>46103</v>
      </c>
      <c r="E798" s="10">
        <f t="shared" si="12"/>
        <v>2</v>
      </c>
      <c r="F798" s="4" t="s">
        <v>24</v>
      </c>
      <c r="G798" s="4" t="s">
        <v>15</v>
      </c>
      <c r="H798" s="4">
        <v>23722</v>
      </c>
      <c r="I798" s="4" t="str">
        <f>VLOOKUP(B798,Customers!$A:$D,4,FALSE)</f>
        <v>Regular</v>
      </c>
      <c r="J798" s="4" t="s">
        <v>35</v>
      </c>
      <c r="K798" s="4" t="s">
        <v>36</v>
      </c>
    </row>
    <row r="799" spans="1:11" x14ac:dyDescent="0.2">
      <c r="A799" s="4">
        <v>5798</v>
      </c>
      <c r="B799" s="4">
        <v>1100</v>
      </c>
      <c r="C799" s="8">
        <v>46106</v>
      </c>
      <c r="D799" s="8">
        <v>46108</v>
      </c>
      <c r="E799" s="10">
        <f t="shared" si="12"/>
        <v>2</v>
      </c>
      <c r="F799" s="4" t="s">
        <v>24</v>
      </c>
      <c r="G799" s="4" t="s">
        <v>14</v>
      </c>
      <c r="H799" s="4">
        <v>13126</v>
      </c>
      <c r="I799" s="4" t="str">
        <f>VLOOKUP(B799,Customers!$A:$D,4,FALSE)</f>
        <v>Regular</v>
      </c>
      <c r="J799" s="4" t="s">
        <v>35</v>
      </c>
      <c r="K799" s="4" t="s">
        <v>36</v>
      </c>
    </row>
    <row r="800" spans="1:11" x14ac:dyDescent="0.2">
      <c r="A800" s="4">
        <v>5799</v>
      </c>
      <c r="B800" s="4">
        <v>1229</v>
      </c>
      <c r="C800" s="8">
        <v>46044</v>
      </c>
      <c r="D800" s="8">
        <v>46054</v>
      </c>
      <c r="E800" s="10">
        <f t="shared" si="12"/>
        <v>10</v>
      </c>
      <c r="F800" s="4" t="s">
        <v>23</v>
      </c>
      <c r="G800" s="4" t="s">
        <v>11</v>
      </c>
      <c r="H800" s="4">
        <v>26148</v>
      </c>
      <c r="I800" s="4" t="str">
        <f>VLOOKUP(B800,Customers!$A:$D,4,FALSE)</f>
        <v>Premium</v>
      </c>
      <c r="J800" s="4" t="s">
        <v>35</v>
      </c>
      <c r="K800" s="4" t="s">
        <v>36</v>
      </c>
    </row>
    <row r="801" spans="1:11" x14ac:dyDescent="0.2">
      <c r="A801" s="4">
        <v>5800</v>
      </c>
      <c r="B801" s="4">
        <v>1262</v>
      </c>
      <c r="C801" s="8">
        <v>46148</v>
      </c>
      <c r="D801" s="8">
        <v>46155</v>
      </c>
      <c r="E801" s="10">
        <f t="shared" si="12"/>
        <v>7</v>
      </c>
      <c r="F801" s="4" t="s">
        <v>20</v>
      </c>
      <c r="G801" s="4" t="s">
        <v>14</v>
      </c>
      <c r="H801" s="4">
        <v>26354</v>
      </c>
      <c r="I801" s="4" t="str">
        <f>VLOOKUP(B801,Customers!$A:$D,4,FALSE)</f>
        <v>Premium</v>
      </c>
      <c r="J801" s="4" t="s">
        <v>35</v>
      </c>
      <c r="K801" s="4" t="s">
        <v>36</v>
      </c>
    </row>
    <row r="802" spans="1:11" x14ac:dyDescent="0.2">
      <c r="A802" s="4">
        <v>5801</v>
      </c>
      <c r="B802" s="4">
        <v>1198</v>
      </c>
      <c r="C802" s="8">
        <v>46132</v>
      </c>
      <c r="D802" s="8">
        <v>46139</v>
      </c>
      <c r="E802" s="10">
        <f t="shared" si="12"/>
        <v>7</v>
      </c>
      <c r="F802" s="4" t="s">
        <v>19</v>
      </c>
      <c r="G802" s="4" t="s">
        <v>12</v>
      </c>
      <c r="H802" s="4">
        <v>18954</v>
      </c>
      <c r="I802" s="4" t="str">
        <f>VLOOKUP(B802,Customers!$A:$D,4,FALSE)</f>
        <v>Premium</v>
      </c>
      <c r="J802" s="4" t="s">
        <v>37</v>
      </c>
      <c r="K802" s="4" t="s">
        <v>36</v>
      </c>
    </row>
    <row r="803" spans="1:11" x14ac:dyDescent="0.2">
      <c r="A803" s="4">
        <v>5802</v>
      </c>
      <c r="B803" s="4">
        <v>1229</v>
      </c>
      <c r="C803" s="8">
        <v>46112</v>
      </c>
      <c r="D803" s="8">
        <v>46118</v>
      </c>
      <c r="E803" s="10">
        <f t="shared" si="12"/>
        <v>6</v>
      </c>
      <c r="F803" s="4" t="s">
        <v>23</v>
      </c>
      <c r="G803" s="4" t="s">
        <v>13</v>
      </c>
      <c r="H803" s="4">
        <v>48000</v>
      </c>
      <c r="I803" s="4" t="str">
        <f>VLOOKUP(B803,Customers!$A:$D,4,FALSE)</f>
        <v>Premium</v>
      </c>
      <c r="J803" s="4" t="s">
        <v>37</v>
      </c>
      <c r="K803" s="4" t="s">
        <v>36</v>
      </c>
    </row>
    <row r="804" spans="1:11" x14ac:dyDescent="0.2">
      <c r="A804" s="4">
        <v>5803</v>
      </c>
      <c r="B804" s="4">
        <v>1148</v>
      </c>
      <c r="C804" s="8">
        <v>46129</v>
      </c>
      <c r="D804" s="8">
        <v>46138</v>
      </c>
      <c r="E804" s="10">
        <f t="shared" si="12"/>
        <v>9</v>
      </c>
      <c r="F804" s="4" t="s">
        <v>18</v>
      </c>
      <c r="G804" s="4" t="s">
        <v>15</v>
      </c>
      <c r="H804" s="4">
        <v>48049</v>
      </c>
      <c r="I804" s="4" t="str">
        <f>VLOOKUP(B804,Customers!$A:$D,4,FALSE)</f>
        <v>Premium</v>
      </c>
      <c r="J804" s="4" t="s">
        <v>37</v>
      </c>
      <c r="K804" s="4" t="s">
        <v>36</v>
      </c>
    </row>
    <row r="805" spans="1:11" x14ac:dyDescent="0.2">
      <c r="A805" s="4">
        <v>5804</v>
      </c>
      <c r="B805" s="4">
        <v>1074</v>
      </c>
      <c r="C805" s="8">
        <v>46058</v>
      </c>
      <c r="D805" s="8">
        <v>46061</v>
      </c>
      <c r="E805" s="10">
        <f t="shared" si="12"/>
        <v>3</v>
      </c>
      <c r="F805" s="4" t="s">
        <v>24</v>
      </c>
      <c r="G805" s="4" t="s">
        <v>14</v>
      </c>
      <c r="H805" s="4">
        <v>31404</v>
      </c>
      <c r="I805" s="4" t="str">
        <f>VLOOKUP(B805,Customers!$A:$D,4,FALSE)</f>
        <v>Regular</v>
      </c>
      <c r="J805" s="4" t="s">
        <v>37</v>
      </c>
      <c r="K805" s="4" t="s">
        <v>36</v>
      </c>
    </row>
    <row r="806" spans="1:11" x14ac:dyDescent="0.2">
      <c r="A806" s="4">
        <v>5805</v>
      </c>
      <c r="B806" s="4">
        <v>1046</v>
      </c>
      <c r="C806" s="8">
        <v>46039</v>
      </c>
      <c r="D806" s="8">
        <v>46047</v>
      </c>
      <c r="E806" s="10">
        <f t="shared" si="12"/>
        <v>8</v>
      </c>
      <c r="F806" s="4" t="s">
        <v>20</v>
      </c>
      <c r="G806" s="4" t="s">
        <v>15</v>
      </c>
      <c r="H806" s="4">
        <v>42164</v>
      </c>
      <c r="I806" s="4" t="str">
        <f>VLOOKUP(B806,Customers!$A:$D,4,FALSE)</f>
        <v>Regular</v>
      </c>
      <c r="J806" s="4" t="s">
        <v>37</v>
      </c>
      <c r="K806" s="4" t="s">
        <v>36</v>
      </c>
    </row>
    <row r="807" spans="1:11" x14ac:dyDescent="0.2">
      <c r="A807" s="4">
        <v>5806</v>
      </c>
      <c r="B807" s="4">
        <v>1285</v>
      </c>
      <c r="C807" s="8">
        <v>46129</v>
      </c>
      <c r="D807" s="8">
        <v>46133</v>
      </c>
      <c r="E807" s="10">
        <f t="shared" si="12"/>
        <v>4</v>
      </c>
      <c r="F807" s="4" t="s">
        <v>25</v>
      </c>
      <c r="G807" s="4" t="s">
        <v>11</v>
      </c>
      <c r="H807" s="4">
        <v>49795</v>
      </c>
      <c r="I807" s="4" t="str">
        <f>VLOOKUP(B807,Customers!$A:$D,4,FALSE)</f>
        <v>Premium</v>
      </c>
      <c r="J807" s="4" t="s">
        <v>35</v>
      </c>
      <c r="K807" s="4" t="s">
        <v>36</v>
      </c>
    </row>
    <row r="808" spans="1:11" x14ac:dyDescent="0.2">
      <c r="A808" s="4">
        <v>5807</v>
      </c>
      <c r="B808" s="4">
        <v>1196</v>
      </c>
      <c r="C808" s="8">
        <v>46074</v>
      </c>
      <c r="D808" s="8">
        <v>46078</v>
      </c>
      <c r="E808" s="10">
        <f t="shared" si="12"/>
        <v>4</v>
      </c>
      <c r="F808" s="4" t="s">
        <v>22</v>
      </c>
      <c r="G808" s="4" t="s">
        <v>11</v>
      </c>
      <c r="H808" s="4">
        <v>32451</v>
      </c>
      <c r="I808" s="4" t="str">
        <f>VLOOKUP(B808,Customers!$A:$D,4,FALSE)</f>
        <v>Premium</v>
      </c>
      <c r="J808" s="4" t="s">
        <v>35</v>
      </c>
      <c r="K808" s="4" t="s">
        <v>36</v>
      </c>
    </row>
    <row r="809" spans="1:11" x14ac:dyDescent="0.2">
      <c r="A809" s="4">
        <v>5808</v>
      </c>
      <c r="B809" s="4">
        <v>1253</v>
      </c>
      <c r="C809" s="8">
        <v>46100</v>
      </c>
      <c r="D809" s="8">
        <v>46106</v>
      </c>
      <c r="E809" s="10">
        <f t="shared" si="12"/>
        <v>6</v>
      </c>
      <c r="F809" s="4" t="s">
        <v>25</v>
      </c>
      <c r="G809" s="4" t="s">
        <v>13</v>
      </c>
      <c r="H809" s="4">
        <v>2058</v>
      </c>
      <c r="I809" s="4" t="str">
        <f>VLOOKUP(B809,Customers!$A:$D,4,FALSE)</f>
        <v>Regular</v>
      </c>
      <c r="J809" s="4" t="s">
        <v>35</v>
      </c>
      <c r="K809" s="4" t="s">
        <v>36</v>
      </c>
    </row>
    <row r="810" spans="1:11" x14ac:dyDescent="0.2">
      <c r="A810" s="4">
        <v>5809</v>
      </c>
      <c r="B810" s="4">
        <v>1154</v>
      </c>
      <c r="C810" s="8">
        <v>46062</v>
      </c>
      <c r="D810" s="8">
        <v>46068</v>
      </c>
      <c r="E810" s="10">
        <f t="shared" si="12"/>
        <v>6</v>
      </c>
      <c r="F810" s="4" t="s">
        <v>25</v>
      </c>
      <c r="G810" s="4" t="s">
        <v>12</v>
      </c>
      <c r="H810" s="4">
        <v>43148</v>
      </c>
      <c r="I810" s="4" t="str">
        <f>VLOOKUP(B810,Customers!$A:$D,4,FALSE)</f>
        <v>Regular</v>
      </c>
      <c r="J810" s="4" t="s">
        <v>37</v>
      </c>
      <c r="K810" s="4" t="s">
        <v>36</v>
      </c>
    </row>
    <row r="811" spans="1:11" x14ac:dyDescent="0.2">
      <c r="A811" s="4">
        <v>5810</v>
      </c>
      <c r="B811" s="4">
        <v>1252</v>
      </c>
      <c r="C811" s="8">
        <v>46129</v>
      </c>
      <c r="D811" s="8">
        <v>46133</v>
      </c>
      <c r="E811" s="10">
        <f t="shared" si="12"/>
        <v>4</v>
      </c>
      <c r="F811" s="4" t="s">
        <v>24</v>
      </c>
      <c r="G811" s="4" t="s">
        <v>12</v>
      </c>
      <c r="H811" s="4">
        <v>8122</v>
      </c>
      <c r="I811" s="4" t="str">
        <f>VLOOKUP(B811,Customers!$A:$D,4,FALSE)</f>
        <v>Regular</v>
      </c>
      <c r="J811" s="4" t="s">
        <v>37</v>
      </c>
      <c r="K811" s="4" t="s">
        <v>36</v>
      </c>
    </row>
    <row r="812" spans="1:11" x14ac:dyDescent="0.2">
      <c r="A812" s="4">
        <v>5811</v>
      </c>
      <c r="B812" s="4">
        <v>1186</v>
      </c>
      <c r="C812" s="8">
        <v>46149</v>
      </c>
      <c r="D812" s="8">
        <v>46152</v>
      </c>
      <c r="E812" s="10">
        <f t="shared" si="12"/>
        <v>3</v>
      </c>
      <c r="F812" s="4" t="s">
        <v>25</v>
      </c>
      <c r="G812" s="4" t="s">
        <v>11</v>
      </c>
      <c r="H812" s="4">
        <v>28878</v>
      </c>
      <c r="I812" s="4" t="str">
        <f>VLOOKUP(B812,Customers!$A:$D,4,FALSE)</f>
        <v>Premium</v>
      </c>
      <c r="J812" s="4" t="s">
        <v>37</v>
      </c>
      <c r="K812" s="4" t="s">
        <v>36</v>
      </c>
    </row>
    <row r="813" spans="1:11" x14ac:dyDescent="0.2">
      <c r="A813" s="4">
        <v>5812</v>
      </c>
      <c r="B813" s="4">
        <v>1192</v>
      </c>
      <c r="C813" s="8">
        <v>46144</v>
      </c>
      <c r="D813" s="8">
        <v>46147</v>
      </c>
      <c r="E813" s="10">
        <f t="shared" si="12"/>
        <v>3</v>
      </c>
      <c r="F813" s="4" t="s">
        <v>20</v>
      </c>
      <c r="G813" s="4" t="s">
        <v>14</v>
      </c>
      <c r="H813" s="4">
        <v>10972</v>
      </c>
      <c r="I813" s="4" t="str">
        <f>VLOOKUP(B813,Customers!$A:$D,4,FALSE)</f>
        <v>Regular</v>
      </c>
      <c r="J813" s="4" t="s">
        <v>35</v>
      </c>
      <c r="K813" s="4" t="s">
        <v>36</v>
      </c>
    </row>
    <row r="814" spans="1:11" x14ac:dyDescent="0.2">
      <c r="A814" s="4">
        <v>5813</v>
      </c>
      <c r="B814" s="4">
        <v>1237</v>
      </c>
      <c r="C814" s="8">
        <v>46060</v>
      </c>
      <c r="D814" s="8">
        <v>46067</v>
      </c>
      <c r="E814" s="10">
        <f t="shared" si="12"/>
        <v>7</v>
      </c>
      <c r="F814" s="4" t="s">
        <v>18</v>
      </c>
      <c r="G814" s="4" t="s">
        <v>14</v>
      </c>
      <c r="H814" s="4">
        <v>11002</v>
      </c>
      <c r="I814" s="4" t="str">
        <f>VLOOKUP(B814,Customers!$A:$D,4,FALSE)</f>
        <v>Premium</v>
      </c>
      <c r="J814" s="4" t="s">
        <v>35</v>
      </c>
      <c r="K814" s="4" t="s">
        <v>36</v>
      </c>
    </row>
    <row r="815" spans="1:11" x14ac:dyDescent="0.2">
      <c r="A815" s="4">
        <v>5814</v>
      </c>
      <c r="B815" s="4">
        <v>1215</v>
      </c>
      <c r="C815" s="8">
        <v>46092</v>
      </c>
      <c r="D815" s="8">
        <v>46099</v>
      </c>
      <c r="E815" s="10">
        <f t="shared" si="12"/>
        <v>7</v>
      </c>
      <c r="F815" s="4" t="s">
        <v>19</v>
      </c>
      <c r="G815" s="4" t="s">
        <v>12</v>
      </c>
      <c r="H815" s="4">
        <v>19296</v>
      </c>
      <c r="I815" s="4" t="str">
        <f>VLOOKUP(B815,Customers!$A:$D,4,FALSE)</f>
        <v>Premium</v>
      </c>
      <c r="J815" s="4" t="s">
        <v>37</v>
      </c>
      <c r="K815" s="4" t="s">
        <v>36</v>
      </c>
    </row>
    <row r="816" spans="1:11" x14ac:dyDescent="0.2">
      <c r="A816" s="4">
        <v>5815</v>
      </c>
      <c r="B816" s="4">
        <v>1264</v>
      </c>
      <c r="C816" s="8">
        <v>46158</v>
      </c>
      <c r="D816" s="8">
        <v>46161</v>
      </c>
      <c r="E816" s="10">
        <f t="shared" si="12"/>
        <v>3</v>
      </c>
      <c r="F816" s="4" t="s">
        <v>24</v>
      </c>
      <c r="G816" s="4" t="s">
        <v>13</v>
      </c>
      <c r="H816" s="4">
        <v>6493</v>
      </c>
      <c r="I816" s="4" t="str">
        <f>VLOOKUP(B816,Customers!$A:$D,4,FALSE)</f>
        <v>Premium</v>
      </c>
      <c r="J816" s="4" t="s">
        <v>35</v>
      </c>
      <c r="K816" s="4" t="s">
        <v>36</v>
      </c>
    </row>
    <row r="817" spans="1:11" x14ac:dyDescent="0.2">
      <c r="A817" s="4">
        <v>5816</v>
      </c>
      <c r="B817" s="4">
        <v>1162</v>
      </c>
      <c r="C817" s="8">
        <v>46162</v>
      </c>
      <c r="D817" s="8">
        <v>46169</v>
      </c>
      <c r="E817" s="10">
        <f t="shared" si="12"/>
        <v>7</v>
      </c>
      <c r="F817" s="4" t="s">
        <v>22</v>
      </c>
      <c r="G817" s="4" t="s">
        <v>14</v>
      </c>
      <c r="H817" s="4">
        <v>45221</v>
      </c>
      <c r="I817" s="4" t="str">
        <f>VLOOKUP(B817,Customers!$A:$D,4,FALSE)</f>
        <v>Premium</v>
      </c>
      <c r="J817" s="4" t="s">
        <v>37</v>
      </c>
      <c r="K817" s="4" t="s">
        <v>36</v>
      </c>
    </row>
    <row r="818" spans="1:11" x14ac:dyDescent="0.2">
      <c r="A818" s="4">
        <v>5817</v>
      </c>
      <c r="B818" s="4">
        <v>1297</v>
      </c>
      <c r="C818" s="8">
        <v>46047</v>
      </c>
      <c r="D818" s="8">
        <v>46057</v>
      </c>
      <c r="E818" s="10">
        <f t="shared" si="12"/>
        <v>10</v>
      </c>
      <c r="F818" s="4" t="s">
        <v>19</v>
      </c>
      <c r="G818" s="4" t="s">
        <v>13</v>
      </c>
      <c r="H818" s="4">
        <v>1145</v>
      </c>
      <c r="I818" s="4" t="str">
        <f>VLOOKUP(B818,Customers!$A:$D,4,FALSE)</f>
        <v>Premium</v>
      </c>
      <c r="J818" s="4" t="s">
        <v>35</v>
      </c>
      <c r="K818" s="4" t="s">
        <v>36</v>
      </c>
    </row>
    <row r="819" spans="1:11" x14ac:dyDescent="0.2">
      <c r="A819" s="4">
        <v>5818</v>
      </c>
      <c r="B819" s="4">
        <v>1191</v>
      </c>
      <c r="C819" s="8">
        <v>46155</v>
      </c>
      <c r="D819" s="8">
        <v>46161</v>
      </c>
      <c r="E819" s="10">
        <f t="shared" si="12"/>
        <v>6</v>
      </c>
      <c r="F819" s="4" t="s">
        <v>25</v>
      </c>
      <c r="G819" s="4" t="s">
        <v>15</v>
      </c>
      <c r="H819" s="4">
        <v>22602</v>
      </c>
      <c r="I819" s="4" t="str">
        <f>VLOOKUP(B819,Customers!$A:$D,4,FALSE)</f>
        <v>Regular</v>
      </c>
      <c r="J819" s="4" t="s">
        <v>35</v>
      </c>
      <c r="K819" s="4" t="s">
        <v>36</v>
      </c>
    </row>
    <row r="820" spans="1:11" x14ac:dyDescent="0.2">
      <c r="A820" s="4">
        <v>5819</v>
      </c>
      <c r="B820" s="4">
        <v>1080</v>
      </c>
      <c r="C820" s="8">
        <v>46049</v>
      </c>
      <c r="D820" s="8">
        <v>46054</v>
      </c>
      <c r="E820" s="10">
        <f t="shared" si="12"/>
        <v>5</v>
      </c>
      <c r="F820" s="4" t="s">
        <v>24</v>
      </c>
      <c r="G820" s="4" t="s">
        <v>13</v>
      </c>
      <c r="H820" s="4">
        <v>36912</v>
      </c>
      <c r="I820" s="4" t="str">
        <f>VLOOKUP(B820,Customers!$A:$D,4,FALSE)</f>
        <v>Premium</v>
      </c>
      <c r="J820" s="4" t="s">
        <v>35</v>
      </c>
      <c r="K820" s="4" t="s">
        <v>36</v>
      </c>
    </row>
    <row r="821" spans="1:11" x14ac:dyDescent="0.2">
      <c r="A821" s="4">
        <v>5820</v>
      </c>
      <c r="B821" s="4">
        <v>1040</v>
      </c>
      <c r="C821" s="8">
        <v>46129</v>
      </c>
      <c r="D821" s="8">
        <v>46138</v>
      </c>
      <c r="E821" s="10">
        <f t="shared" si="12"/>
        <v>9</v>
      </c>
      <c r="F821" s="4" t="s">
        <v>23</v>
      </c>
      <c r="G821" s="4" t="s">
        <v>13</v>
      </c>
      <c r="H821" s="4">
        <v>1438</v>
      </c>
      <c r="I821" s="4" t="str">
        <f>VLOOKUP(B821,Customers!$A:$D,4,FALSE)</f>
        <v>Premium</v>
      </c>
      <c r="J821" s="4" t="s">
        <v>37</v>
      </c>
      <c r="K821" s="4" t="s">
        <v>36</v>
      </c>
    </row>
    <row r="822" spans="1:11" x14ac:dyDescent="0.2">
      <c r="A822" s="4">
        <v>5821</v>
      </c>
      <c r="B822" s="4">
        <v>1186</v>
      </c>
      <c r="C822" s="8">
        <v>46112</v>
      </c>
      <c r="D822" s="8">
        <v>46118</v>
      </c>
      <c r="E822" s="10">
        <f t="shared" si="12"/>
        <v>6</v>
      </c>
      <c r="F822" s="4" t="s">
        <v>18</v>
      </c>
      <c r="G822" s="4" t="s">
        <v>15</v>
      </c>
      <c r="H822" s="4">
        <v>39467</v>
      </c>
      <c r="I822" s="4" t="str">
        <f>VLOOKUP(B822,Customers!$A:$D,4,FALSE)</f>
        <v>Premium</v>
      </c>
      <c r="J822" s="4" t="s">
        <v>37</v>
      </c>
      <c r="K822" s="4" t="s">
        <v>36</v>
      </c>
    </row>
    <row r="823" spans="1:11" x14ac:dyDescent="0.2">
      <c r="A823" s="4">
        <v>5822</v>
      </c>
      <c r="B823" s="4">
        <v>1015</v>
      </c>
      <c r="C823" s="8">
        <v>46067</v>
      </c>
      <c r="D823" s="8">
        <v>46073</v>
      </c>
      <c r="E823" s="10">
        <f t="shared" si="12"/>
        <v>6</v>
      </c>
      <c r="F823" s="4" t="s">
        <v>23</v>
      </c>
      <c r="G823" s="4" t="s">
        <v>13</v>
      </c>
      <c r="H823" s="4">
        <v>8735</v>
      </c>
      <c r="I823" s="4" t="str">
        <f>VLOOKUP(B823,Customers!$A:$D,4,FALSE)</f>
        <v>Regular</v>
      </c>
      <c r="J823" s="4" t="s">
        <v>35</v>
      </c>
      <c r="K823" s="4" t="s">
        <v>36</v>
      </c>
    </row>
    <row r="824" spans="1:11" x14ac:dyDescent="0.2">
      <c r="A824" s="4">
        <v>5823</v>
      </c>
      <c r="B824" s="4">
        <v>1065</v>
      </c>
      <c r="C824" s="8">
        <v>46081</v>
      </c>
      <c r="D824" s="8">
        <v>46087</v>
      </c>
      <c r="E824" s="10">
        <f t="shared" si="12"/>
        <v>6</v>
      </c>
      <c r="F824" s="4" t="s">
        <v>24</v>
      </c>
      <c r="G824" s="4" t="s">
        <v>13</v>
      </c>
      <c r="H824" s="4">
        <v>5451</v>
      </c>
      <c r="I824" s="4" t="str">
        <f>VLOOKUP(B824,Customers!$A:$D,4,FALSE)</f>
        <v>Premium</v>
      </c>
      <c r="J824" s="4" t="s">
        <v>37</v>
      </c>
      <c r="K824" s="4" t="s">
        <v>36</v>
      </c>
    </row>
    <row r="825" spans="1:11" x14ac:dyDescent="0.2">
      <c r="A825" s="4">
        <v>5824</v>
      </c>
      <c r="B825" s="4">
        <v>1010</v>
      </c>
      <c r="C825" s="8">
        <v>46051</v>
      </c>
      <c r="D825" s="8">
        <v>46054</v>
      </c>
      <c r="E825" s="10">
        <f t="shared" si="12"/>
        <v>3</v>
      </c>
      <c r="F825" s="4" t="s">
        <v>25</v>
      </c>
      <c r="G825" s="4" t="s">
        <v>15</v>
      </c>
      <c r="H825" s="4">
        <v>3086</v>
      </c>
      <c r="I825" s="4" t="str">
        <f>VLOOKUP(B825,Customers!$A:$D,4,FALSE)</f>
        <v>Premium</v>
      </c>
      <c r="J825" s="4" t="s">
        <v>35</v>
      </c>
      <c r="K825" s="4" t="s">
        <v>36</v>
      </c>
    </row>
    <row r="826" spans="1:11" x14ac:dyDescent="0.2">
      <c r="A826" s="4">
        <v>5825</v>
      </c>
      <c r="B826" s="4">
        <v>1263</v>
      </c>
      <c r="C826" s="8">
        <v>46050</v>
      </c>
      <c r="D826" s="8">
        <v>46052</v>
      </c>
      <c r="E826" s="10">
        <f t="shared" si="12"/>
        <v>2</v>
      </c>
      <c r="F826" s="4" t="s">
        <v>20</v>
      </c>
      <c r="G826" s="4" t="s">
        <v>15</v>
      </c>
      <c r="H826" s="4">
        <v>8093</v>
      </c>
      <c r="I826" s="4" t="str">
        <f>VLOOKUP(B826,Customers!$A:$D,4,FALSE)</f>
        <v>Premium</v>
      </c>
      <c r="J826" s="4" t="s">
        <v>37</v>
      </c>
      <c r="K826" s="4" t="s">
        <v>36</v>
      </c>
    </row>
    <row r="827" spans="1:11" x14ac:dyDescent="0.2">
      <c r="A827" s="4">
        <v>5826</v>
      </c>
      <c r="B827" s="4">
        <v>1155</v>
      </c>
      <c r="C827" s="8">
        <v>46034</v>
      </c>
      <c r="D827" s="8">
        <v>46037</v>
      </c>
      <c r="E827" s="10">
        <f t="shared" si="12"/>
        <v>3</v>
      </c>
      <c r="F827" s="4" t="s">
        <v>20</v>
      </c>
      <c r="G827" s="4" t="s">
        <v>12</v>
      </c>
      <c r="H827" s="4">
        <v>8412</v>
      </c>
      <c r="I827" s="4" t="str">
        <f>VLOOKUP(B827,Customers!$A:$D,4,FALSE)</f>
        <v>Regular</v>
      </c>
      <c r="J827" s="4" t="s">
        <v>35</v>
      </c>
      <c r="K827" s="4" t="s">
        <v>36</v>
      </c>
    </row>
    <row r="828" spans="1:11" x14ac:dyDescent="0.2">
      <c r="A828" s="4">
        <v>5827</v>
      </c>
      <c r="B828" s="4">
        <v>1095</v>
      </c>
      <c r="C828" s="8">
        <v>46173</v>
      </c>
      <c r="D828" s="8">
        <v>46178</v>
      </c>
      <c r="E828" s="10">
        <f t="shared" si="12"/>
        <v>5</v>
      </c>
      <c r="F828" s="4" t="s">
        <v>19</v>
      </c>
      <c r="G828" s="4" t="s">
        <v>12</v>
      </c>
      <c r="H828" s="4">
        <v>6249</v>
      </c>
      <c r="I828" s="4" t="str">
        <f>VLOOKUP(B828,Customers!$A:$D,4,FALSE)</f>
        <v>Regular</v>
      </c>
      <c r="J828" s="4" t="s">
        <v>35</v>
      </c>
      <c r="K828" s="4" t="s">
        <v>36</v>
      </c>
    </row>
    <row r="829" spans="1:11" x14ac:dyDescent="0.2">
      <c r="A829" s="4">
        <v>5828</v>
      </c>
      <c r="B829" s="4">
        <v>1181</v>
      </c>
      <c r="C829" s="8">
        <v>46094</v>
      </c>
      <c r="D829" s="8">
        <v>46101</v>
      </c>
      <c r="E829" s="10">
        <f t="shared" si="12"/>
        <v>7</v>
      </c>
      <c r="F829" s="4" t="s">
        <v>18</v>
      </c>
      <c r="G829" s="4" t="s">
        <v>11</v>
      </c>
      <c r="H829" s="4">
        <v>48046</v>
      </c>
      <c r="I829" s="4" t="str">
        <f>VLOOKUP(B829,Customers!$A:$D,4,FALSE)</f>
        <v>Regular</v>
      </c>
      <c r="J829" s="4" t="s">
        <v>35</v>
      </c>
      <c r="K829" s="4" t="s">
        <v>36</v>
      </c>
    </row>
    <row r="830" spans="1:11" x14ac:dyDescent="0.2">
      <c r="A830" s="4">
        <v>5829</v>
      </c>
      <c r="B830" s="4">
        <v>1051</v>
      </c>
      <c r="C830" s="8">
        <v>46152</v>
      </c>
      <c r="D830" s="8">
        <v>46155</v>
      </c>
      <c r="E830" s="10">
        <f t="shared" si="12"/>
        <v>3</v>
      </c>
      <c r="F830" s="4" t="s">
        <v>20</v>
      </c>
      <c r="G830" s="4" t="s">
        <v>11</v>
      </c>
      <c r="H830" s="4">
        <v>14521</v>
      </c>
      <c r="I830" s="4" t="str">
        <f>VLOOKUP(B830,Customers!$A:$D,4,FALSE)</f>
        <v>Premium</v>
      </c>
      <c r="J830" s="4" t="s">
        <v>35</v>
      </c>
      <c r="K830" s="4" t="s">
        <v>36</v>
      </c>
    </row>
    <row r="831" spans="1:11" x14ac:dyDescent="0.2">
      <c r="A831" s="4">
        <v>5830</v>
      </c>
      <c r="B831" s="4">
        <v>1276</v>
      </c>
      <c r="C831" s="8">
        <v>46095</v>
      </c>
      <c r="D831" s="8">
        <v>46099</v>
      </c>
      <c r="E831" s="10">
        <f t="shared" si="12"/>
        <v>4</v>
      </c>
      <c r="F831" s="4" t="s">
        <v>20</v>
      </c>
      <c r="G831" s="4" t="s">
        <v>12</v>
      </c>
      <c r="H831" s="4">
        <v>14325</v>
      </c>
      <c r="I831" s="4" t="str">
        <f>VLOOKUP(B831,Customers!$A:$D,4,FALSE)</f>
        <v>Premium</v>
      </c>
      <c r="J831" s="4" t="s">
        <v>37</v>
      </c>
      <c r="K831" s="4" t="s">
        <v>36</v>
      </c>
    </row>
    <row r="832" spans="1:11" x14ac:dyDescent="0.2">
      <c r="A832" s="4">
        <v>5831</v>
      </c>
      <c r="B832" s="4">
        <v>1226</v>
      </c>
      <c r="C832" s="8">
        <v>46116</v>
      </c>
      <c r="D832" s="8">
        <v>46120</v>
      </c>
      <c r="E832" s="10">
        <f t="shared" si="12"/>
        <v>4</v>
      </c>
      <c r="F832" s="4" t="s">
        <v>23</v>
      </c>
      <c r="G832" s="4" t="s">
        <v>13</v>
      </c>
      <c r="H832" s="4">
        <v>23553</v>
      </c>
      <c r="I832" s="4" t="str">
        <f>VLOOKUP(B832,Customers!$A:$D,4,FALSE)</f>
        <v>Regular</v>
      </c>
      <c r="J832" s="4" t="s">
        <v>37</v>
      </c>
      <c r="K832" s="4" t="s">
        <v>36</v>
      </c>
    </row>
    <row r="833" spans="1:11" x14ac:dyDescent="0.2">
      <c r="A833" s="4">
        <v>5832</v>
      </c>
      <c r="B833" s="4">
        <v>1264</v>
      </c>
      <c r="C833" s="8">
        <v>46131</v>
      </c>
      <c r="D833" s="8">
        <v>46136</v>
      </c>
      <c r="E833" s="10">
        <f t="shared" si="12"/>
        <v>5</v>
      </c>
      <c r="F833" s="4" t="s">
        <v>24</v>
      </c>
      <c r="G833" s="4" t="s">
        <v>15</v>
      </c>
      <c r="H833" s="4">
        <v>7695</v>
      </c>
      <c r="I833" s="4" t="str">
        <f>VLOOKUP(B833,Customers!$A:$D,4,FALSE)</f>
        <v>Premium</v>
      </c>
      <c r="J833" s="4" t="s">
        <v>37</v>
      </c>
      <c r="K833" s="4" t="s">
        <v>36</v>
      </c>
    </row>
    <row r="834" spans="1:11" x14ac:dyDescent="0.2">
      <c r="A834" s="4">
        <v>5833</v>
      </c>
      <c r="B834" s="4">
        <v>1057</v>
      </c>
      <c r="C834" s="8">
        <v>46054</v>
      </c>
      <c r="D834" s="8">
        <v>46063</v>
      </c>
      <c r="E834" s="10">
        <f t="shared" si="12"/>
        <v>9</v>
      </c>
      <c r="F834" s="4" t="s">
        <v>18</v>
      </c>
      <c r="G834" s="4" t="s">
        <v>15</v>
      </c>
      <c r="H834" s="4">
        <v>23974</v>
      </c>
      <c r="I834" s="4" t="str">
        <f>VLOOKUP(B834,Customers!$A:$D,4,FALSE)</f>
        <v>Regular</v>
      </c>
      <c r="J834" s="4" t="s">
        <v>37</v>
      </c>
      <c r="K834" s="4" t="s">
        <v>36</v>
      </c>
    </row>
    <row r="835" spans="1:11" x14ac:dyDescent="0.2">
      <c r="A835" s="4">
        <v>5834</v>
      </c>
      <c r="B835" s="4">
        <v>1043</v>
      </c>
      <c r="C835" s="8">
        <v>46165</v>
      </c>
      <c r="D835" s="8">
        <v>46167</v>
      </c>
      <c r="E835" s="10">
        <f t="shared" ref="E835:E898" si="13">D835-C835</f>
        <v>2</v>
      </c>
      <c r="F835" s="4" t="s">
        <v>19</v>
      </c>
      <c r="G835" s="4" t="s">
        <v>15</v>
      </c>
      <c r="H835" s="4">
        <v>7883</v>
      </c>
      <c r="I835" s="4" t="str">
        <f>VLOOKUP(B835,Customers!$A:$D,4,FALSE)</f>
        <v>Regular</v>
      </c>
      <c r="J835" s="4" t="s">
        <v>37</v>
      </c>
      <c r="K835" s="4" t="s">
        <v>36</v>
      </c>
    </row>
    <row r="836" spans="1:11" x14ac:dyDescent="0.2">
      <c r="A836" s="4">
        <v>5835</v>
      </c>
      <c r="B836" s="4">
        <v>1160</v>
      </c>
      <c r="C836" s="8">
        <v>46095</v>
      </c>
      <c r="D836" s="8">
        <v>46104</v>
      </c>
      <c r="E836" s="10">
        <f t="shared" si="13"/>
        <v>9</v>
      </c>
      <c r="F836" s="4" t="s">
        <v>25</v>
      </c>
      <c r="G836" s="4" t="s">
        <v>13</v>
      </c>
      <c r="H836" s="4">
        <v>36601</v>
      </c>
      <c r="I836" s="4" t="str">
        <f>VLOOKUP(B836,Customers!$A:$D,4,FALSE)</f>
        <v>Regular</v>
      </c>
      <c r="J836" s="4" t="s">
        <v>37</v>
      </c>
      <c r="K836" s="4" t="s">
        <v>36</v>
      </c>
    </row>
    <row r="837" spans="1:11" x14ac:dyDescent="0.2">
      <c r="A837" s="4">
        <v>5836</v>
      </c>
      <c r="B837" s="4">
        <v>1097</v>
      </c>
      <c r="C837" s="8">
        <v>46097</v>
      </c>
      <c r="D837" s="8">
        <v>46105</v>
      </c>
      <c r="E837" s="10">
        <f t="shared" si="13"/>
        <v>8</v>
      </c>
      <c r="F837" s="4" t="s">
        <v>23</v>
      </c>
      <c r="G837" s="4" t="s">
        <v>15</v>
      </c>
      <c r="H837" s="4">
        <v>44807</v>
      </c>
      <c r="I837" s="4" t="str">
        <f>VLOOKUP(B837,Customers!$A:$D,4,FALSE)</f>
        <v>Premium</v>
      </c>
      <c r="J837" s="4" t="s">
        <v>37</v>
      </c>
      <c r="K837" s="4" t="s">
        <v>36</v>
      </c>
    </row>
    <row r="838" spans="1:11" x14ac:dyDescent="0.2">
      <c r="A838" s="4">
        <v>5837</v>
      </c>
      <c r="B838" s="4">
        <v>1252</v>
      </c>
      <c r="C838" s="8">
        <v>46068</v>
      </c>
      <c r="D838" s="8">
        <v>46070</v>
      </c>
      <c r="E838" s="10">
        <f t="shared" si="13"/>
        <v>2</v>
      </c>
      <c r="F838" s="4" t="s">
        <v>23</v>
      </c>
      <c r="G838" s="4" t="s">
        <v>15</v>
      </c>
      <c r="H838" s="4">
        <v>29008</v>
      </c>
      <c r="I838" s="4" t="str">
        <f>VLOOKUP(B838,Customers!$A:$D,4,FALSE)</f>
        <v>Regular</v>
      </c>
      <c r="J838" s="4" t="s">
        <v>35</v>
      </c>
      <c r="K838" s="4" t="s">
        <v>36</v>
      </c>
    </row>
    <row r="839" spans="1:11" x14ac:dyDescent="0.2">
      <c r="A839" s="4">
        <v>5838</v>
      </c>
      <c r="B839" s="4">
        <v>1203</v>
      </c>
      <c r="C839" s="8">
        <v>46053</v>
      </c>
      <c r="D839" s="8">
        <v>46057</v>
      </c>
      <c r="E839" s="10">
        <f t="shared" si="13"/>
        <v>4</v>
      </c>
      <c r="F839" s="4" t="s">
        <v>21</v>
      </c>
      <c r="G839" s="4" t="s">
        <v>11</v>
      </c>
      <c r="H839" s="4">
        <v>6966</v>
      </c>
      <c r="I839" s="4" t="str">
        <f>VLOOKUP(B839,Customers!$A:$D,4,FALSE)</f>
        <v>Regular</v>
      </c>
      <c r="J839" s="4" t="s">
        <v>35</v>
      </c>
      <c r="K839" s="4" t="s">
        <v>36</v>
      </c>
    </row>
    <row r="840" spans="1:11" x14ac:dyDescent="0.2">
      <c r="A840" s="4">
        <v>5839</v>
      </c>
      <c r="B840" s="4">
        <v>1102</v>
      </c>
      <c r="C840" s="8">
        <v>46039</v>
      </c>
      <c r="D840" s="8">
        <v>46046</v>
      </c>
      <c r="E840" s="10">
        <f t="shared" si="13"/>
        <v>7</v>
      </c>
      <c r="F840" s="4" t="s">
        <v>19</v>
      </c>
      <c r="G840" s="4" t="s">
        <v>13</v>
      </c>
      <c r="H840" s="4">
        <v>39291</v>
      </c>
      <c r="I840" s="4" t="str">
        <f>VLOOKUP(B840,Customers!$A:$D,4,FALSE)</f>
        <v>Premium</v>
      </c>
      <c r="J840" s="4" t="s">
        <v>37</v>
      </c>
      <c r="K840" s="4" t="s">
        <v>36</v>
      </c>
    </row>
    <row r="841" spans="1:11" x14ac:dyDescent="0.2">
      <c r="A841" s="4">
        <v>5840</v>
      </c>
      <c r="B841" s="4">
        <v>1218</v>
      </c>
      <c r="C841" s="8">
        <v>46054</v>
      </c>
      <c r="D841" s="8">
        <v>46059</v>
      </c>
      <c r="E841" s="10">
        <f t="shared" si="13"/>
        <v>5</v>
      </c>
      <c r="F841" s="4" t="s">
        <v>25</v>
      </c>
      <c r="G841" s="4" t="s">
        <v>14</v>
      </c>
      <c r="H841" s="4">
        <v>47059</v>
      </c>
      <c r="I841" s="4" t="str">
        <f>VLOOKUP(B841,Customers!$A:$D,4,FALSE)</f>
        <v>Premium</v>
      </c>
      <c r="J841" s="4" t="s">
        <v>37</v>
      </c>
      <c r="K841" s="4" t="s">
        <v>36</v>
      </c>
    </row>
    <row r="842" spans="1:11" x14ac:dyDescent="0.2">
      <c r="A842" s="4">
        <v>5841</v>
      </c>
      <c r="B842" s="4">
        <v>1244</v>
      </c>
      <c r="C842" s="8">
        <v>46125</v>
      </c>
      <c r="D842" s="8">
        <v>46132</v>
      </c>
      <c r="E842" s="10">
        <f t="shared" si="13"/>
        <v>7</v>
      </c>
      <c r="F842" s="4" t="s">
        <v>21</v>
      </c>
      <c r="G842" s="4" t="s">
        <v>15</v>
      </c>
      <c r="H842" s="4">
        <v>33816</v>
      </c>
      <c r="I842" s="4" t="str">
        <f>VLOOKUP(B842,Customers!$A:$D,4,FALSE)</f>
        <v>Premium</v>
      </c>
      <c r="J842" s="4" t="s">
        <v>37</v>
      </c>
      <c r="K842" s="4" t="s">
        <v>36</v>
      </c>
    </row>
    <row r="843" spans="1:11" x14ac:dyDescent="0.2">
      <c r="A843" s="4">
        <v>5842</v>
      </c>
      <c r="B843" s="4">
        <v>1056</v>
      </c>
      <c r="C843" s="8">
        <v>46060</v>
      </c>
      <c r="D843" s="8">
        <v>46069</v>
      </c>
      <c r="E843" s="10">
        <f t="shared" si="13"/>
        <v>9</v>
      </c>
      <c r="F843" s="4" t="s">
        <v>23</v>
      </c>
      <c r="G843" s="4" t="s">
        <v>14</v>
      </c>
      <c r="H843" s="4">
        <v>32369</v>
      </c>
      <c r="I843" s="4" t="str">
        <f>VLOOKUP(B843,Customers!$A:$D,4,FALSE)</f>
        <v>Regular</v>
      </c>
      <c r="J843" s="4" t="s">
        <v>37</v>
      </c>
      <c r="K843" s="4" t="s">
        <v>36</v>
      </c>
    </row>
    <row r="844" spans="1:11" x14ac:dyDescent="0.2">
      <c r="A844" s="4">
        <v>5843</v>
      </c>
      <c r="B844" s="4">
        <v>1016</v>
      </c>
      <c r="C844" s="8">
        <v>46082</v>
      </c>
      <c r="D844" s="8">
        <v>46086</v>
      </c>
      <c r="E844" s="10">
        <f t="shared" si="13"/>
        <v>4</v>
      </c>
      <c r="F844" s="4" t="s">
        <v>23</v>
      </c>
      <c r="G844" s="4" t="s">
        <v>12</v>
      </c>
      <c r="H844" s="4">
        <v>4771</v>
      </c>
      <c r="I844" s="4" t="str">
        <f>VLOOKUP(B844,Customers!$A:$D,4,FALSE)</f>
        <v>Premium</v>
      </c>
      <c r="J844" s="4" t="s">
        <v>37</v>
      </c>
      <c r="K844" s="4" t="s">
        <v>36</v>
      </c>
    </row>
    <row r="845" spans="1:11" x14ac:dyDescent="0.2">
      <c r="A845" s="4">
        <v>5844</v>
      </c>
      <c r="B845" s="4">
        <v>1196</v>
      </c>
      <c r="C845" s="8">
        <v>46029</v>
      </c>
      <c r="D845" s="8">
        <v>46033</v>
      </c>
      <c r="E845" s="10">
        <f t="shared" si="13"/>
        <v>4</v>
      </c>
      <c r="F845" s="4" t="s">
        <v>19</v>
      </c>
      <c r="G845" s="4" t="s">
        <v>13</v>
      </c>
      <c r="H845" s="4">
        <v>20141</v>
      </c>
      <c r="I845" s="4" t="str">
        <f>VLOOKUP(B845,Customers!$A:$D,4,FALSE)</f>
        <v>Premium</v>
      </c>
      <c r="J845" s="4" t="s">
        <v>35</v>
      </c>
      <c r="K845" s="4" t="s">
        <v>36</v>
      </c>
    </row>
    <row r="846" spans="1:11" x14ac:dyDescent="0.2">
      <c r="A846" s="4">
        <v>5845</v>
      </c>
      <c r="B846" s="4">
        <v>1253</v>
      </c>
      <c r="C846" s="8">
        <v>46042</v>
      </c>
      <c r="D846" s="8">
        <v>46052</v>
      </c>
      <c r="E846" s="10">
        <f t="shared" si="13"/>
        <v>10</v>
      </c>
      <c r="F846" s="4" t="s">
        <v>25</v>
      </c>
      <c r="G846" s="4" t="s">
        <v>13</v>
      </c>
      <c r="H846" s="4">
        <v>19538</v>
      </c>
      <c r="I846" s="4" t="str">
        <f>VLOOKUP(B846,Customers!$A:$D,4,FALSE)</f>
        <v>Regular</v>
      </c>
      <c r="J846" s="4" t="s">
        <v>37</v>
      </c>
      <c r="K846" s="4" t="s">
        <v>36</v>
      </c>
    </row>
    <row r="847" spans="1:11" x14ac:dyDescent="0.2">
      <c r="A847" s="4">
        <v>5846</v>
      </c>
      <c r="B847" s="4">
        <v>1134</v>
      </c>
      <c r="C847" s="8">
        <v>46148</v>
      </c>
      <c r="D847" s="8">
        <v>46158</v>
      </c>
      <c r="E847" s="10">
        <f t="shared" si="13"/>
        <v>10</v>
      </c>
      <c r="F847" s="4" t="s">
        <v>19</v>
      </c>
      <c r="G847" s="4" t="s">
        <v>11</v>
      </c>
      <c r="H847" s="4">
        <v>36123</v>
      </c>
      <c r="I847" s="4" t="str">
        <f>VLOOKUP(B847,Customers!$A:$D,4,FALSE)</f>
        <v>Premium</v>
      </c>
      <c r="J847" s="4" t="s">
        <v>35</v>
      </c>
      <c r="K847" s="4" t="s">
        <v>36</v>
      </c>
    </row>
    <row r="848" spans="1:11" x14ac:dyDescent="0.2">
      <c r="A848" s="4">
        <v>5847</v>
      </c>
      <c r="B848" s="4">
        <v>1061</v>
      </c>
      <c r="C848" s="8">
        <v>46031</v>
      </c>
      <c r="D848" s="8">
        <v>46039</v>
      </c>
      <c r="E848" s="10">
        <f t="shared" si="13"/>
        <v>8</v>
      </c>
      <c r="F848" s="4" t="s">
        <v>21</v>
      </c>
      <c r="G848" s="4" t="s">
        <v>15</v>
      </c>
      <c r="H848" s="4">
        <v>20914</v>
      </c>
      <c r="I848" s="4" t="str">
        <f>VLOOKUP(B848,Customers!$A:$D,4,FALSE)</f>
        <v>Regular</v>
      </c>
      <c r="J848" s="4" t="s">
        <v>37</v>
      </c>
      <c r="K848" s="4" t="s">
        <v>36</v>
      </c>
    </row>
    <row r="849" spans="1:11" x14ac:dyDescent="0.2">
      <c r="A849" s="4">
        <v>5848</v>
      </c>
      <c r="B849" s="4">
        <v>1019</v>
      </c>
      <c r="C849" s="8">
        <v>46136</v>
      </c>
      <c r="D849" s="8">
        <v>46145</v>
      </c>
      <c r="E849" s="10">
        <f t="shared" si="13"/>
        <v>9</v>
      </c>
      <c r="F849" s="4" t="s">
        <v>20</v>
      </c>
      <c r="G849" s="4" t="s">
        <v>13</v>
      </c>
      <c r="H849" s="4">
        <v>36781</v>
      </c>
      <c r="I849" s="4" t="str">
        <f>VLOOKUP(B849,Customers!$A:$D,4,FALSE)</f>
        <v>Regular</v>
      </c>
      <c r="J849" s="4" t="s">
        <v>37</v>
      </c>
      <c r="K849" s="4" t="s">
        <v>36</v>
      </c>
    </row>
    <row r="850" spans="1:11" x14ac:dyDescent="0.2">
      <c r="A850" s="4">
        <v>5849</v>
      </c>
      <c r="B850" s="4">
        <v>1221</v>
      </c>
      <c r="C850" s="8">
        <v>46065</v>
      </c>
      <c r="D850" s="8">
        <v>46074</v>
      </c>
      <c r="E850" s="10">
        <f t="shared" si="13"/>
        <v>9</v>
      </c>
      <c r="F850" s="4" t="s">
        <v>18</v>
      </c>
      <c r="G850" s="4" t="s">
        <v>14</v>
      </c>
      <c r="H850" s="4">
        <v>47205</v>
      </c>
      <c r="I850" s="4" t="str">
        <f>VLOOKUP(B850,Customers!$A:$D,4,FALSE)</f>
        <v>Premium</v>
      </c>
      <c r="J850" s="4" t="s">
        <v>37</v>
      </c>
      <c r="K850" s="4" t="s">
        <v>36</v>
      </c>
    </row>
    <row r="851" spans="1:11" x14ac:dyDescent="0.2">
      <c r="A851" s="4">
        <v>5850</v>
      </c>
      <c r="B851" s="4">
        <v>1292</v>
      </c>
      <c r="C851" s="8">
        <v>46147</v>
      </c>
      <c r="D851" s="8">
        <v>46150</v>
      </c>
      <c r="E851" s="10">
        <f t="shared" si="13"/>
        <v>3</v>
      </c>
      <c r="F851" s="4" t="s">
        <v>25</v>
      </c>
      <c r="G851" s="4" t="s">
        <v>11</v>
      </c>
      <c r="H851" s="4">
        <v>45216</v>
      </c>
      <c r="I851" s="4" t="str">
        <f>VLOOKUP(B851,Customers!$A:$D,4,FALSE)</f>
        <v>Regular</v>
      </c>
      <c r="J851" s="4" t="s">
        <v>37</v>
      </c>
      <c r="K851" s="4" t="s">
        <v>36</v>
      </c>
    </row>
    <row r="852" spans="1:11" x14ac:dyDescent="0.2">
      <c r="A852" s="4">
        <v>5851</v>
      </c>
      <c r="B852" s="4">
        <v>1081</v>
      </c>
      <c r="C852" s="8">
        <v>46144</v>
      </c>
      <c r="D852" s="8">
        <v>46154</v>
      </c>
      <c r="E852" s="10">
        <f t="shared" si="13"/>
        <v>10</v>
      </c>
      <c r="F852" s="4" t="s">
        <v>20</v>
      </c>
      <c r="G852" s="4" t="s">
        <v>15</v>
      </c>
      <c r="H852" s="4">
        <v>17561</v>
      </c>
      <c r="I852" s="4" t="str">
        <f>VLOOKUP(B852,Customers!$A:$D,4,FALSE)</f>
        <v>Premium</v>
      </c>
      <c r="J852" s="4" t="s">
        <v>37</v>
      </c>
      <c r="K852" s="4" t="s">
        <v>36</v>
      </c>
    </row>
    <row r="853" spans="1:11" x14ac:dyDescent="0.2">
      <c r="A853" s="4">
        <v>5852</v>
      </c>
      <c r="B853" s="4">
        <v>1146</v>
      </c>
      <c r="C853" s="8">
        <v>46119</v>
      </c>
      <c r="D853" s="8">
        <v>46126</v>
      </c>
      <c r="E853" s="10">
        <f t="shared" si="13"/>
        <v>7</v>
      </c>
      <c r="F853" s="4" t="s">
        <v>19</v>
      </c>
      <c r="G853" s="4" t="s">
        <v>12</v>
      </c>
      <c r="H853" s="4">
        <v>2144</v>
      </c>
      <c r="I853" s="4" t="str">
        <f>VLOOKUP(B853,Customers!$A:$D,4,FALSE)</f>
        <v>Regular</v>
      </c>
      <c r="J853" s="4" t="s">
        <v>35</v>
      </c>
      <c r="K853" s="4" t="s">
        <v>36</v>
      </c>
    </row>
    <row r="854" spans="1:11" x14ac:dyDescent="0.2">
      <c r="A854" s="4">
        <v>5853</v>
      </c>
      <c r="B854" s="4">
        <v>1179</v>
      </c>
      <c r="C854" s="8">
        <v>46055</v>
      </c>
      <c r="D854" s="8">
        <v>46062</v>
      </c>
      <c r="E854" s="10">
        <f t="shared" si="13"/>
        <v>7</v>
      </c>
      <c r="F854" s="4" t="s">
        <v>20</v>
      </c>
      <c r="G854" s="4" t="s">
        <v>14</v>
      </c>
      <c r="H854" s="4">
        <v>25241</v>
      </c>
      <c r="I854" s="4" t="str">
        <f>VLOOKUP(B854,Customers!$A:$D,4,FALSE)</f>
        <v>Premium</v>
      </c>
      <c r="J854" s="4" t="s">
        <v>35</v>
      </c>
      <c r="K854" s="4" t="s">
        <v>36</v>
      </c>
    </row>
    <row r="855" spans="1:11" x14ac:dyDescent="0.2">
      <c r="A855" s="4">
        <v>5854</v>
      </c>
      <c r="B855" s="4">
        <v>1183</v>
      </c>
      <c r="C855" s="8">
        <v>46132</v>
      </c>
      <c r="D855" s="8">
        <v>46139</v>
      </c>
      <c r="E855" s="10">
        <f t="shared" si="13"/>
        <v>7</v>
      </c>
      <c r="F855" s="4" t="s">
        <v>21</v>
      </c>
      <c r="G855" s="4" t="s">
        <v>14</v>
      </c>
      <c r="H855" s="4">
        <v>3999</v>
      </c>
      <c r="I855" s="4" t="str">
        <f>VLOOKUP(B855,Customers!$A:$D,4,FALSE)</f>
        <v>Regular</v>
      </c>
      <c r="J855" s="4" t="s">
        <v>35</v>
      </c>
      <c r="K855" s="4" t="s">
        <v>36</v>
      </c>
    </row>
    <row r="856" spans="1:11" x14ac:dyDescent="0.2">
      <c r="A856" s="4">
        <v>5855</v>
      </c>
      <c r="B856" s="4">
        <v>1160</v>
      </c>
      <c r="C856" s="8">
        <v>46086</v>
      </c>
      <c r="D856" s="8">
        <v>46091</v>
      </c>
      <c r="E856" s="10">
        <f t="shared" si="13"/>
        <v>5</v>
      </c>
      <c r="F856" s="4" t="s">
        <v>23</v>
      </c>
      <c r="G856" s="4" t="s">
        <v>12</v>
      </c>
      <c r="H856" s="4">
        <v>20282</v>
      </c>
      <c r="I856" s="4" t="str">
        <f>VLOOKUP(B856,Customers!$A:$D,4,FALSE)</f>
        <v>Regular</v>
      </c>
      <c r="J856" s="4" t="s">
        <v>35</v>
      </c>
      <c r="K856" s="4" t="s">
        <v>36</v>
      </c>
    </row>
    <row r="857" spans="1:11" x14ac:dyDescent="0.2">
      <c r="A857" s="4">
        <v>5856</v>
      </c>
      <c r="B857" s="4">
        <v>1011</v>
      </c>
      <c r="C857" s="8">
        <v>46109</v>
      </c>
      <c r="D857" s="8">
        <v>46113</v>
      </c>
      <c r="E857" s="10">
        <f t="shared" si="13"/>
        <v>4</v>
      </c>
      <c r="F857" s="4" t="s">
        <v>19</v>
      </c>
      <c r="G857" s="4" t="s">
        <v>12</v>
      </c>
      <c r="H857" s="4">
        <v>30506</v>
      </c>
      <c r="I857" s="4" t="str">
        <f>VLOOKUP(B857,Customers!$A:$D,4,FALSE)</f>
        <v>Regular</v>
      </c>
      <c r="J857" s="4" t="s">
        <v>37</v>
      </c>
      <c r="K857" s="4" t="s">
        <v>36</v>
      </c>
    </row>
    <row r="858" spans="1:11" x14ac:dyDescent="0.2">
      <c r="A858" s="4">
        <v>5857</v>
      </c>
      <c r="B858" s="4">
        <v>1216</v>
      </c>
      <c r="C858" s="8">
        <v>46168</v>
      </c>
      <c r="D858" s="8">
        <v>46178</v>
      </c>
      <c r="E858" s="10">
        <f t="shared" si="13"/>
        <v>10</v>
      </c>
      <c r="F858" s="4" t="s">
        <v>22</v>
      </c>
      <c r="G858" s="4" t="s">
        <v>12</v>
      </c>
      <c r="H858" s="4">
        <v>45910</v>
      </c>
      <c r="I858" s="4" t="str">
        <f>VLOOKUP(B858,Customers!$A:$D,4,FALSE)</f>
        <v>Premium</v>
      </c>
      <c r="J858" s="4" t="s">
        <v>37</v>
      </c>
      <c r="K858" s="4" t="s">
        <v>36</v>
      </c>
    </row>
    <row r="859" spans="1:11" x14ac:dyDescent="0.2">
      <c r="A859" s="4">
        <v>5858</v>
      </c>
      <c r="B859" s="4">
        <v>1163</v>
      </c>
      <c r="C859" s="8">
        <v>46173</v>
      </c>
      <c r="D859" s="8">
        <v>46175</v>
      </c>
      <c r="E859" s="10">
        <f t="shared" si="13"/>
        <v>2</v>
      </c>
      <c r="F859" s="4" t="s">
        <v>21</v>
      </c>
      <c r="G859" s="4" t="s">
        <v>11</v>
      </c>
      <c r="H859" s="4">
        <v>25878</v>
      </c>
      <c r="I859" s="4" t="str">
        <f>VLOOKUP(B859,Customers!$A:$D,4,FALSE)</f>
        <v>Regular</v>
      </c>
      <c r="J859" s="4" t="s">
        <v>37</v>
      </c>
      <c r="K859" s="4" t="s">
        <v>36</v>
      </c>
    </row>
    <row r="860" spans="1:11" x14ac:dyDescent="0.2">
      <c r="A860" s="4">
        <v>5859</v>
      </c>
      <c r="B860" s="4">
        <v>1251</v>
      </c>
      <c r="C860" s="8">
        <v>46169</v>
      </c>
      <c r="D860" s="8">
        <v>46172</v>
      </c>
      <c r="E860" s="10">
        <f t="shared" si="13"/>
        <v>3</v>
      </c>
      <c r="F860" s="4" t="s">
        <v>23</v>
      </c>
      <c r="G860" s="4" t="s">
        <v>13</v>
      </c>
      <c r="H860" s="4">
        <v>22317</v>
      </c>
      <c r="I860" s="4" t="str">
        <f>VLOOKUP(B860,Customers!$A:$D,4,FALSE)</f>
        <v>Premium</v>
      </c>
      <c r="J860" s="4" t="s">
        <v>37</v>
      </c>
      <c r="K860" s="4" t="s">
        <v>36</v>
      </c>
    </row>
    <row r="861" spans="1:11" x14ac:dyDescent="0.2">
      <c r="A861" s="4">
        <v>5860</v>
      </c>
      <c r="B861" s="4">
        <v>1086</v>
      </c>
      <c r="C861" s="8">
        <v>46151</v>
      </c>
      <c r="D861" s="8">
        <v>46158</v>
      </c>
      <c r="E861" s="10">
        <f t="shared" si="13"/>
        <v>7</v>
      </c>
      <c r="F861" s="4" t="s">
        <v>22</v>
      </c>
      <c r="G861" s="4" t="s">
        <v>14</v>
      </c>
      <c r="H861" s="4">
        <v>28873</v>
      </c>
      <c r="I861" s="4" t="str">
        <f>VLOOKUP(B861,Customers!$A:$D,4,FALSE)</f>
        <v>Premium</v>
      </c>
      <c r="J861" s="4" t="s">
        <v>35</v>
      </c>
      <c r="K861" s="4" t="s">
        <v>36</v>
      </c>
    </row>
    <row r="862" spans="1:11" x14ac:dyDescent="0.2">
      <c r="A862" s="4">
        <v>5861</v>
      </c>
      <c r="B862" s="4">
        <v>1275</v>
      </c>
      <c r="C862" s="8">
        <v>46150</v>
      </c>
      <c r="D862" s="8">
        <v>46153</v>
      </c>
      <c r="E862" s="10">
        <f t="shared" si="13"/>
        <v>3</v>
      </c>
      <c r="F862" s="4" t="s">
        <v>24</v>
      </c>
      <c r="G862" s="4" t="s">
        <v>14</v>
      </c>
      <c r="H862" s="4">
        <v>17677</v>
      </c>
      <c r="I862" s="4" t="str">
        <f>VLOOKUP(B862,Customers!$A:$D,4,FALSE)</f>
        <v>Regular</v>
      </c>
      <c r="J862" s="4" t="s">
        <v>35</v>
      </c>
      <c r="K862" s="4" t="s">
        <v>36</v>
      </c>
    </row>
    <row r="863" spans="1:11" x14ac:dyDescent="0.2">
      <c r="A863" s="4">
        <v>5862</v>
      </c>
      <c r="B863" s="4">
        <v>1116</v>
      </c>
      <c r="C863" s="8">
        <v>46099</v>
      </c>
      <c r="D863" s="8">
        <v>46107</v>
      </c>
      <c r="E863" s="10">
        <f t="shared" si="13"/>
        <v>8</v>
      </c>
      <c r="F863" s="4" t="s">
        <v>23</v>
      </c>
      <c r="G863" s="4" t="s">
        <v>11</v>
      </c>
      <c r="H863" s="4">
        <v>6508</v>
      </c>
      <c r="I863" s="4" t="str">
        <f>VLOOKUP(B863,Customers!$A:$D,4,FALSE)</f>
        <v>Premium</v>
      </c>
      <c r="J863" s="4" t="s">
        <v>37</v>
      </c>
      <c r="K863" s="4" t="s">
        <v>36</v>
      </c>
    </row>
    <row r="864" spans="1:11" x14ac:dyDescent="0.2">
      <c r="A864" s="4">
        <v>5863</v>
      </c>
      <c r="B864" s="4">
        <v>1291</v>
      </c>
      <c r="C864" s="8">
        <v>46092</v>
      </c>
      <c r="D864" s="8">
        <v>46095</v>
      </c>
      <c r="E864" s="10">
        <f t="shared" si="13"/>
        <v>3</v>
      </c>
      <c r="F864" s="4" t="s">
        <v>25</v>
      </c>
      <c r="G864" s="4" t="s">
        <v>15</v>
      </c>
      <c r="H864" s="4">
        <v>14045</v>
      </c>
      <c r="I864" s="4" t="str">
        <f>VLOOKUP(B864,Customers!$A:$D,4,FALSE)</f>
        <v>Regular</v>
      </c>
      <c r="J864" s="4" t="s">
        <v>37</v>
      </c>
      <c r="K864" s="4" t="s">
        <v>36</v>
      </c>
    </row>
    <row r="865" spans="1:11" x14ac:dyDescent="0.2">
      <c r="A865" s="4">
        <v>5864</v>
      </c>
      <c r="B865" s="4">
        <v>1259</v>
      </c>
      <c r="C865" s="8">
        <v>46042</v>
      </c>
      <c r="D865" s="8">
        <v>46048</v>
      </c>
      <c r="E865" s="10">
        <f t="shared" si="13"/>
        <v>6</v>
      </c>
      <c r="F865" s="4" t="s">
        <v>22</v>
      </c>
      <c r="G865" s="4" t="s">
        <v>15</v>
      </c>
      <c r="H865" s="4">
        <v>43780</v>
      </c>
      <c r="I865" s="4" t="str">
        <f>VLOOKUP(B865,Customers!$A:$D,4,FALSE)</f>
        <v>Premium</v>
      </c>
      <c r="J865" s="4" t="s">
        <v>37</v>
      </c>
      <c r="K865" s="4" t="s">
        <v>36</v>
      </c>
    </row>
    <row r="866" spans="1:11" x14ac:dyDescent="0.2">
      <c r="A866" s="4">
        <v>5865</v>
      </c>
      <c r="B866" s="4">
        <v>1206</v>
      </c>
      <c r="C866" s="8">
        <v>46074</v>
      </c>
      <c r="D866" s="8">
        <v>46082</v>
      </c>
      <c r="E866" s="10">
        <f t="shared" si="13"/>
        <v>8</v>
      </c>
      <c r="F866" s="4" t="s">
        <v>22</v>
      </c>
      <c r="G866" s="4" t="s">
        <v>11</v>
      </c>
      <c r="H866" s="4">
        <v>34075</v>
      </c>
      <c r="I866" s="4" t="str">
        <f>VLOOKUP(B866,Customers!$A:$D,4,FALSE)</f>
        <v>Regular</v>
      </c>
      <c r="J866" s="4" t="s">
        <v>37</v>
      </c>
      <c r="K866" s="4" t="s">
        <v>36</v>
      </c>
    </row>
    <row r="867" spans="1:11" x14ac:dyDescent="0.2">
      <c r="A867" s="4">
        <v>5866</v>
      </c>
      <c r="B867" s="4">
        <v>1010</v>
      </c>
      <c r="C867" s="8">
        <v>46163</v>
      </c>
      <c r="D867" s="8">
        <v>46167</v>
      </c>
      <c r="E867" s="10">
        <f t="shared" si="13"/>
        <v>4</v>
      </c>
      <c r="F867" s="4" t="s">
        <v>18</v>
      </c>
      <c r="G867" s="4" t="s">
        <v>11</v>
      </c>
      <c r="H867" s="4">
        <v>33015</v>
      </c>
      <c r="I867" s="4" t="str">
        <f>VLOOKUP(B867,Customers!$A:$D,4,FALSE)</f>
        <v>Premium</v>
      </c>
      <c r="J867" s="4" t="s">
        <v>35</v>
      </c>
      <c r="K867" s="4" t="s">
        <v>36</v>
      </c>
    </row>
    <row r="868" spans="1:11" x14ac:dyDescent="0.2">
      <c r="A868" s="4">
        <v>5867</v>
      </c>
      <c r="B868" s="4">
        <v>1273</v>
      </c>
      <c r="C868" s="8">
        <v>46142</v>
      </c>
      <c r="D868" s="8">
        <v>46148</v>
      </c>
      <c r="E868" s="10">
        <f t="shared" si="13"/>
        <v>6</v>
      </c>
      <c r="F868" s="4" t="s">
        <v>21</v>
      </c>
      <c r="G868" s="4" t="s">
        <v>11</v>
      </c>
      <c r="H868" s="4">
        <v>47919</v>
      </c>
      <c r="I868" s="4" t="str">
        <f>VLOOKUP(B868,Customers!$A:$D,4,FALSE)</f>
        <v>Regular</v>
      </c>
      <c r="J868" s="4" t="s">
        <v>35</v>
      </c>
      <c r="K868" s="4" t="s">
        <v>36</v>
      </c>
    </row>
    <row r="869" spans="1:11" x14ac:dyDescent="0.2">
      <c r="A869" s="4">
        <v>5868</v>
      </c>
      <c r="B869" s="4">
        <v>1187</v>
      </c>
      <c r="C869" s="8">
        <v>46156</v>
      </c>
      <c r="D869" s="8">
        <v>46161</v>
      </c>
      <c r="E869" s="10">
        <f t="shared" si="13"/>
        <v>5</v>
      </c>
      <c r="F869" s="4" t="s">
        <v>25</v>
      </c>
      <c r="G869" s="4" t="s">
        <v>13</v>
      </c>
      <c r="H869" s="4">
        <v>16053</v>
      </c>
      <c r="I869" s="4" t="str">
        <f>VLOOKUP(B869,Customers!$A:$D,4,FALSE)</f>
        <v>Regular</v>
      </c>
      <c r="J869" s="4" t="s">
        <v>35</v>
      </c>
      <c r="K869" s="4" t="s">
        <v>36</v>
      </c>
    </row>
    <row r="870" spans="1:11" x14ac:dyDescent="0.2">
      <c r="A870" s="4">
        <v>5869</v>
      </c>
      <c r="B870" s="4">
        <v>1211</v>
      </c>
      <c r="C870" s="8">
        <v>46099</v>
      </c>
      <c r="D870" s="8">
        <v>46107</v>
      </c>
      <c r="E870" s="10">
        <f t="shared" si="13"/>
        <v>8</v>
      </c>
      <c r="F870" s="4" t="s">
        <v>19</v>
      </c>
      <c r="G870" s="4" t="s">
        <v>12</v>
      </c>
      <c r="H870" s="4">
        <v>41845</v>
      </c>
      <c r="I870" s="4" t="str">
        <f>VLOOKUP(B870,Customers!$A:$D,4,FALSE)</f>
        <v>Regular</v>
      </c>
      <c r="J870" s="4" t="s">
        <v>35</v>
      </c>
      <c r="K870" s="4" t="s">
        <v>36</v>
      </c>
    </row>
    <row r="871" spans="1:11" x14ac:dyDescent="0.2">
      <c r="A871" s="4">
        <v>5870</v>
      </c>
      <c r="B871" s="4">
        <v>1147</v>
      </c>
      <c r="C871" s="8">
        <v>46128</v>
      </c>
      <c r="D871" s="8">
        <v>46134</v>
      </c>
      <c r="E871" s="10">
        <f t="shared" si="13"/>
        <v>6</v>
      </c>
      <c r="F871" s="4" t="s">
        <v>18</v>
      </c>
      <c r="G871" s="4" t="s">
        <v>14</v>
      </c>
      <c r="H871" s="4">
        <v>45313</v>
      </c>
      <c r="I871" s="4" t="str">
        <f>VLOOKUP(B871,Customers!$A:$D,4,FALSE)</f>
        <v>Premium</v>
      </c>
      <c r="J871" s="4" t="s">
        <v>35</v>
      </c>
      <c r="K871" s="4" t="s">
        <v>36</v>
      </c>
    </row>
    <row r="872" spans="1:11" x14ac:dyDescent="0.2">
      <c r="A872" s="4">
        <v>5871</v>
      </c>
      <c r="B872" s="4">
        <v>1059</v>
      </c>
      <c r="C872" s="8">
        <v>46126</v>
      </c>
      <c r="D872" s="8">
        <v>46131</v>
      </c>
      <c r="E872" s="10">
        <f t="shared" si="13"/>
        <v>5</v>
      </c>
      <c r="F872" s="4" t="s">
        <v>18</v>
      </c>
      <c r="G872" s="4" t="s">
        <v>13</v>
      </c>
      <c r="H872" s="4">
        <v>2115</v>
      </c>
      <c r="I872" s="4" t="str">
        <f>VLOOKUP(B872,Customers!$A:$D,4,FALSE)</f>
        <v>Premium</v>
      </c>
      <c r="J872" s="4" t="s">
        <v>35</v>
      </c>
      <c r="K872" s="4" t="s">
        <v>36</v>
      </c>
    </row>
    <row r="873" spans="1:11" x14ac:dyDescent="0.2">
      <c r="A873" s="4">
        <v>5872</v>
      </c>
      <c r="B873" s="4">
        <v>1249</v>
      </c>
      <c r="C873" s="8">
        <v>46102</v>
      </c>
      <c r="D873" s="8">
        <v>46111</v>
      </c>
      <c r="E873" s="10">
        <f t="shared" si="13"/>
        <v>9</v>
      </c>
      <c r="F873" s="4" t="s">
        <v>21</v>
      </c>
      <c r="G873" s="4" t="s">
        <v>15</v>
      </c>
      <c r="H873" s="4">
        <v>42696</v>
      </c>
      <c r="I873" s="4" t="str">
        <f>VLOOKUP(B873,Customers!$A:$D,4,FALSE)</f>
        <v>Regular</v>
      </c>
      <c r="J873" s="4" t="s">
        <v>35</v>
      </c>
      <c r="K873" s="4" t="s">
        <v>36</v>
      </c>
    </row>
    <row r="874" spans="1:11" x14ac:dyDescent="0.2">
      <c r="A874" s="4">
        <v>5873</v>
      </c>
      <c r="B874" s="4">
        <v>1140</v>
      </c>
      <c r="C874" s="8">
        <v>46074</v>
      </c>
      <c r="D874" s="8">
        <v>46078</v>
      </c>
      <c r="E874" s="10">
        <f t="shared" si="13"/>
        <v>4</v>
      </c>
      <c r="F874" s="4" t="s">
        <v>18</v>
      </c>
      <c r="G874" s="4" t="s">
        <v>12</v>
      </c>
      <c r="H874" s="4">
        <v>17234</v>
      </c>
      <c r="I874" s="4" t="str">
        <f>VLOOKUP(B874,Customers!$A:$D,4,FALSE)</f>
        <v>Premium</v>
      </c>
      <c r="J874" s="4" t="s">
        <v>37</v>
      </c>
      <c r="K874" s="4" t="s">
        <v>36</v>
      </c>
    </row>
    <row r="875" spans="1:11" x14ac:dyDescent="0.2">
      <c r="A875" s="4">
        <v>5874</v>
      </c>
      <c r="B875" s="4">
        <v>1022</v>
      </c>
      <c r="C875" s="8">
        <v>46163</v>
      </c>
      <c r="D875" s="8">
        <v>46167</v>
      </c>
      <c r="E875" s="10">
        <f t="shared" si="13"/>
        <v>4</v>
      </c>
      <c r="F875" s="4" t="s">
        <v>25</v>
      </c>
      <c r="G875" s="4" t="s">
        <v>12</v>
      </c>
      <c r="H875" s="4">
        <v>3925</v>
      </c>
      <c r="I875" s="4" t="str">
        <f>VLOOKUP(B875,Customers!$A:$D,4,FALSE)</f>
        <v>Premium</v>
      </c>
      <c r="J875" s="4" t="s">
        <v>35</v>
      </c>
      <c r="K875" s="4" t="s">
        <v>36</v>
      </c>
    </row>
    <row r="876" spans="1:11" x14ac:dyDescent="0.2">
      <c r="A876" s="4">
        <v>5875</v>
      </c>
      <c r="B876" s="4">
        <v>1033</v>
      </c>
      <c r="C876" s="8">
        <v>46103</v>
      </c>
      <c r="D876" s="8">
        <v>46109</v>
      </c>
      <c r="E876" s="10">
        <f t="shared" si="13"/>
        <v>6</v>
      </c>
      <c r="F876" s="4" t="s">
        <v>21</v>
      </c>
      <c r="G876" s="4" t="s">
        <v>14</v>
      </c>
      <c r="H876" s="4">
        <v>44318</v>
      </c>
      <c r="I876" s="4" t="str">
        <f>VLOOKUP(B876,Customers!$A:$D,4,FALSE)</f>
        <v>Premium</v>
      </c>
      <c r="J876" s="4" t="s">
        <v>35</v>
      </c>
      <c r="K876" s="4" t="s">
        <v>36</v>
      </c>
    </row>
    <row r="877" spans="1:11" x14ac:dyDescent="0.2">
      <c r="A877" s="4">
        <v>5876</v>
      </c>
      <c r="B877" s="4">
        <v>1121</v>
      </c>
      <c r="C877" s="8">
        <v>46124</v>
      </c>
      <c r="D877" s="8">
        <v>46128</v>
      </c>
      <c r="E877" s="10">
        <f t="shared" si="13"/>
        <v>4</v>
      </c>
      <c r="F877" s="4" t="s">
        <v>23</v>
      </c>
      <c r="G877" s="4" t="s">
        <v>11</v>
      </c>
      <c r="H877" s="4">
        <v>48434</v>
      </c>
      <c r="I877" s="4" t="str">
        <f>VLOOKUP(B877,Customers!$A:$D,4,FALSE)</f>
        <v>Regular</v>
      </c>
      <c r="J877" s="4" t="s">
        <v>35</v>
      </c>
      <c r="K877" s="4" t="s">
        <v>36</v>
      </c>
    </row>
    <row r="878" spans="1:11" x14ac:dyDescent="0.2">
      <c r="A878" s="4">
        <v>5877</v>
      </c>
      <c r="B878" s="4">
        <v>1129</v>
      </c>
      <c r="C878" s="8">
        <v>46156</v>
      </c>
      <c r="D878" s="8">
        <v>46166</v>
      </c>
      <c r="E878" s="10">
        <f t="shared" si="13"/>
        <v>10</v>
      </c>
      <c r="F878" s="4" t="s">
        <v>25</v>
      </c>
      <c r="G878" s="4" t="s">
        <v>12</v>
      </c>
      <c r="H878" s="4">
        <v>15902</v>
      </c>
      <c r="I878" s="4" t="str">
        <f>VLOOKUP(B878,Customers!$A:$D,4,FALSE)</f>
        <v>Premium</v>
      </c>
      <c r="J878" s="4" t="s">
        <v>35</v>
      </c>
      <c r="K878" s="4" t="s">
        <v>36</v>
      </c>
    </row>
    <row r="879" spans="1:11" x14ac:dyDescent="0.2">
      <c r="A879" s="4">
        <v>5878</v>
      </c>
      <c r="B879" s="4">
        <v>1300</v>
      </c>
      <c r="C879" s="8">
        <v>46103</v>
      </c>
      <c r="D879" s="8">
        <v>46110</v>
      </c>
      <c r="E879" s="10">
        <f t="shared" si="13"/>
        <v>7</v>
      </c>
      <c r="F879" s="4" t="s">
        <v>21</v>
      </c>
      <c r="G879" s="4" t="s">
        <v>13</v>
      </c>
      <c r="H879" s="4">
        <v>28013</v>
      </c>
      <c r="I879" s="4" t="str">
        <f>VLOOKUP(B879,Customers!$A:$D,4,FALSE)</f>
        <v>Regular</v>
      </c>
      <c r="J879" s="4" t="s">
        <v>35</v>
      </c>
      <c r="K879" s="4" t="s">
        <v>36</v>
      </c>
    </row>
    <row r="880" spans="1:11" x14ac:dyDescent="0.2">
      <c r="A880" s="4">
        <v>5879</v>
      </c>
      <c r="B880" s="4">
        <v>1090</v>
      </c>
      <c r="C880" s="8">
        <v>46059</v>
      </c>
      <c r="D880" s="8">
        <v>46062</v>
      </c>
      <c r="E880" s="10">
        <f t="shared" si="13"/>
        <v>3</v>
      </c>
      <c r="F880" s="4" t="s">
        <v>24</v>
      </c>
      <c r="G880" s="4" t="s">
        <v>14</v>
      </c>
      <c r="H880" s="4">
        <v>29101</v>
      </c>
      <c r="I880" s="4" t="str">
        <f>VLOOKUP(B880,Customers!$A:$D,4,FALSE)</f>
        <v>Regular</v>
      </c>
      <c r="J880" s="4" t="s">
        <v>37</v>
      </c>
      <c r="K880" s="4" t="s">
        <v>36</v>
      </c>
    </row>
    <row r="881" spans="1:11" x14ac:dyDescent="0.2">
      <c r="A881" s="4">
        <v>5880</v>
      </c>
      <c r="B881" s="4">
        <v>1252</v>
      </c>
      <c r="C881" s="8">
        <v>46088</v>
      </c>
      <c r="D881" s="8">
        <v>46090</v>
      </c>
      <c r="E881" s="10">
        <f t="shared" si="13"/>
        <v>2</v>
      </c>
      <c r="F881" s="4" t="s">
        <v>19</v>
      </c>
      <c r="G881" s="4" t="s">
        <v>12</v>
      </c>
      <c r="H881" s="4">
        <v>21041</v>
      </c>
      <c r="I881" s="4" t="str">
        <f>VLOOKUP(B881,Customers!$A:$D,4,FALSE)</f>
        <v>Regular</v>
      </c>
      <c r="J881" s="4" t="s">
        <v>37</v>
      </c>
      <c r="K881" s="4" t="s">
        <v>36</v>
      </c>
    </row>
    <row r="882" spans="1:11" x14ac:dyDescent="0.2">
      <c r="A882" s="4">
        <v>5881</v>
      </c>
      <c r="B882" s="4">
        <v>1143</v>
      </c>
      <c r="C882" s="8">
        <v>46144</v>
      </c>
      <c r="D882" s="8">
        <v>46149</v>
      </c>
      <c r="E882" s="10">
        <f t="shared" si="13"/>
        <v>5</v>
      </c>
      <c r="F882" s="4" t="s">
        <v>18</v>
      </c>
      <c r="G882" s="4" t="s">
        <v>14</v>
      </c>
      <c r="H882" s="4">
        <v>31444</v>
      </c>
      <c r="I882" s="4" t="str">
        <f>VLOOKUP(B882,Customers!$A:$D,4,FALSE)</f>
        <v>Premium</v>
      </c>
      <c r="J882" s="4" t="s">
        <v>37</v>
      </c>
      <c r="K882" s="4" t="s">
        <v>36</v>
      </c>
    </row>
    <row r="883" spans="1:11" x14ac:dyDescent="0.2">
      <c r="A883" s="4">
        <v>5882</v>
      </c>
      <c r="B883" s="4">
        <v>1018</v>
      </c>
      <c r="C883" s="8">
        <v>46101</v>
      </c>
      <c r="D883" s="8">
        <v>46103</v>
      </c>
      <c r="E883" s="10">
        <f t="shared" si="13"/>
        <v>2</v>
      </c>
      <c r="F883" s="4" t="s">
        <v>20</v>
      </c>
      <c r="G883" s="4" t="s">
        <v>13</v>
      </c>
      <c r="H883" s="4">
        <v>16879</v>
      </c>
      <c r="I883" s="4" t="str">
        <f>VLOOKUP(B883,Customers!$A:$D,4,FALSE)</f>
        <v>Premium</v>
      </c>
      <c r="J883" s="4" t="s">
        <v>37</v>
      </c>
      <c r="K883" s="4" t="s">
        <v>36</v>
      </c>
    </row>
    <row r="884" spans="1:11" x14ac:dyDescent="0.2">
      <c r="A884" s="4">
        <v>5883</v>
      </c>
      <c r="B884" s="4">
        <v>1063</v>
      </c>
      <c r="C884" s="8">
        <v>46102</v>
      </c>
      <c r="D884" s="8">
        <v>46109</v>
      </c>
      <c r="E884" s="10">
        <f t="shared" si="13"/>
        <v>7</v>
      </c>
      <c r="F884" s="4" t="s">
        <v>24</v>
      </c>
      <c r="G884" s="4" t="s">
        <v>15</v>
      </c>
      <c r="H884" s="4">
        <v>25758</v>
      </c>
      <c r="I884" s="4" t="str">
        <f>VLOOKUP(B884,Customers!$A:$D,4,FALSE)</f>
        <v>Regular</v>
      </c>
      <c r="J884" s="4" t="s">
        <v>35</v>
      </c>
      <c r="K884" s="4" t="s">
        <v>36</v>
      </c>
    </row>
    <row r="885" spans="1:11" x14ac:dyDescent="0.2">
      <c r="A885" s="4">
        <v>5884</v>
      </c>
      <c r="B885" s="4">
        <v>1155</v>
      </c>
      <c r="C885" s="8">
        <v>46123</v>
      </c>
      <c r="D885" s="8">
        <v>46129</v>
      </c>
      <c r="E885" s="10">
        <f t="shared" si="13"/>
        <v>6</v>
      </c>
      <c r="F885" s="4" t="s">
        <v>23</v>
      </c>
      <c r="G885" s="4" t="s">
        <v>13</v>
      </c>
      <c r="H885" s="4">
        <v>19791</v>
      </c>
      <c r="I885" s="4" t="str">
        <f>VLOOKUP(B885,Customers!$A:$D,4,FALSE)</f>
        <v>Regular</v>
      </c>
      <c r="J885" s="4" t="s">
        <v>35</v>
      </c>
      <c r="K885" s="4" t="s">
        <v>36</v>
      </c>
    </row>
    <row r="886" spans="1:11" x14ac:dyDescent="0.2">
      <c r="A886" s="4">
        <v>5885</v>
      </c>
      <c r="B886" s="4">
        <v>1163</v>
      </c>
      <c r="C886" s="8">
        <v>46064</v>
      </c>
      <c r="D886" s="8">
        <v>46073</v>
      </c>
      <c r="E886" s="10">
        <f t="shared" si="13"/>
        <v>9</v>
      </c>
      <c r="F886" s="4" t="s">
        <v>21</v>
      </c>
      <c r="G886" s="4" t="s">
        <v>12</v>
      </c>
      <c r="H886" s="4">
        <v>18259</v>
      </c>
      <c r="I886" s="4" t="str">
        <f>VLOOKUP(B886,Customers!$A:$D,4,FALSE)</f>
        <v>Regular</v>
      </c>
      <c r="J886" s="4" t="s">
        <v>35</v>
      </c>
      <c r="K886" s="4" t="s">
        <v>36</v>
      </c>
    </row>
    <row r="887" spans="1:11" x14ac:dyDescent="0.2">
      <c r="A887" s="4">
        <v>5886</v>
      </c>
      <c r="B887" s="4">
        <v>1212</v>
      </c>
      <c r="C887" s="8">
        <v>46148</v>
      </c>
      <c r="D887" s="8">
        <v>46157</v>
      </c>
      <c r="E887" s="10">
        <f t="shared" si="13"/>
        <v>9</v>
      </c>
      <c r="F887" s="4" t="s">
        <v>19</v>
      </c>
      <c r="G887" s="4" t="s">
        <v>15</v>
      </c>
      <c r="H887" s="4">
        <v>6879</v>
      </c>
      <c r="I887" s="4" t="str">
        <f>VLOOKUP(B887,Customers!$A:$D,4,FALSE)</f>
        <v>Premium</v>
      </c>
      <c r="J887" s="4" t="s">
        <v>35</v>
      </c>
      <c r="K887" s="4" t="s">
        <v>36</v>
      </c>
    </row>
    <row r="888" spans="1:11" x14ac:dyDescent="0.2">
      <c r="A888" s="4">
        <v>5887</v>
      </c>
      <c r="B888" s="4">
        <v>1034</v>
      </c>
      <c r="C888" s="8">
        <v>46089</v>
      </c>
      <c r="D888" s="8">
        <v>46099</v>
      </c>
      <c r="E888" s="10">
        <f t="shared" si="13"/>
        <v>10</v>
      </c>
      <c r="F888" s="4" t="s">
        <v>19</v>
      </c>
      <c r="G888" s="4" t="s">
        <v>15</v>
      </c>
      <c r="H888" s="4">
        <v>39760</v>
      </c>
      <c r="I888" s="4" t="str">
        <f>VLOOKUP(B888,Customers!$A:$D,4,FALSE)</f>
        <v>Regular</v>
      </c>
      <c r="J888" s="4" t="s">
        <v>37</v>
      </c>
      <c r="K888" s="4" t="s">
        <v>36</v>
      </c>
    </row>
    <row r="889" spans="1:11" x14ac:dyDescent="0.2">
      <c r="A889" s="4">
        <v>5888</v>
      </c>
      <c r="B889" s="4">
        <v>1027</v>
      </c>
      <c r="C889" s="8">
        <v>46139</v>
      </c>
      <c r="D889" s="8">
        <v>46141</v>
      </c>
      <c r="E889" s="10">
        <f t="shared" si="13"/>
        <v>2</v>
      </c>
      <c r="F889" s="4" t="s">
        <v>18</v>
      </c>
      <c r="G889" s="4" t="s">
        <v>15</v>
      </c>
      <c r="H889" s="4">
        <v>42315</v>
      </c>
      <c r="I889" s="4" t="str">
        <f>VLOOKUP(B889,Customers!$A:$D,4,FALSE)</f>
        <v>Premium</v>
      </c>
      <c r="J889" s="4" t="s">
        <v>35</v>
      </c>
      <c r="K889" s="4" t="s">
        <v>36</v>
      </c>
    </row>
    <row r="890" spans="1:11" x14ac:dyDescent="0.2">
      <c r="A890" s="4">
        <v>5889</v>
      </c>
      <c r="B890" s="4">
        <v>1103</v>
      </c>
      <c r="C890" s="8">
        <v>46023</v>
      </c>
      <c r="D890" s="8">
        <v>46031</v>
      </c>
      <c r="E890" s="10">
        <f t="shared" si="13"/>
        <v>8</v>
      </c>
      <c r="F890" s="4" t="s">
        <v>22</v>
      </c>
      <c r="G890" s="4" t="s">
        <v>14</v>
      </c>
      <c r="H890" s="4">
        <v>38036</v>
      </c>
      <c r="I890" s="4" t="str">
        <f>VLOOKUP(B890,Customers!$A:$D,4,FALSE)</f>
        <v>Premium</v>
      </c>
      <c r="J890" s="4" t="s">
        <v>35</v>
      </c>
      <c r="K890" s="4" t="s">
        <v>36</v>
      </c>
    </row>
    <row r="891" spans="1:11" x14ac:dyDescent="0.2">
      <c r="A891" s="4">
        <v>5890</v>
      </c>
      <c r="B891" s="4">
        <v>1128</v>
      </c>
      <c r="C891" s="8">
        <v>46051</v>
      </c>
      <c r="D891" s="8">
        <v>46055</v>
      </c>
      <c r="E891" s="10">
        <f t="shared" si="13"/>
        <v>4</v>
      </c>
      <c r="F891" s="4" t="s">
        <v>18</v>
      </c>
      <c r="G891" s="4" t="s">
        <v>11</v>
      </c>
      <c r="H891" s="4">
        <v>45241</v>
      </c>
      <c r="I891" s="4" t="str">
        <f>VLOOKUP(B891,Customers!$A:$D,4,FALSE)</f>
        <v>Premium</v>
      </c>
      <c r="J891" s="4" t="s">
        <v>37</v>
      </c>
      <c r="K891" s="4" t="s">
        <v>36</v>
      </c>
    </row>
    <row r="892" spans="1:11" x14ac:dyDescent="0.2">
      <c r="A892" s="4">
        <v>5891</v>
      </c>
      <c r="B892" s="4">
        <v>1245</v>
      </c>
      <c r="C892" s="8">
        <v>46104</v>
      </c>
      <c r="D892" s="8">
        <v>46113</v>
      </c>
      <c r="E892" s="10">
        <f t="shared" si="13"/>
        <v>9</v>
      </c>
      <c r="F892" s="4" t="s">
        <v>18</v>
      </c>
      <c r="G892" s="4" t="s">
        <v>14</v>
      </c>
      <c r="H892" s="4">
        <v>11669</v>
      </c>
      <c r="I892" s="4" t="str">
        <f>VLOOKUP(B892,Customers!$A:$D,4,FALSE)</f>
        <v>Premium</v>
      </c>
      <c r="J892" s="4" t="s">
        <v>37</v>
      </c>
      <c r="K892" s="4" t="s">
        <v>36</v>
      </c>
    </row>
    <row r="893" spans="1:11" x14ac:dyDescent="0.2">
      <c r="A893" s="4">
        <v>5892</v>
      </c>
      <c r="B893" s="4">
        <v>1044</v>
      </c>
      <c r="C893" s="8">
        <v>46095</v>
      </c>
      <c r="D893" s="8">
        <v>46100</v>
      </c>
      <c r="E893" s="10">
        <f t="shared" si="13"/>
        <v>5</v>
      </c>
      <c r="F893" s="4" t="s">
        <v>21</v>
      </c>
      <c r="G893" s="4" t="s">
        <v>14</v>
      </c>
      <c r="H893" s="4">
        <v>12220</v>
      </c>
      <c r="I893" s="4" t="str">
        <f>VLOOKUP(B893,Customers!$A:$D,4,FALSE)</f>
        <v>Premium</v>
      </c>
      <c r="J893" s="4" t="s">
        <v>37</v>
      </c>
      <c r="K893" s="4" t="s">
        <v>36</v>
      </c>
    </row>
    <row r="894" spans="1:11" x14ac:dyDescent="0.2">
      <c r="A894" s="4">
        <v>5893</v>
      </c>
      <c r="B894" s="4">
        <v>1011</v>
      </c>
      <c r="C894" s="8">
        <v>46119</v>
      </c>
      <c r="D894" s="8">
        <v>46124</v>
      </c>
      <c r="E894" s="10">
        <f t="shared" si="13"/>
        <v>5</v>
      </c>
      <c r="F894" s="4" t="s">
        <v>20</v>
      </c>
      <c r="G894" s="4" t="s">
        <v>11</v>
      </c>
      <c r="H894" s="4">
        <v>42708</v>
      </c>
      <c r="I894" s="4" t="str">
        <f>VLOOKUP(B894,Customers!$A:$D,4,FALSE)</f>
        <v>Regular</v>
      </c>
      <c r="J894" s="4" t="s">
        <v>35</v>
      </c>
      <c r="K894" s="4" t="s">
        <v>36</v>
      </c>
    </row>
    <row r="895" spans="1:11" x14ac:dyDescent="0.2">
      <c r="A895" s="4">
        <v>5894</v>
      </c>
      <c r="B895" s="4">
        <v>1102</v>
      </c>
      <c r="C895" s="8">
        <v>46045</v>
      </c>
      <c r="D895" s="8">
        <v>46054</v>
      </c>
      <c r="E895" s="10">
        <f t="shared" si="13"/>
        <v>9</v>
      </c>
      <c r="F895" s="4" t="s">
        <v>22</v>
      </c>
      <c r="G895" s="4" t="s">
        <v>13</v>
      </c>
      <c r="H895" s="4">
        <v>3562</v>
      </c>
      <c r="I895" s="4" t="str">
        <f>VLOOKUP(B895,Customers!$A:$D,4,FALSE)</f>
        <v>Premium</v>
      </c>
      <c r="J895" s="4" t="s">
        <v>37</v>
      </c>
      <c r="K895" s="4" t="s">
        <v>36</v>
      </c>
    </row>
    <row r="896" spans="1:11" x14ac:dyDescent="0.2">
      <c r="A896" s="4">
        <v>5895</v>
      </c>
      <c r="B896" s="4">
        <v>1077</v>
      </c>
      <c r="C896" s="8">
        <v>46132</v>
      </c>
      <c r="D896" s="8">
        <v>46138</v>
      </c>
      <c r="E896" s="10">
        <f t="shared" si="13"/>
        <v>6</v>
      </c>
      <c r="F896" s="4" t="s">
        <v>23</v>
      </c>
      <c r="G896" s="4" t="s">
        <v>14</v>
      </c>
      <c r="H896" s="4">
        <v>11449</v>
      </c>
      <c r="I896" s="4" t="str">
        <f>VLOOKUP(B896,Customers!$A:$D,4,FALSE)</f>
        <v>Regular</v>
      </c>
      <c r="J896" s="4" t="s">
        <v>35</v>
      </c>
      <c r="K896" s="4" t="s">
        <v>36</v>
      </c>
    </row>
    <row r="897" spans="1:11" x14ac:dyDescent="0.2">
      <c r="A897" s="4">
        <v>5896</v>
      </c>
      <c r="B897" s="4">
        <v>1223</v>
      </c>
      <c r="C897" s="8">
        <v>46026</v>
      </c>
      <c r="D897" s="8">
        <v>46036</v>
      </c>
      <c r="E897" s="10">
        <f t="shared" si="13"/>
        <v>10</v>
      </c>
      <c r="F897" s="4" t="s">
        <v>25</v>
      </c>
      <c r="G897" s="4" t="s">
        <v>15</v>
      </c>
      <c r="H897" s="4">
        <v>8066</v>
      </c>
      <c r="I897" s="4" t="str">
        <f>VLOOKUP(B897,Customers!$A:$D,4,FALSE)</f>
        <v>Regular</v>
      </c>
      <c r="J897" s="4" t="s">
        <v>35</v>
      </c>
      <c r="K897" s="4" t="s">
        <v>36</v>
      </c>
    </row>
    <row r="898" spans="1:11" x14ac:dyDescent="0.2">
      <c r="A898" s="4">
        <v>5897</v>
      </c>
      <c r="B898" s="4">
        <v>1137</v>
      </c>
      <c r="C898" s="8">
        <v>46075</v>
      </c>
      <c r="D898" s="8">
        <v>46080</v>
      </c>
      <c r="E898" s="10">
        <f t="shared" si="13"/>
        <v>5</v>
      </c>
      <c r="F898" s="4" t="s">
        <v>22</v>
      </c>
      <c r="G898" s="4" t="s">
        <v>15</v>
      </c>
      <c r="H898" s="4">
        <v>25339</v>
      </c>
      <c r="I898" s="4" t="str">
        <f>VLOOKUP(B898,Customers!$A:$D,4,FALSE)</f>
        <v>Premium</v>
      </c>
      <c r="J898" s="4" t="s">
        <v>35</v>
      </c>
      <c r="K898" s="4" t="s">
        <v>36</v>
      </c>
    </row>
    <row r="899" spans="1:11" x14ac:dyDescent="0.2">
      <c r="A899" s="4">
        <v>5898</v>
      </c>
      <c r="B899" s="4">
        <v>1111</v>
      </c>
      <c r="C899" s="8">
        <v>46133</v>
      </c>
      <c r="D899" s="8">
        <v>46138</v>
      </c>
      <c r="E899" s="10">
        <f t="shared" ref="E899:E962" si="14">D899-C899</f>
        <v>5</v>
      </c>
      <c r="F899" s="4" t="s">
        <v>22</v>
      </c>
      <c r="G899" s="4" t="s">
        <v>13</v>
      </c>
      <c r="H899" s="4">
        <v>27715</v>
      </c>
      <c r="I899" s="4" t="str">
        <f>VLOOKUP(B899,Customers!$A:$D,4,FALSE)</f>
        <v>Premium</v>
      </c>
      <c r="J899" s="4" t="s">
        <v>35</v>
      </c>
      <c r="K899" s="4" t="s">
        <v>36</v>
      </c>
    </row>
    <row r="900" spans="1:11" x14ac:dyDescent="0.2">
      <c r="A900" s="4">
        <v>5899</v>
      </c>
      <c r="B900" s="4">
        <v>1015</v>
      </c>
      <c r="C900" s="8">
        <v>46127</v>
      </c>
      <c r="D900" s="8">
        <v>46131</v>
      </c>
      <c r="E900" s="10">
        <f t="shared" si="14"/>
        <v>4</v>
      </c>
      <c r="F900" s="4" t="s">
        <v>22</v>
      </c>
      <c r="G900" s="4" t="s">
        <v>14</v>
      </c>
      <c r="H900" s="4">
        <v>15732</v>
      </c>
      <c r="I900" s="4" t="str">
        <f>VLOOKUP(B900,Customers!$A:$D,4,FALSE)</f>
        <v>Regular</v>
      </c>
      <c r="J900" s="4" t="s">
        <v>37</v>
      </c>
      <c r="K900" s="4" t="s">
        <v>36</v>
      </c>
    </row>
    <row r="901" spans="1:11" x14ac:dyDescent="0.2">
      <c r="A901" s="4">
        <v>5900</v>
      </c>
      <c r="B901" s="4">
        <v>1299</v>
      </c>
      <c r="C901" s="8">
        <v>46086</v>
      </c>
      <c r="D901" s="8">
        <v>46093</v>
      </c>
      <c r="E901" s="10">
        <f t="shared" si="14"/>
        <v>7</v>
      </c>
      <c r="F901" s="4" t="s">
        <v>25</v>
      </c>
      <c r="G901" s="4" t="s">
        <v>12</v>
      </c>
      <c r="H901" s="4">
        <v>976</v>
      </c>
      <c r="I901" s="4" t="str">
        <f>VLOOKUP(B901,Customers!$A:$D,4,FALSE)</f>
        <v>Regular</v>
      </c>
      <c r="J901" s="4" t="s">
        <v>37</v>
      </c>
      <c r="K901" s="4" t="s">
        <v>36</v>
      </c>
    </row>
    <row r="902" spans="1:11" x14ac:dyDescent="0.2">
      <c r="A902" s="4">
        <v>5901</v>
      </c>
      <c r="B902" s="4">
        <v>1204</v>
      </c>
      <c r="C902" s="8">
        <v>46057</v>
      </c>
      <c r="D902" s="8">
        <v>46064</v>
      </c>
      <c r="E902" s="10">
        <f t="shared" si="14"/>
        <v>7</v>
      </c>
      <c r="F902" s="4" t="s">
        <v>24</v>
      </c>
      <c r="G902" s="4" t="s">
        <v>15</v>
      </c>
      <c r="H902" s="4">
        <v>46729</v>
      </c>
      <c r="I902" s="4" t="str">
        <f>VLOOKUP(B902,Customers!$A:$D,4,FALSE)</f>
        <v>Premium</v>
      </c>
      <c r="J902" s="4" t="s">
        <v>37</v>
      </c>
      <c r="K902" s="4" t="s">
        <v>36</v>
      </c>
    </row>
    <row r="903" spans="1:11" x14ac:dyDescent="0.2">
      <c r="A903" s="4">
        <v>5902</v>
      </c>
      <c r="B903" s="4">
        <v>1049</v>
      </c>
      <c r="C903" s="8">
        <v>46088</v>
      </c>
      <c r="D903" s="8">
        <v>46091</v>
      </c>
      <c r="E903" s="10">
        <f t="shared" si="14"/>
        <v>3</v>
      </c>
      <c r="F903" s="4" t="s">
        <v>20</v>
      </c>
      <c r="G903" s="4" t="s">
        <v>12</v>
      </c>
      <c r="H903" s="4">
        <v>22114</v>
      </c>
      <c r="I903" s="4" t="str">
        <f>VLOOKUP(B903,Customers!$A:$D,4,FALSE)</f>
        <v>Regular</v>
      </c>
      <c r="J903" s="4" t="s">
        <v>35</v>
      </c>
      <c r="K903" s="4" t="s">
        <v>36</v>
      </c>
    </row>
    <row r="904" spans="1:11" x14ac:dyDescent="0.2">
      <c r="A904" s="4">
        <v>5903</v>
      </c>
      <c r="B904" s="4">
        <v>1024</v>
      </c>
      <c r="C904" s="8">
        <v>46143</v>
      </c>
      <c r="D904" s="8">
        <v>46150</v>
      </c>
      <c r="E904" s="10">
        <f t="shared" si="14"/>
        <v>7</v>
      </c>
      <c r="F904" s="4" t="s">
        <v>20</v>
      </c>
      <c r="G904" s="4" t="s">
        <v>14</v>
      </c>
      <c r="H904" s="4">
        <v>33365</v>
      </c>
      <c r="I904" s="4" t="str">
        <f>VLOOKUP(B904,Customers!$A:$D,4,FALSE)</f>
        <v>Premium</v>
      </c>
      <c r="J904" s="4" t="s">
        <v>37</v>
      </c>
      <c r="K904" s="4" t="s">
        <v>36</v>
      </c>
    </row>
    <row r="905" spans="1:11" x14ac:dyDescent="0.2">
      <c r="A905" s="4">
        <v>5904</v>
      </c>
      <c r="B905" s="4">
        <v>1190</v>
      </c>
      <c r="C905" s="8">
        <v>46100</v>
      </c>
      <c r="D905" s="8">
        <v>46108</v>
      </c>
      <c r="E905" s="10">
        <f t="shared" si="14"/>
        <v>8</v>
      </c>
      <c r="F905" s="4" t="s">
        <v>18</v>
      </c>
      <c r="G905" s="4" t="s">
        <v>11</v>
      </c>
      <c r="H905" s="4">
        <v>2995</v>
      </c>
      <c r="I905" s="4" t="str">
        <f>VLOOKUP(B905,Customers!$A:$D,4,FALSE)</f>
        <v>Regular</v>
      </c>
      <c r="J905" s="4" t="s">
        <v>35</v>
      </c>
      <c r="K905" s="4" t="s">
        <v>36</v>
      </c>
    </row>
    <row r="906" spans="1:11" x14ac:dyDescent="0.2">
      <c r="A906" s="4">
        <v>5905</v>
      </c>
      <c r="B906" s="4">
        <v>1258</v>
      </c>
      <c r="C906" s="8">
        <v>46089</v>
      </c>
      <c r="D906" s="8">
        <v>46093</v>
      </c>
      <c r="E906" s="10">
        <f t="shared" si="14"/>
        <v>4</v>
      </c>
      <c r="F906" s="4" t="s">
        <v>25</v>
      </c>
      <c r="G906" s="4" t="s">
        <v>14</v>
      </c>
      <c r="H906" s="4">
        <v>30976</v>
      </c>
      <c r="I906" s="4" t="str">
        <f>VLOOKUP(B906,Customers!$A:$D,4,FALSE)</f>
        <v>Regular</v>
      </c>
      <c r="J906" s="4" t="s">
        <v>35</v>
      </c>
      <c r="K906" s="4" t="s">
        <v>36</v>
      </c>
    </row>
    <row r="907" spans="1:11" x14ac:dyDescent="0.2">
      <c r="A907" s="4">
        <v>5906</v>
      </c>
      <c r="B907" s="4">
        <v>1272</v>
      </c>
      <c r="C907" s="8">
        <v>46045</v>
      </c>
      <c r="D907" s="8">
        <v>46052</v>
      </c>
      <c r="E907" s="10">
        <f t="shared" si="14"/>
        <v>7</v>
      </c>
      <c r="F907" s="4" t="s">
        <v>21</v>
      </c>
      <c r="G907" s="4" t="s">
        <v>13</v>
      </c>
      <c r="H907" s="4">
        <v>17365</v>
      </c>
      <c r="I907" s="4" t="str">
        <f>VLOOKUP(B907,Customers!$A:$D,4,FALSE)</f>
        <v>Premium</v>
      </c>
      <c r="J907" s="4" t="s">
        <v>35</v>
      </c>
      <c r="K907" s="4" t="s">
        <v>36</v>
      </c>
    </row>
    <row r="908" spans="1:11" x14ac:dyDescent="0.2">
      <c r="A908" s="4">
        <v>5907</v>
      </c>
      <c r="B908" s="4">
        <v>1066</v>
      </c>
      <c r="C908" s="8">
        <v>46103</v>
      </c>
      <c r="D908" s="8">
        <v>46105</v>
      </c>
      <c r="E908" s="10">
        <f t="shared" si="14"/>
        <v>2</v>
      </c>
      <c r="F908" s="4" t="s">
        <v>25</v>
      </c>
      <c r="G908" s="4" t="s">
        <v>14</v>
      </c>
      <c r="H908" s="4">
        <v>49309</v>
      </c>
      <c r="I908" s="4" t="str">
        <f>VLOOKUP(B908,Customers!$A:$D,4,FALSE)</f>
        <v>Regular</v>
      </c>
      <c r="J908" s="4" t="s">
        <v>37</v>
      </c>
      <c r="K908" s="4" t="s">
        <v>36</v>
      </c>
    </row>
    <row r="909" spans="1:11" x14ac:dyDescent="0.2">
      <c r="A909" s="4">
        <v>5908</v>
      </c>
      <c r="B909" s="4">
        <v>1135</v>
      </c>
      <c r="C909" s="8">
        <v>46133</v>
      </c>
      <c r="D909" s="8">
        <v>46139</v>
      </c>
      <c r="E909" s="10">
        <f t="shared" si="14"/>
        <v>6</v>
      </c>
      <c r="F909" s="4" t="s">
        <v>22</v>
      </c>
      <c r="G909" s="4" t="s">
        <v>11</v>
      </c>
      <c r="H909" s="4">
        <v>20813</v>
      </c>
      <c r="I909" s="4" t="str">
        <f>VLOOKUP(B909,Customers!$A:$D,4,FALSE)</f>
        <v>Regular</v>
      </c>
      <c r="J909" s="4" t="s">
        <v>37</v>
      </c>
      <c r="K909" s="4" t="s">
        <v>36</v>
      </c>
    </row>
    <row r="910" spans="1:11" x14ac:dyDescent="0.2">
      <c r="A910" s="4">
        <v>5909</v>
      </c>
      <c r="B910" s="4">
        <v>1252</v>
      </c>
      <c r="C910" s="8">
        <v>46065</v>
      </c>
      <c r="D910" s="8">
        <v>46072</v>
      </c>
      <c r="E910" s="10">
        <f t="shared" si="14"/>
        <v>7</v>
      </c>
      <c r="F910" s="4" t="s">
        <v>18</v>
      </c>
      <c r="G910" s="4" t="s">
        <v>11</v>
      </c>
      <c r="H910" s="4">
        <v>43384</v>
      </c>
      <c r="I910" s="4" t="str">
        <f>VLOOKUP(B910,Customers!$A:$D,4,FALSE)</f>
        <v>Regular</v>
      </c>
      <c r="J910" s="4" t="s">
        <v>37</v>
      </c>
      <c r="K910" s="4" t="s">
        <v>36</v>
      </c>
    </row>
    <row r="911" spans="1:11" x14ac:dyDescent="0.2">
      <c r="A911" s="4">
        <v>5910</v>
      </c>
      <c r="B911" s="4">
        <v>1077</v>
      </c>
      <c r="C911" s="8">
        <v>46036</v>
      </c>
      <c r="D911" s="8">
        <v>46041</v>
      </c>
      <c r="E911" s="10">
        <f t="shared" si="14"/>
        <v>5</v>
      </c>
      <c r="F911" s="4" t="s">
        <v>20</v>
      </c>
      <c r="G911" s="4" t="s">
        <v>13</v>
      </c>
      <c r="H911" s="4">
        <v>12302</v>
      </c>
      <c r="I911" s="4" t="str">
        <f>VLOOKUP(B911,Customers!$A:$D,4,FALSE)</f>
        <v>Regular</v>
      </c>
      <c r="J911" s="4" t="s">
        <v>35</v>
      </c>
      <c r="K911" s="4" t="s">
        <v>36</v>
      </c>
    </row>
    <row r="912" spans="1:11" x14ac:dyDescent="0.2">
      <c r="A912" s="4">
        <v>5911</v>
      </c>
      <c r="B912" s="4">
        <v>1084</v>
      </c>
      <c r="C912" s="8">
        <v>46143</v>
      </c>
      <c r="D912" s="8">
        <v>46149</v>
      </c>
      <c r="E912" s="10">
        <f t="shared" si="14"/>
        <v>6</v>
      </c>
      <c r="F912" s="4" t="s">
        <v>25</v>
      </c>
      <c r="G912" s="4" t="s">
        <v>15</v>
      </c>
      <c r="H912" s="4">
        <v>7903</v>
      </c>
      <c r="I912" s="4" t="str">
        <f>VLOOKUP(B912,Customers!$A:$D,4,FALSE)</f>
        <v>Premium</v>
      </c>
      <c r="J912" s="4" t="s">
        <v>37</v>
      </c>
      <c r="K912" s="4" t="s">
        <v>36</v>
      </c>
    </row>
    <row r="913" spans="1:11" x14ac:dyDescent="0.2">
      <c r="A913" s="4">
        <v>5912</v>
      </c>
      <c r="B913" s="4">
        <v>1183</v>
      </c>
      <c r="C913" s="8">
        <v>46033</v>
      </c>
      <c r="D913" s="8">
        <v>46042</v>
      </c>
      <c r="E913" s="10">
        <f t="shared" si="14"/>
        <v>9</v>
      </c>
      <c r="F913" s="4" t="s">
        <v>25</v>
      </c>
      <c r="G913" s="4" t="s">
        <v>15</v>
      </c>
      <c r="H913" s="4">
        <v>32608</v>
      </c>
      <c r="I913" s="4" t="str">
        <f>VLOOKUP(B913,Customers!$A:$D,4,FALSE)</f>
        <v>Regular</v>
      </c>
      <c r="J913" s="4" t="s">
        <v>35</v>
      </c>
      <c r="K913" s="4" t="s">
        <v>36</v>
      </c>
    </row>
    <row r="914" spans="1:11" x14ac:dyDescent="0.2">
      <c r="A914" s="4">
        <v>5913</v>
      </c>
      <c r="B914" s="4">
        <v>1179</v>
      </c>
      <c r="C914" s="8">
        <v>46060</v>
      </c>
      <c r="D914" s="8">
        <v>46063</v>
      </c>
      <c r="E914" s="10">
        <f t="shared" si="14"/>
        <v>3</v>
      </c>
      <c r="F914" s="4" t="s">
        <v>23</v>
      </c>
      <c r="G914" s="4" t="s">
        <v>13</v>
      </c>
      <c r="H914" s="4">
        <v>18919</v>
      </c>
      <c r="I914" s="4" t="str">
        <f>VLOOKUP(B914,Customers!$A:$D,4,FALSE)</f>
        <v>Premium</v>
      </c>
      <c r="J914" s="4" t="s">
        <v>35</v>
      </c>
      <c r="K914" s="4" t="s">
        <v>36</v>
      </c>
    </row>
    <row r="915" spans="1:11" x14ac:dyDescent="0.2">
      <c r="A915" s="4">
        <v>5914</v>
      </c>
      <c r="B915" s="4">
        <v>1140</v>
      </c>
      <c r="C915" s="8">
        <v>46066</v>
      </c>
      <c r="D915" s="8">
        <v>46076</v>
      </c>
      <c r="E915" s="10">
        <f t="shared" si="14"/>
        <v>10</v>
      </c>
      <c r="F915" s="4" t="s">
        <v>24</v>
      </c>
      <c r="G915" s="4" t="s">
        <v>11</v>
      </c>
      <c r="H915" s="4">
        <v>570</v>
      </c>
      <c r="I915" s="4" t="str">
        <f>VLOOKUP(B915,Customers!$A:$D,4,FALSE)</f>
        <v>Premium</v>
      </c>
      <c r="J915" s="4" t="s">
        <v>35</v>
      </c>
      <c r="K915" s="4" t="s">
        <v>36</v>
      </c>
    </row>
    <row r="916" spans="1:11" x14ac:dyDescent="0.2">
      <c r="A916" s="4">
        <v>5915</v>
      </c>
      <c r="B916" s="4">
        <v>1127</v>
      </c>
      <c r="C916" s="8">
        <v>46129</v>
      </c>
      <c r="D916" s="8">
        <v>46132</v>
      </c>
      <c r="E916" s="10">
        <f t="shared" si="14"/>
        <v>3</v>
      </c>
      <c r="F916" s="4" t="s">
        <v>25</v>
      </c>
      <c r="G916" s="4" t="s">
        <v>12</v>
      </c>
      <c r="H916" s="4">
        <v>21838</v>
      </c>
      <c r="I916" s="4" t="str">
        <f>VLOOKUP(B916,Customers!$A:$D,4,FALSE)</f>
        <v>Regular</v>
      </c>
      <c r="J916" s="4" t="s">
        <v>35</v>
      </c>
      <c r="K916" s="4" t="s">
        <v>36</v>
      </c>
    </row>
    <row r="917" spans="1:11" x14ac:dyDescent="0.2">
      <c r="A917" s="4">
        <v>5916</v>
      </c>
      <c r="B917" s="4">
        <v>1202</v>
      </c>
      <c r="C917" s="8">
        <v>46095</v>
      </c>
      <c r="D917" s="8">
        <v>46098</v>
      </c>
      <c r="E917" s="10">
        <f t="shared" si="14"/>
        <v>3</v>
      </c>
      <c r="F917" s="4" t="s">
        <v>19</v>
      </c>
      <c r="G917" s="4" t="s">
        <v>11</v>
      </c>
      <c r="H917" s="4">
        <v>7251</v>
      </c>
      <c r="I917" s="4" t="str">
        <f>VLOOKUP(B917,Customers!$A:$D,4,FALSE)</f>
        <v>Premium</v>
      </c>
      <c r="J917" s="4" t="s">
        <v>37</v>
      </c>
      <c r="K917" s="4" t="s">
        <v>36</v>
      </c>
    </row>
    <row r="918" spans="1:11" x14ac:dyDescent="0.2">
      <c r="A918" s="4">
        <v>5917</v>
      </c>
      <c r="B918" s="4">
        <v>1042</v>
      </c>
      <c r="C918" s="8">
        <v>46062</v>
      </c>
      <c r="D918" s="8">
        <v>46064</v>
      </c>
      <c r="E918" s="10">
        <f t="shared" si="14"/>
        <v>2</v>
      </c>
      <c r="F918" s="4" t="s">
        <v>25</v>
      </c>
      <c r="G918" s="4" t="s">
        <v>15</v>
      </c>
      <c r="H918" s="4">
        <v>30056</v>
      </c>
      <c r="I918" s="4" t="str">
        <f>VLOOKUP(B918,Customers!$A:$D,4,FALSE)</f>
        <v>Premium</v>
      </c>
      <c r="J918" s="4" t="s">
        <v>37</v>
      </c>
      <c r="K918" s="4" t="s">
        <v>36</v>
      </c>
    </row>
    <row r="919" spans="1:11" x14ac:dyDescent="0.2">
      <c r="A919" s="4">
        <v>5918</v>
      </c>
      <c r="B919" s="4">
        <v>1023</v>
      </c>
      <c r="C919" s="8">
        <v>46024</v>
      </c>
      <c r="D919" s="8">
        <v>46031</v>
      </c>
      <c r="E919" s="10">
        <f t="shared" si="14"/>
        <v>7</v>
      </c>
      <c r="F919" s="4" t="s">
        <v>25</v>
      </c>
      <c r="G919" s="4" t="s">
        <v>14</v>
      </c>
      <c r="H919" s="4">
        <v>48242</v>
      </c>
      <c r="I919" s="4" t="str">
        <f>VLOOKUP(B919,Customers!$A:$D,4,FALSE)</f>
        <v>Regular</v>
      </c>
      <c r="J919" s="4" t="s">
        <v>35</v>
      </c>
      <c r="K919" s="4" t="s">
        <v>36</v>
      </c>
    </row>
    <row r="920" spans="1:11" x14ac:dyDescent="0.2">
      <c r="A920" s="4">
        <v>5919</v>
      </c>
      <c r="B920" s="4">
        <v>1145</v>
      </c>
      <c r="C920" s="8">
        <v>46077</v>
      </c>
      <c r="D920" s="8">
        <v>46079</v>
      </c>
      <c r="E920" s="10">
        <f t="shared" si="14"/>
        <v>2</v>
      </c>
      <c r="F920" s="4" t="s">
        <v>19</v>
      </c>
      <c r="G920" s="4" t="s">
        <v>12</v>
      </c>
      <c r="H920" s="4">
        <v>49045</v>
      </c>
      <c r="I920" s="4" t="str">
        <f>VLOOKUP(B920,Customers!$A:$D,4,FALSE)</f>
        <v>Regular</v>
      </c>
      <c r="J920" s="4" t="s">
        <v>35</v>
      </c>
      <c r="K920" s="4" t="s">
        <v>36</v>
      </c>
    </row>
    <row r="921" spans="1:11" x14ac:dyDescent="0.2">
      <c r="A921" s="4">
        <v>5920</v>
      </c>
      <c r="B921" s="4">
        <v>1048</v>
      </c>
      <c r="C921" s="8">
        <v>46163</v>
      </c>
      <c r="D921" s="8">
        <v>46171</v>
      </c>
      <c r="E921" s="10">
        <f t="shared" si="14"/>
        <v>8</v>
      </c>
      <c r="F921" s="4" t="s">
        <v>21</v>
      </c>
      <c r="G921" s="4" t="s">
        <v>14</v>
      </c>
      <c r="H921" s="4">
        <v>11966</v>
      </c>
      <c r="I921" s="4" t="str">
        <f>VLOOKUP(B921,Customers!$A:$D,4,FALSE)</f>
        <v>Regular</v>
      </c>
      <c r="J921" s="4" t="s">
        <v>35</v>
      </c>
      <c r="K921" s="4" t="s">
        <v>36</v>
      </c>
    </row>
    <row r="922" spans="1:11" x14ac:dyDescent="0.2">
      <c r="A922" s="4">
        <v>5921</v>
      </c>
      <c r="B922" s="4">
        <v>1011</v>
      </c>
      <c r="C922" s="8">
        <v>46125</v>
      </c>
      <c r="D922" s="8">
        <v>46128</v>
      </c>
      <c r="E922" s="10">
        <f t="shared" si="14"/>
        <v>3</v>
      </c>
      <c r="F922" s="4" t="s">
        <v>24</v>
      </c>
      <c r="G922" s="4" t="s">
        <v>13</v>
      </c>
      <c r="H922" s="4">
        <v>25760</v>
      </c>
      <c r="I922" s="4" t="str">
        <f>VLOOKUP(B922,Customers!$A:$D,4,FALSE)</f>
        <v>Regular</v>
      </c>
      <c r="J922" s="4" t="s">
        <v>37</v>
      </c>
      <c r="K922" s="4" t="s">
        <v>36</v>
      </c>
    </row>
    <row r="923" spans="1:11" x14ac:dyDescent="0.2">
      <c r="A923" s="4">
        <v>5922</v>
      </c>
      <c r="B923" s="4">
        <v>1062</v>
      </c>
      <c r="C923" s="8">
        <v>46095</v>
      </c>
      <c r="D923" s="8">
        <v>46099</v>
      </c>
      <c r="E923" s="10">
        <f t="shared" si="14"/>
        <v>4</v>
      </c>
      <c r="F923" s="4" t="s">
        <v>22</v>
      </c>
      <c r="G923" s="4" t="s">
        <v>15</v>
      </c>
      <c r="H923" s="4">
        <v>28635</v>
      </c>
      <c r="I923" s="4" t="str">
        <f>VLOOKUP(B923,Customers!$A:$D,4,FALSE)</f>
        <v>Premium</v>
      </c>
      <c r="J923" s="4" t="s">
        <v>37</v>
      </c>
      <c r="K923" s="4" t="s">
        <v>36</v>
      </c>
    </row>
    <row r="924" spans="1:11" x14ac:dyDescent="0.2">
      <c r="A924" s="4">
        <v>5923</v>
      </c>
      <c r="B924" s="4">
        <v>1050</v>
      </c>
      <c r="C924" s="8">
        <v>46056</v>
      </c>
      <c r="D924" s="8">
        <v>46063</v>
      </c>
      <c r="E924" s="10">
        <f t="shared" si="14"/>
        <v>7</v>
      </c>
      <c r="F924" s="4" t="s">
        <v>19</v>
      </c>
      <c r="G924" s="4" t="s">
        <v>11</v>
      </c>
      <c r="H924" s="4">
        <v>13398</v>
      </c>
      <c r="I924" s="4" t="str">
        <f>VLOOKUP(B924,Customers!$A:$D,4,FALSE)</f>
        <v>Regular</v>
      </c>
      <c r="J924" s="4" t="s">
        <v>37</v>
      </c>
      <c r="K924" s="4" t="s">
        <v>36</v>
      </c>
    </row>
    <row r="925" spans="1:11" x14ac:dyDescent="0.2">
      <c r="A925" s="4">
        <v>5924</v>
      </c>
      <c r="B925" s="4">
        <v>1244</v>
      </c>
      <c r="C925" s="8">
        <v>46137</v>
      </c>
      <c r="D925" s="8">
        <v>46145</v>
      </c>
      <c r="E925" s="10">
        <f t="shared" si="14"/>
        <v>8</v>
      </c>
      <c r="F925" s="4" t="s">
        <v>22</v>
      </c>
      <c r="G925" s="4" t="s">
        <v>11</v>
      </c>
      <c r="H925" s="4">
        <v>39643</v>
      </c>
      <c r="I925" s="4" t="str">
        <f>VLOOKUP(B925,Customers!$A:$D,4,FALSE)</f>
        <v>Premium</v>
      </c>
      <c r="J925" s="4" t="s">
        <v>37</v>
      </c>
      <c r="K925" s="4" t="s">
        <v>36</v>
      </c>
    </row>
    <row r="926" spans="1:11" x14ac:dyDescent="0.2">
      <c r="A926" s="4">
        <v>5925</v>
      </c>
      <c r="B926" s="4">
        <v>1189</v>
      </c>
      <c r="C926" s="8">
        <v>46046</v>
      </c>
      <c r="D926" s="8">
        <v>46054</v>
      </c>
      <c r="E926" s="10">
        <f t="shared" si="14"/>
        <v>8</v>
      </c>
      <c r="F926" s="4" t="s">
        <v>18</v>
      </c>
      <c r="G926" s="4" t="s">
        <v>15</v>
      </c>
      <c r="H926" s="4">
        <v>41632</v>
      </c>
      <c r="I926" s="4" t="str">
        <f>VLOOKUP(B926,Customers!$A:$D,4,FALSE)</f>
        <v>Regular</v>
      </c>
      <c r="J926" s="4" t="s">
        <v>37</v>
      </c>
      <c r="K926" s="4" t="s">
        <v>36</v>
      </c>
    </row>
    <row r="927" spans="1:11" x14ac:dyDescent="0.2">
      <c r="A927" s="4">
        <v>5926</v>
      </c>
      <c r="B927" s="4">
        <v>1263</v>
      </c>
      <c r="C927" s="8">
        <v>46046</v>
      </c>
      <c r="D927" s="8">
        <v>46048</v>
      </c>
      <c r="E927" s="10">
        <f t="shared" si="14"/>
        <v>2</v>
      </c>
      <c r="F927" s="4" t="s">
        <v>19</v>
      </c>
      <c r="G927" s="4" t="s">
        <v>15</v>
      </c>
      <c r="H927" s="4">
        <v>44631</v>
      </c>
      <c r="I927" s="4" t="str">
        <f>VLOOKUP(B927,Customers!$A:$D,4,FALSE)</f>
        <v>Premium</v>
      </c>
      <c r="J927" s="4" t="s">
        <v>35</v>
      </c>
      <c r="K927" s="4" t="s">
        <v>36</v>
      </c>
    </row>
    <row r="928" spans="1:11" x14ac:dyDescent="0.2">
      <c r="A928" s="4">
        <v>5927</v>
      </c>
      <c r="B928" s="4">
        <v>1270</v>
      </c>
      <c r="C928" s="8">
        <v>46062</v>
      </c>
      <c r="D928" s="8">
        <v>46071</v>
      </c>
      <c r="E928" s="10">
        <f t="shared" si="14"/>
        <v>9</v>
      </c>
      <c r="F928" s="4" t="s">
        <v>23</v>
      </c>
      <c r="G928" s="4" t="s">
        <v>14</v>
      </c>
      <c r="H928" s="4">
        <v>30985</v>
      </c>
      <c r="I928" s="4" t="str">
        <f>VLOOKUP(B928,Customers!$A:$D,4,FALSE)</f>
        <v>Premium</v>
      </c>
      <c r="J928" s="4" t="s">
        <v>37</v>
      </c>
      <c r="K928" s="4" t="s">
        <v>36</v>
      </c>
    </row>
    <row r="929" spans="1:11" x14ac:dyDescent="0.2">
      <c r="A929" s="4">
        <v>5928</v>
      </c>
      <c r="B929" s="4">
        <v>1154</v>
      </c>
      <c r="C929" s="8">
        <v>46043</v>
      </c>
      <c r="D929" s="8">
        <v>46052</v>
      </c>
      <c r="E929" s="10">
        <f t="shared" si="14"/>
        <v>9</v>
      </c>
      <c r="F929" s="4" t="s">
        <v>18</v>
      </c>
      <c r="G929" s="4" t="s">
        <v>13</v>
      </c>
      <c r="H929" s="4">
        <v>45147</v>
      </c>
      <c r="I929" s="4" t="str">
        <f>VLOOKUP(B929,Customers!$A:$D,4,FALSE)</f>
        <v>Regular</v>
      </c>
      <c r="J929" s="4" t="s">
        <v>37</v>
      </c>
      <c r="K929" s="4" t="s">
        <v>36</v>
      </c>
    </row>
    <row r="930" spans="1:11" x14ac:dyDescent="0.2">
      <c r="A930" s="4">
        <v>5929</v>
      </c>
      <c r="B930" s="4">
        <v>1219</v>
      </c>
      <c r="C930" s="8">
        <v>46086</v>
      </c>
      <c r="D930" s="8">
        <v>46096</v>
      </c>
      <c r="E930" s="10">
        <f t="shared" si="14"/>
        <v>10</v>
      </c>
      <c r="F930" s="4" t="s">
        <v>22</v>
      </c>
      <c r="G930" s="4" t="s">
        <v>11</v>
      </c>
      <c r="H930" s="4">
        <v>3427</v>
      </c>
      <c r="I930" s="4" t="str">
        <f>VLOOKUP(B930,Customers!$A:$D,4,FALSE)</f>
        <v>Premium</v>
      </c>
      <c r="J930" s="4" t="s">
        <v>35</v>
      </c>
      <c r="K930" s="4" t="s">
        <v>36</v>
      </c>
    </row>
    <row r="931" spans="1:11" x14ac:dyDescent="0.2">
      <c r="A931" s="4">
        <v>5930</v>
      </c>
      <c r="B931" s="4">
        <v>1056</v>
      </c>
      <c r="C931" s="8">
        <v>46034</v>
      </c>
      <c r="D931" s="8">
        <v>46044</v>
      </c>
      <c r="E931" s="10">
        <f t="shared" si="14"/>
        <v>10</v>
      </c>
      <c r="F931" s="4" t="s">
        <v>21</v>
      </c>
      <c r="G931" s="4" t="s">
        <v>15</v>
      </c>
      <c r="H931" s="4">
        <v>6492</v>
      </c>
      <c r="I931" s="4" t="str">
        <f>VLOOKUP(B931,Customers!$A:$D,4,FALSE)</f>
        <v>Regular</v>
      </c>
      <c r="J931" s="4" t="s">
        <v>37</v>
      </c>
      <c r="K931" s="4" t="s">
        <v>36</v>
      </c>
    </row>
    <row r="932" spans="1:11" x14ac:dyDescent="0.2">
      <c r="A932" s="4">
        <v>5931</v>
      </c>
      <c r="B932" s="4">
        <v>1182</v>
      </c>
      <c r="C932" s="8">
        <v>46168</v>
      </c>
      <c r="D932" s="8">
        <v>46174</v>
      </c>
      <c r="E932" s="10">
        <f t="shared" si="14"/>
        <v>6</v>
      </c>
      <c r="F932" s="4" t="s">
        <v>22</v>
      </c>
      <c r="G932" s="4" t="s">
        <v>11</v>
      </c>
      <c r="H932" s="4">
        <v>5658</v>
      </c>
      <c r="I932" s="4" t="str">
        <f>VLOOKUP(B932,Customers!$A:$D,4,FALSE)</f>
        <v>Regular</v>
      </c>
      <c r="J932" s="4" t="s">
        <v>35</v>
      </c>
      <c r="K932" s="4" t="s">
        <v>36</v>
      </c>
    </row>
    <row r="933" spans="1:11" x14ac:dyDescent="0.2">
      <c r="A933" s="4">
        <v>5932</v>
      </c>
      <c r="B933" s="4">
        <v>1092</v>
      </c>
      <c r="C933" s="8">
        <v>46052</v>
      </c>
      <c r="D933" s="8">
        <v>46061</v>
      </c>
      <c r="E933" s="10">
        <f t="shared" si="14"/>
        <v>9</v>
      </c>
      <c r="F933" s="4" t="s">
        <v>18</v>
      </c>
      <c r="G933" s="4" t="s">
        <v>15</v>
      </c>
      <c r="H933" s="4">
        <v>3266</v>
      </c>
      <c r="I933" s="4" t="str">
        <f>VLOOKUP(B933,Customers!$A:$D,4,FALSE)</f>
        <v>Premium</v>
      </c>
      <c r="J933" s="4" t="s">
        <v>35</v>
      </c>
      <c r="K933" s="4" t="s">
        <v>36</v>
      </c>
    </row>
    <row r="934" spans="1:11" x14ac:dyDescent="0.2">
      <c r="A934" s="4">
        <v>5933</v>
      </c>
      <c r="B934" s="4">
        <v>1161</v>
      </c>
      <c r="C934" s="8">
        <v>46129</v>
      </c>
      <c r="D934" s="8">
        <v>46135</v>
      </c>
      <c r="E934" s="10">
        <f t="shared" si="14"/>
        <v>6</v>
      </c>
      <c r="F934" s="4" t="s">
        <v>25</v>
      </c>
      <c r="G934" s="4" t="s">
        <v>15</v>
      </c>
      <c r="H934" s="4">
        <v>41182</v>
      </c>
      <c r="I934" s="4" t="str">
        <f>VLOOKUP(B934,Customers!$A:$D,4,FALSE)</f>
        <v>Regular</v>
      </c>
      <c r="J934" s="4" t="s">
        <v>37</v>
      </c>
      <c r="K934" s="4" t="s">
        <v>36</v>
      </c>
    </row>
    <row r="935" spans="1:11" x14ac:dyDescent="0.2">
      <c r="A935" s="4">
        <v>5934</v>
      </c>
      <c r="B935" s="4">
        <v>1109</v>
      </c>
      <c r="C935" s="8">
        <v>46110</v>
      </c>
      <c r="D935" s="8">
        <v>46114</v>
      </c>
      <c r="E935" s="10">
        <f t="shared" si="14"/>
        <v>4</v>
      </c>
      <c r="F935" s="4" t="s">
        <v>18</v>
      </c>
      <c r="G935" s="4" t="s">
        <v>12</v>
      </c>
      <c r="H935" s="4">
        <v>49257</v>
      </c>
      <c r="I935" s="4" t="str">
        <f>VLOOKUP(B935,Customers!$A:$D,4,FALSE)</f>
        <v>Premium</v>
      </c>
      <c r="J935" s="4" t="s">
        <v>37</v>
      </c>
      <c r="K935" s="4" t="s">
        <v>36</v>
      </c>
    </row>
    <row r="936" spans="1:11" x14ac:dyDescent="0.2">
      <c r="A936" s="4">
        <v>5935</v>
      </c>
      <c r="B936" s="4">
        <v>1274</v>
      </c>
      <c r="C936" s="8">
        <v>46050</v>
      </c>
      <c r="D936" s="8">
        <v>46058</v>
      </c>
      <c r="E936" s="10">
        <f t="shared" si="14"/>
        <v>8</v>
      </c>
      <c r="F936" s="4" t="s">
        <v>20</v>
      </c>
      <c r="G936" s="4" t="s">
        <v>12</v>
      </c>
      <c r="H936" s="4">
        <v>26182</v>
      </c>
      <c r="I936" s="4" t="str">
        <f>VLOOKUP(B936,Customers!$A:$D,4,FALSE)</f>
        <v>Regular</v>
      </c>
      <c r="J936" s="4" t="s">
        <v>35</v>
      </c>
      <c r="K936" s="4" t="s">
        <v>36</v>
      </c>
    </row>
    <row r="937" spans="1:11" x14ac:dyDescent="0.2">
      <c r="A937" s="4">
        <v>5936</v>
      </c>
      <c r="B937" s="4">
        <v>1245</v>
      </c>
      <c r="C937" s="8">
        <v>46026</v>
      </c>
      <c r="D937" s="8">
        <v>46030</v>
      </c>
      <c r="E937" s="10">
        <f t="shared" si="14"/>
        <v>4</v>
      </c>
      <c r="F937" s="4" t="s">
        <v>25</v>
      </c>
      <c r="G937" s="4" t="s">
        <v>15</v>
      </c>
      <c r="H937" s="4">
        <v>43404</v>
      </c>
      <c r="I937" s="4" t="str">
        <f>VLOOKUP(B937,Customers!$A:$D,4,FALSE)</f>
        <v>Premium</v>
      </c>
      <c r="J937" s="4" t="s">
        <v>37</v>
      </c>
      <c r="K937" s="4" t="s">
        <v>36</v>
      </c>
    </row>
    <row r="938" spans="1:11" x14ac:dyDescent="0.2">
      <c r="A938" s="4">
        <v>5937</v>
      </c>
      <c r="B938" s="4">
        <v>1203</v>
      </c>
      <c r="C938" s="8">
        <v>46100</v>
      </c>
      <c r="D938" s="8">
        <v>46107</v>
      </c>
      <c r="E938" s="10">
        <f t="shared" si="14"/>
        <v>7</v>
      </c>
      <c r="F938" s="4" t="s">
        <v>22</v>
      </c>
      <c r="G938" s="4" t="s">
        <v>12</v>
      </c>
      <c r="H938" s="4">
        <v>8497</v>
      </c>
      <c r="I938" s="4" t="str">
        <f>VLOOKUP(B938,Customers!$A:$D,4,FALSE)</f>
        <v>Regular</v>
      </c>
      <c r="J938" s="4" t="s">
        <v>35</v>
      </c>
      <c r="K938" s="4" t="s">
        <v>36</v>
      </c>
    </row>
    <row r="939" spans="1:11" x14ac:dyDescent="0.2">
      <c r="A939" s="4">
        <v>5938</v>
      </c>
      <c r="B939" s="4">
        <v>1058</v>
      </c>
      <c r="C939" s="8">
        <v>46026</v>
      </c>
      <c r="D939" s="8">
        <v>46031</v>
      </c>
      <c r="E939" s="10">
        <f t="shared" si="14"/>
        <v>5</v>
      </c>
      <c r="F939" s="4" t="s">
        <v>20</v>
      </c>
      <c r="G939" s="4" t="s">
        <v>13</v>
      </c>
      <c r="H939" s="4">
        <v>2057</v>
      </c>
      <c r="I939" s="4" t="str">
        <f>VLOOKUP(B939,Customers!$A:$D,4,FALSE)</f>
        <v>Regular</v>
      </c>
      <c r="J939" s="4" t="s">
        <v>35</v>
      </c>
      <c r="K939" s="4" t="s">
        <v>36</v>
      </c>
    </row>
    <row r="940" spans="1:11" x14ac:dyDescent="0.2">
      <c r="A940" s="4">
        <v>5939</v>
      </c>
      <c r="B940" s="4">
        <v>1124</v>
      </c>
      <c r="C940" s="8">
        <v>46146</v>
      </c>
      <c r="D940" s="8">
        <v>46150</v>
      </c>
      <c r="E940" s="10">
        <f t="shared" si="14"/>
        <v>4</v>
      </c>
      <c r="F940" s="4" t="s">
        <v>21</v>
      </c>
      <c r="G940" s="4" t="s">
        <v>11</v>
      </c>
      <c r="H940" s="4">
        <v>12811</v>
      </c>
      <c r="I940" s="4" t="str">
        <f>VLOOKUP(B940,Customers!$A:$D,4,FALSE)</f>
        <v>Premium</v>
      </c>
      <c r="J940" s="4" t="s">
        <v>35</v>
      </c>
      <c r="K940" s="4" t="s">
        <v>36</v>
      </c>
    </row>
    <row r="941" spans="1:11" x14ac:dyDescent="0.2">
      <c r="A941" s="4">
        <v>5940</v>
      </c>
      <c r="B941" s="4">
        <v>1076</v>
      </c>
      <c r="C941" s="8">
        <v>46100</v>
      </c>
      <c r="D941" s="8">
        <v>46109</v>
      </c>
      <c r="E941" s="10">
        <f t="shared" si="14"/>
        <v>9</v>
      </c>
      <c r="F941" s="4" t="s">
        <v>25</v>
      </c>
      <c r="G941" s="4" t="s">
        <v>15</v>
      </c>
      <c r="H941" s="4">
        <v>1729</v>
      </c>
      <c r="I941" s="4" t="str">
        <f>VLOOKUP(B941,Customers!$A:$D,4,FALSE)</f>
        <v>Regular</v>
      </c>
      <c r="J941" s="4" t="s">
        <v>35</v>
      </c>
      <c r="K941" s="4" t="s">
        <v>36</v>
      </c>
    </row>
    <row r="942" spans="1:11" x14ac:dyDescent="0.2">
      <c r="A942" s="4">
        <v>5941</v>
      </c>
      <c r="B942" s="4">
        <v>1228</v>
      </c>
      <c r="C942" s="8">
        <v>46065</v>
      </c>
      <c r="D942" s="8">
        <v>46069</v>
      </c>
      <c r="E942" s="10">
        <f t="shared" si="14"/>
        <v>4</v>
      </c>
      <c r="F942" s="4" t="s">
        <v>25</v>
      </c>
      <c r="G942" s="4" t="s">
        <v>15</v>
      </c>
      <c r="H942" s="4">
        <v>1586</v>
      </c>
      <c r="I942" s="4" t="str">
        <f>VLOOKUP(B942,Customers!$A:$D,4,FALSE)</f>
        <v>Premium</v>
      </c>
      <c r="J942" s="4" t="s">
        <v>37</v>
      </c>
      <c r="K942" s="4" t="s">
        <v>36</v>
      </c>
    </row>
    <row r="943" spans="1:11" x14ac:dyDescent="0.2">
      <c r="A943" s="4">
        <v>5942</v>
      </c>
      <c r="B943" s="4">
        <v>1104</v>
      </c>
      <c r="C943" s="8">
        <v>46172</v>
      </c>
      <c r="D943" s="8">
        <v>46177</v>
      </c>
      <c r="E943" s="10">
        <f t="shared" si="14"/>
        <v>5</v>
      </c>
      <c r="F943" s="4" t="s">
        <v>22</v>
      </c>
      <c r="G943" s="4" t="s">
        <v>11</v>
      </c>
      <c r="H943" s="4">
        <v>25972</v>
      </c>
      <c r="I943" s="4" t="str">
        <f>VLOOKUP(B943,Customers!$A:$D,4,FALSE)</f>
        <v>Regular</v>
      </c>
      <c r="J943" s="4" t="s">
        <v>35</v>
      </c>
      <c r="K943" s="4" t="s">
        <v>36</v>
      </c>
    </row>
    <row r="944" spans="1:11" x14ac:dyDescent="0.2">
      <c r="A944" s="4">
        <v>5943</v>
      </c>
      <c r="B944" s="4">
        <v>1053</v>
      </c>
      <c r="C944" s="8">
        <v>46108</v>
      </c>
      <c r="D944" s="8">
        <v>46110</v>
      </c>
      <c r="E944" s="10">
        <f t="shared" si="14"/>
        <v>2</v>
      </c>
      <c r="F944" s="4" t="s">
        <v>21</v>
      </c>
      <c r="G944" s="4" t="s">
        <v>15</v>
      </c>
      <c r="H944" s="4">
        <v>32786</v>
      </c>
      <c r="I944" s="4" t="str">
        <f>VLOOKUP(B944,Customers!$A:$D,4,FALSE)</f>
        <v>Regular</v>
      </c>
      <c r="J944" s="4" t="s">
        <v>37</v>
      </c>
      <c r="K944" s="4" t="s">
        <v>36</v>
      </c>
    </row>
    <row r="945" spans="1:11" x14ac:dyDescent="0.2">
      <c r="A945" s="4">
        <v>5944</v>
      </c>
      <c r="B945" s="4">
        <v>1205</v>
      </c>
      <c r="C945" s="8">
        <v>46032</v>
      </c>
      <c r="D945" s="8">
        <v>46041</v>
      </c>
      <c r="E945" s="10">
        <f t="shared" si="14"/>
        <v>9</v>
      </c>
      <c r="F945" s="4" t="s">
        <v>25</v>
      </c>
      <c r="G945" s="4" t="s">
        <v>11</v>
      </c>
      <c r="H945" s="4">
        <v>39034</v>
      </c>
      <c r="I945" s="4" t="str">
        <f>VLOOKUP(B945,Customers!$A:$D,4,FALSE)</f>
        <v>Regular</v>
      </c>
      <c r="J945" s="4" t="s">
        <v>37</v>
      </c>
      <c r="K945" s="4" t="s">
        <v>36</v>
      </c>
    </row>
    <row r="946" spans="1:11" x14ac:dyDescent="0.2">
      <c r="A946" s="4">
        <v>5945</v>
      </c>
      <c r="B946" s="4">
        <v>1271</v>
      </c>
      <c r="C946" s="8">
        <v>46082</v>
      </c>
      <c r="D946" s="8">
        <v>46084</v>
      </c>
      <c r="E946" s="10">
        <f t="shared" si="14"/>
        <v>2</v>
      </c>
      <c r="F946" s="4" t="s">
        <v>20</v>
      </c>
      <c r="G946" s="4" t="s">
        <v>15</v>
      </c>
      <c r="H946" s="4">
        <v>38075</v>
      </c>
      <c r="I946" s="4" t="str">
        <f>VLOOKUP(B946,Customers!$A:$D,4,FALSE)</f>
        <v>Regular</v>
      </c>
      <c r="J946" s="4" t="s">
        <v>37</v>
      </c>
      <c r="K946" s="4" t="s">
        <v>36</v>
      </c>
    </row>
    <row r="947" spans="1:11" x14ac:dyDescent="0.2">
      <c r="A947" s="4">
        <v>5946</v>
      </c>
      <c r="B947" s="4">
        <v>1138</v>
      </c>
      <c r="C947" s="8">
        <v>46164</v>
      </c>
      <c r="D947" s="8">
        <v>46167</v>
      </c>
      <c r="E947" s="10">
        <f t="shared" si="14"/>
        <v>3</v>
      </c>
      <c r="F947" s="4" t="s">
        <v>21</v>
      </c>
      <c r="G947" s="4" t="s">
        <v>15</v>
      </c>
      <c r="H947" s="4">
        <v>7963</v>
      </c>
      <c r="I947" s="4" t="str">
        <f>VLOOKUP(B947,Customers!$A:$D,4,FALSE)</f>
        <v>Premium</v>
      </c>
      <c r="J947" s="4" t="s">
        <v>37</v>
      </c>
      <c r="K947" s="4" t="s">
        <v>36</v>
      </c>
    </row>
    <row r="948" spans="1:11" x14ac:dyDescent="0.2">
      <c r="A948" s="4">
        <v>5947</v>
      </c>
      <c r="B948" s="4">
        <v>1224</v>
      </c>
      <c r="C948" s="8">
        <v>46111</v>
      </c>
      <c r="D948" s="8">
        <v>46120</v>
      </c>
      <c r="E948" s="10">
        <f t="shared" si="14"/>
        <v>9</v>
      </c>
      <c r="F948" s="4" t="s">
        <v>20</v>
      </c>
      <c r="G948" s="4" t="s">
        <v>13</v>
      </c>
      <c r="H948" s="4">
        <v>19175</v>
      </c>
      <c r="I948" s="4" t="str">
        <f>VLOOKUP(B948,Customers!$A:$D,4,FALSE)</f>
        <v>Premium</v>
      </c>
      <c r="J948" s="4" t="s">
        <v>35</v>
      </c>
      <c r="K948" s="4" t="s">
        <v>36</v>
      </c>
    </row>
    <row r="949" spans="1:11" x14ac:dyDescent="0.2">
      <c r="A949" s="4">
        <v>5948</v>
      </c>
      <c r="B949" s="4">
        <v>1225</v>
      </c>
      <c r="C949" s="8">
        <v>46143</v>
      </c>
      <c r="D949" s="8">
        <v>46150</v>
      </c>
      <c r="E949" s="10">
        <f t="shared" si="14"/>
        <v>7</v>
      </c>
      <c r="F949" s="4" t="s">
        <v>24</v>
      </c>
      <c r="G949" s="4" t="s">
        <v>11</v>
      </c>
      <c r="H949" s="4">
        <v>14698</v>
      </c>
      <c r="I949" s="4" t="str">
        <f>VLOOKUP(B949,Customers!$A:$D,4,FALSE)</f>
        <v>Regular</v>
      </c>
      <c r="J949" s="4" t="s">
        <v>37</v>
      </c>
      <c r="K949" s="4" t="s">
        <v>36</v>
      </c>
    </row>
    <row r="950" spans="1:11" x14ac:dyDescent="0.2">
      <c r="A950" s="4">
        <v>5949</v>
      </c>
      <c r="B950" s="4">
        <v>1151</v>
      </c>
      <c r="C950" s="8">
        <v>46142</v>
      </c>
      <c r="D950" s="8">
        <v>46146</v>
      </c>
      <c r="E950" s="10">
        <f t="shared" si="14"/>
        <v>4</v>
      </c>
      <c r="F950" s="4" t="s">
        <v>21</v>
      </c>
      <c r="G950" s="4" t="s">
        <v>15</v>
      </c>
      <c r="H950" s="4">
        <v>44412</v>
      </c>
      <c r="I950" s="4" t="str">
        <f>VLOOKUP(B950,Customers!$A:$D,4,FALSE)</f>
        <v>Regular</v>
      </c>
      <c r="J950" s="4" t="s">
        <v>37</v>
      </c>
      <c r="K950" s="4" t="s">
        <v>36</v>
      </c>
    </row>
    <row r="951" spans="1:11" x14ac:dyDescent="0.2">
      <c r="A951" s="4">
        <v>5950</v>
      </c>
      <c r="B951" s="4">
        <v>1107</v>
      </c>
      <c r="C951" s="8">
        <v>46143</v>
      </c>
      <c r="D951" s="8">
        <v>46147</v>
      </c>
      <c r="E951" s="10">
        <f t="shared" si="14"/>
        <v>4</v>
      </c>
      <c r="F951" s="4" t="s">
        <v>22</v>
      </c>
      <c r="G951" s="4" t="s">
        <v>12</v>
      </c>
      <c r="H951" s="4">
        <v>44016</v>
      </c>
      <c r="I951" s="4" t="str">
        <f>VLOOKUP(B951,Customers!$A:$D,4,FALSE)</f>
        <v>Premium</v>
      </c>
      <c r="J951" s="4" t="s">
        <v>37</v>
      </c>
      <c r="K951" s="4" t="s">
        <v>36</v>
      </c>
    </row>
    <row r="952" spans="1:11" x14ac:dyDescent="0.2">
      <c r="A952" s="4">
        <v>5951</v>
      </c>
      <c r="B952" s="4">
        <v>1103</v>
      </c>
      <c r="C952" s="8">
        <v>46056</v>
      </c>
      <c r="D952" s="8">
        <v>46060</v>
      </c>
      <c r="E952" s="10">
        <f t="shared" si="14"/>
        <v>4</v>
      </c>
      <c r="F952" s="4" t="s">
        <v>18</v>
      </c>
      <c r="G952" s="4" t="s">
        <v>11</v>
      </c>
      <c r="H952" s="4">
        <v>32555</v>
      </c>
      <c r="I952" s="4" t="str">
        <f>VLOOKUP(B952,Customers!$A:$D,4,FALSE)</f>
        <v>Premium</v>
      </c>
      <c r="J952" s="4" t="s">
        <v>35</v>
      </c>
      <c r="K952" s="4" t="s">
        <v>36</v>
      </c>
    </row>
    <row r="953" spans="1:11" x14ac:dyDescent="0.2">
      <c r="A953" s="4">
        <v>5952</v>
      </c>
      <c r="B953" s="4">
        <v>1156</v>
      </c>
      <c r="C953" s="8">
        <v>46129</v>
      </c>
      <c r="D953" s="8">
        <v>46138</v>
      </c>
      <c r="E953" s="10">
        <f t="shared" si="14"/>
        <v>9</v>
      </c>
      <c r="F953" s="4" t="s">
        <v>24</v>
      </c>
      <c r="G953" s="4" t="s">
        <v>13</v>
      </c>
      <c r="H953" s="4">
        <v>36792</v>
      </c>
      <c r="I953" s="4" t="str">
        <f>VLOOKUP(B953,Customers!$A:$D,4,FALSE)</f>
        <v>Premium</v>
      </c>
      <c r="J953" s="4" t="s">
        <v>35</v>
      </c>
      <c r="K953" s="4" t="s">
        <v>36</v>
      </c>
    </row>
    <row r="954" spans="1:11" x14ac:dyDescent="0.2">
      <c r="A954" s="4">
        <v>5953</v>
      </c>
      <c r="B954" s="4">
        <v>1134</v>
      </c>
      <c r="C954" s="8">
        <v>46027</v>
      </c>
      <c r="D954" s="8">
        <v>46034</v>
      </c>
      <c r="E954" s="10">
        <f t="shared" si="14"/>
        <v>7</v>
      </c>
      <c r="F954" s="4" t="s">
        <v>19</v>
      </c>
      <c r="G954" s="4" t="s">
        <v>13</v>
      </c>
      <c r="H954" s="4">
        <v>11750</v>
      </c>
      <c r="I954" s="4" t="str">
        <f>VLOOKUP(B954,Customers!$A:$D,4,FALSE)</f>
        <v>Premium</v>
      </c>
      <c r="J954" s="4" t="s">
        <v>35</v>
      </c>
      <c r="K954" s="4" t="s">
        <v>36</v>
      </c>
    </row>
    <row r="955" spans="1:11" x14ac:dyDescent="0.2">
      <c r="A955" s="4">
        <v>5954</v>
      </c>
      <c r="B955" s="4">
        <v>1221</v>
      </c>
      <c r="C955" s="8">
        <v>46039</v>
      </c>
      <c r="D955" s="8">
        <v>46046</v>
      </c>
      <c r="E955" s="10">
        <f t="shared" si="14"/>
        <v>7</v>
      </c>
      <c r="F955" s="4" t="s">
        <v>23</v>
      </c>
      <c r="G955" s="4" t="s">
        <v>11</v>
      </c>
      <c r="H955" s="4">
        <v>15156</v>
      </c>
      <c r="I955" s="4" t="str">
        <f>VLOOKUP(B955,Customers!$A:$D,4,FALSE)</f>
        <v>Premium</v>
      </c>
      <c r="J955" s="4" t="s">
        <v>35</v>
      </c>
      <c r="K955" s="4" t="s">
        <v>36</v>
      </c>
    </row>
    <row r="956" spans="1:11" x14ac:dyDescent="0.2">
      <c r="A956" s="4">
        <v>5955</v>
      </c>
      <c r="B956" s="4">
        <v>1250</v>
      </c>
      <c r="C956" s="8">
        <v>46166</v>
      </c>
      <c r="D956" s="8">
        <v>46171</v>
      </c>
      <c r="E956" s="10">
        <f t="shared" si="14"/>
        <v>5</v>
      </c>
      <c r="F956" s="4" t="s">
        <v>22</v>
      </c>
      <c r="G956" s="4" t="s">
        <v>14</v>
      </c>
      <c r="H956" s="4">
        <v>23581</v>
      </c>
      <c r="I956" s="4" t="str">
        <f>VLOOKUP(B956,Customers!$A:$D,4,FALSE)</f>
        <v>Regular</v>
      </c>
      <c r="J956" s="4" t="s">
        <v>35</v>
      </c>
      <c r="K956" s="4" t="s">
        <v>36</v>
      </c>
    </row>
    <row r="957" spans="1:11" x14ac:dyDescent="0.2">
      <c r="A957" s="4">
        <v>5956</v>
      </c>
      <c r="B957" s="4">
        <v>1078</v>
      </c>
      <c r="C957" s="8">
        <v>46165</v>
      </c>
      <c r="D957" s="8">
        <v>46171</v>
      </c>
      <c r="E957" s="10">
        <f t="shared" si="14"/>
        <v>6</v>
      </c>
      <c r="F957" s="4" t="s">
        <v>23</v>
      </c>
      <c r="G957" s="4" t="s">
        <v>12</v>
      </c>
      <c r="H957" s="4">
        <v>28993</v>
      </c>
      <c r="I957" s="4" t="str">
        <f>VLOOKUP(B957,Customers!$A:$D,4,FALSE)</f>
        <v>Regular</v>
      </c>
      <c r="J957" s="4" t="s">
        <v>37</v>
      </c>
      <c r="K957" s="4" t="s">
        <v>36</v>
      </c>
    </row>
    <row r="958" spans="1:11" x14ac:dyDescent="0.2">
      <c r="A958" s="4">
        <v>5957</v>
      </c>
      <c r="B958" s="4">
        <v>1053</v>
      </c>
      <c r="C958" s="8">
        <v>46051</v>
      </c>
      <c r="D958" s="8">
        <v>46054</v>
      </c>
      <c r="E958" s="10">
        <f t="shared" si="14"/>
        <v>3</v>
      </c>
      <c r="F958" s="4" t="s">
        <v>20</v>
      </c>
      <c r="G958" s="4" t="s">
        <v>11</v>
      </c>
      <c r="H958" s="4">
        <v>7208</v>
      </c>
      <c r="I958" s="4" t="str">
        <f>VLOOKUP(B958,Customers!$A:$D,4,FALSE)</f>
        <v>Regular</v>
      </c>
      <c r="J958" s="4" t="s">
        <v>35</v>
      </c>
      <c r="K958" s="4" t="s">
        <v>36</v>
      </c>
    </row>
    <row r="959" spans="1:11" x14ac:dyDescent="0.2">
      <c r="A959" s="4">
        <v>5958</v>
      </c>
      <c r="B959" s="4">
        <v>1186</v>
      </c>
      <c r="C959" s="8">
        <v>46053</v>
      </c>
      <c r="D959" s="8">
        <v>46058</v>
      </c>
      <c r="E959" s="10">
        <f t="shared" si="14"/>
        <v>5</v>
      </c>
      <c r="F959" s="4" t="s">
        <v>18</v>
      </c>
      <c r="G959" s="4" t="s">
        <v>14</v>
      </c>
      <c r="H959" s="4">
        <v>46710</v>
      </c>
      <c r="I959" s="4" t="str">
        <f>VLOOKUP(B959,Customers!$A:$D,4,FALSE)</f>
        <v>Premium</v>
      </c>
      <c r="J959" s="4" t="s">
        <v>37</v>
      </c>
      <c r="K959" s="4" t="s">
        <v>36</v>
      </c>
    </row>
    <row r="960" spans="1:11" x14ac:dyDescent="0.2">
      <c r="A960" s="4">
        <v>5959</v>
      </c>
      <c r="B960" s="4">
        <v>1051</v>
      </c>
      <c r="C960" s="8">
        <v>46152</v>
      </c>
      <c r="D960" s="8">
        <v>46161</v>
      </c>
      <c r="E960" s="10">
        <f t="shared" si="14"/>
        <v>9</v>
      </c>
      <c r="F960" s="4" t="s">
        <v>18</v>
      </c>
      <c r="G960" s="4" t="s">
        <v>14</v>
      </c>
      <c r="H960" s="4">
        <v>22228</v>
      </c>
      <c r="I960" s="4" t="str">
        <f>VLOOKUP(B960,Customers!$A:$D,4,FALSE)</f>
        <v>Premium</v>
      </c>
      <c r="J960" s="4" t="s">
        <v>35</v>
      </c>
      <c r="K960" s="4" t="s">
        <v>36</v>
      </c>
    </row>
    <row r="961" spans="1:11" x14ac:dyDescent="0.2">
      <c r="A961" s="4">
        <v>5960</v>
      </c>
      <c r="B961" s="4">
        <v>1225</v>
      </c>
      <c r="C961" s="8">
        <v>46054</v>
      </c>
      <c r="D961" s="8">
        <v>46059</v>
      </c>
      <c r="E961" s="10">
        <f t="shared" si="14"/>
        <v>5</v>
      </c>
      <c r="F961" s="4" t="s">
        <v>21</v>
      </c>
      <c r="G961" s="4" t="s">
        <v>12</v>
      </c>
      <c r="H961" s="4">
        <v>16377</v>
      </c>
      <c r="I961" s="4" t="str">
        <f>VLOOKUP(B961,Customers!$A:$D,4,FALSE)</f>
        <v>Regular</v>
      </c>
      <c r="J961" s="4" t="s">
        <v>37</v>
      </c>
      <c r="K961" s="4" t="s">
        <v>36</v>
      </c>
    </row>
    <row r="962" spans="1:11" x14ac:dyDescent="0.2">
      <c r="A962" s="4">
        <v>5961</v>
      </c>
      <c r="B962" s="4">
        <v>1259</v>
      </c>
      <c r="C962" s="8">
        <v>46110</v>
      </c>
      <c r="D962" s="8">
        <v>46116</v>
      </c>
      <c r="E962" s="10">
        <f t="shared" si="14"/>
        <v>6</v>
      </c>
      <c r="F962" s="4" t="s">
        <v>18</v>
      </c>
      <c r="G962" s="4" t="s">
        <v>12</v>
      </c>
      <c r="H962" s="4">
        <v>17733</v>
      </c>
      <c r="I962" s="4" t="str">
        <f>VLOOKUP(B962,Customers!$A:$D,4,FALSE)</f>
        <v>Premium</v>
      </c>
      <c r="J962" s="4" t="s">
        <v>37</v>
      </c>
      <c r="K962" s="4" t="s">
        <v>36</v>
      </c>
    </row>
    <row r="963" spans="1:11" x14ac:dyDescent="0.2">
      <c r="A963" s="4">
        <v>5962</v>
      </c>
      <c r="B963" s="4">
        <v>1126</v>
      </c>
      <c r="C963" s="8">
        <v>46129</v>
      </c>
      <c r="D963" s="8">
        <v>46136</v>
      </c>
      <c r="E963" s="10">
        <f t="shared" ref="E963:E1026" si="15">D963-C963</f>
        <v>7</v>
      </c>
      <c r="F963" s="4" t="s">
        <v>18</v>
      </c>
      <c r="G963" s="4" t="s">
        <v>11</v>
      </c>
      <c r="H963" s="4">
        <v>27937</v>
      </c>
      <c r="I963" s="4" t="str">
        <f>VLOOKUP(B963,Customers!$A:$D,4,FALSE)</f>
        <v>Premium</v>
      </c>
      <c r="J963" s="4" t="s">
        <v>35</v>
      </c>
      <c r="K963" s="4" t="s">
        <v>36</v>
      </c>
    </row>
    <row r="964" spans="1:11" x14ac:dyDescent="0.2">
      <c r="A964" s="4">
        <v>5963</v>
      </c>
      <c r="B964" s="4">
        <v>1212</v>
      </c>
      <c r="C964" s="8">
        <v>46058</v>
      </c>
      <c r="D964" s="8">
        <v>46066</v>
      </c>
      <c r="E964" s="10">
        <f t="shared" si="15"/>
        <v>8</v>
      </c>
      <c r="F964" s="4" t="s">
        <v>21</v>
      </c>
      <c r="G964" s="4" t="s">
        <v>15</v>
      </c>
      <c r="H964" s="4">
        <v>34126</v>
      </c>
      <c r="I964" s="4" t="str">
        <f>VLOOKUP(B964,Customers!$A:$D,4,FALSE)</f>
        <v>Premium</v>
      </c>
      <c r="J964" s="4" t="s">
        <v>37</v>
      </c>
      <c r="K964" s="4" t="s">
        <v>36</v>
      </c>
    </row>
    <row r="965" spans="1:11" x14ac:dyDescent="0.2">
      <c r="A965" s="4">
        <v>5964</v>
      </c>
      <c r="B965" s="4">
        <v>1075</v>
      </c>
      <c r="C965" s="8">
        <v>46030</v>
      </c>
      <c r="D965" s="8">
        <v>46039</v>
      </c>
      <c r="E965" s="10">
        <f t="shared" si="15"/>
        <v>9</v>
      </c>
      <c r="F965" s="4" t="s">
        <v>20</v>
      </c>
      <c r="G965" s="4" t="s">
        <v>11</v>
      </c>
      <c r="H965" s="4">
        <v>4860</v>
      </c>
      <c r="I965" s="4" t="str">
        <f>VLOOKUP(B965,Customers!$A:$D,4,FALSE)</f>
        <v>Premium</v>
      </c>
      <c r="J965" s="4" t="s">
        <v>35</v>
      </c>
      <c r="K965" s="4" t="s">
        <v>36</v>
      </c>
    </row>
    <row r="966" spans="1:11" x14ac:dyDescent="0.2">
      <c r="A966" s="4">
        <v>5965</v>
      </c>
      <c r="B966" s="4">
        <v>1206</v>
      </c>
      <c r="C966" s="8">
        <v>46109</v>
      </c>
      <c r="D966" s="8">
        <v>46116</v>
      </c>
      <c r="E966" s="10">
        <f t="shared" si="15"/>
        <v>7</v>
      </c>
      <c r="F966" s="4" t="s">
        <v>18</v>
      </c>
      <c r="G966" s="4" t="s">
        <v>15</v>
      </c>
      <c r="H966" s="4">
        <v>4328</v>
      </c>
      <c r="I966" s="4" t="str">
        <f>VLOOKUP(B966,Customers!$A:$D,4,FALSE)</f>
        <v>Regular</v>
      </c>
      <c r="J966" s="4" t="s">
        <v>37</v>
      </c>
      <c r="K966" s="4" t="s">
        <v>36</v>
      </c>
    </row>
    <row r="967" spans="1:11" x14ac:dyDescent="0.2">
      <c r="A967" s="4">
        <v>5966</v>
      </c>
      <c r="B967" s="4">
        <v>1295</v>
      </c>
      <c r="C967" s="8">
        <v>46032</v>
      </c>
      <c r="D967" s="8">
        <v>46036</v>
      </c>
      <c r="E967" s="10">
        <f t="shared" si="15"/>
        <v>4</v>
      </c>
      <c r="F967" s="4" t="s">
        <v>20</v>
      </c>
      <c r="G967" s="4" t="s">
        <v>11</v>
      </c>
      <c r="H967" s="4">
        <v>19680</v>
      </c>
      <c r="I967" s="4" t="str">
        <f>VLOOKUP(B967,Customers!$A:$D,4,FALSE)</f>
        <v>Regular</v>
      </c>
      <c r="J967" s="4" t="s">
        <v>37</v>
      </c>
      <c r="K967" s="4" t="s">
        <v>36</v>
      </c>
    </row>
    <row r="968" spans="1:11" x14ac:dyDescent="0.2">
      <c r="A968" s="4">
        <v>5967</v>
      </c>
      <c r="B968" s="4">
        <v>1156</v>
      </c>
      <c r="C968" s="8">
        <v>46125</v>
      </c>
      <c r="D968" s="8">
        <v>46135</v>
      </c>
      <c r="E968" s="10">
        <f t="shared" si="15"/>
        <v>10</v>
      </c>
      <c r="F968" s="4" t="s">
        <v>19</v>
      </c>
      <c r="G968" s="4" t="s">
        <v>14</v>
      </c>
      <c r="H968" s="4">
        <v>817</v>
      </c>
      <c r="I968" s="4" t="str">
        <f>VLOOKUP(B968,Customers!$A:$D,4,FALSE)</f>
        <v>Premium</v>
      </c>
      <c r="J968" s="4" t="s">
        <v>37</v>
      </c>
      <c r="K968" s="4" t="s">
        <v>36</v>
      </c>
    </row>
    <row r="969" spans="1:11" x14ac:dyDescent="0.2">
      <c r="A969" s="4">
        <v>5968</v>
      </c>
      <c r="B969" s="4">
        <v>1207</v>
      </c>
      <c r="C969" s="8">
        <v>46158</v>
      </c>
      <c r="D969" s="8">
        <v>46162</v>
      </c>
      <c r="E969" s="10">
        <f t="shared" si="15"/>
        <v>4</v>
      </c>
      <c r="F969" s="4" t="s">
        <v>25</v>
      </c>
      <c r="G969" s="4" t="s">
        <v>13</v>
      </c>
      <c r="H969" s="4">
        <v>35979</v>
      </c>
      <c r="I969" s="4" t="str">
        <f>VLOOKUP(B969,Customers!$A:$D,4,FALSE)</f>
        <v>Premium</v>
      </c>
      <c r="J969" s="4" t="s">
        <v>37</v>
      </c>
      <c r="K969" s="4" t="s">
        <v>36</v>
      </c>
    </row>
    <row r="970" spans="1:11" x14ac:dyDescent="0.2">
      <c r="A970" s="4">
        <v>5969</v>
      </c>
      <c r="B970" s="4">
        <v>1102</v>
      </c>
      <c r="C970" s="8">
        <v>46111</v>
      </c>
      <c r="D970" s="8">
        <v>46119</v>
      </c>
      <c r="E970" s="10">
        <f t="shared" si="15"/>
        <v>8</v>
      </c>
      <c r="F970" s="4" t="s">
        <v>22</v>
      </c>
      <c r="G970" s="4" t="s">
        <v>12</v>
      </c>
      <c r="H970" s="4">
        <v>2722</v>
      </c>
      <c r="I970" s="4" t="str">
        <f>VLOOKUP(B970,Customers!$A:$D,4,FALSE)</f>
        <v>Premium</v>
      </c>
      <c r="J970" s="4" t="s">
        <v>37</v>
      </c>
      <c r="K970" s="4" t="s">
        <v>36</v>
      </c>
    </row>
    <row r="971" spans="1:11" x14ac:dyDescent="0.2">
      <c r="A971" s="4">
        <v>5970</v>
      </c>
      <c r="B971" s="4">
        <v>1267</v>
      </c>
      <c r="C971" s="8">
        <v>46122</v>
      </c>
      <c r="D971" s="8">
        <v>46126</v>
      </c>
      <c r="E971" s="10">
        <f t="shared" si="15"/>
        <v>4</v>
      </c>
      <c r="F971" s="4" t="s">
        <v>22</v>
      </c>
      <c r="G971" s="4" t="s">
        <v>13</v>
      </c>
      <c r="H971" s="4">
        <v>6383</v>
      </c>
      <c r="I971" s="4" t="str">
        <f>VLOOKUP(B971,Customers!$A:$D,4,FALSE)</f>
        <v>Premium</v>
      </c>
      <c r="J971" s="4" t="s">
        <v>37</v>
      </c>
      <c r="K971" s="4" t="s">
        <v>36</v>
      </c>
    </row>
    <row r="972" spans="1:11" x14ac:dyDescent="0.2">
      <c r="A972" s="4">
        <v>5971</v>
      </c>
      <c r="B972" s="4">
        <v>1082</v>
      </c>
      <c r="C972" s="8">
        <v>46156</v>
      </c>
      <c r="D972" s="8">
        <v>46163</v>
      </c>
      <c r="E972" s="10">
        <f t="shared" si="15"/>
        <v>7</v>
      </c>
      <c r="F972" s="4" t="s">
        <v>20</v>
      </c>
      <c r="G972" s="4" t="s">
        <v>12</v>
      </c>
      <c r="H972" s="4">
        <v>35685</v>
      </c>
      <c r="I972" s="4" t="str">
        <f>VLOOKUP(B972,Customers!$A:$D,4,FALSE)</f>
        <v>Premium</v>
      </c>
      <c r="J972" s="4" t="s">
        <v>37</v>
      </c>
      <c r="K972" s="4" t="s">
        <v>36</v>
      </c>
    </row>
    <row r="973" spans="1:11" x14ac:dyDescent="0.2">
      <c r="A973" s="4">
        <v>5972</v>
      </c>
      <c r="B973" s="4">
        <v>1217</v>
      </c>
      <c r="C973" s="8">
        <v>46084</v>
      </c>
      <c r="D973" s="8">
        <v>46090</v>
      </c>
      <c r="E973" s="10">
        <f t="shared" si="15"/>
        <v>6</v>
      </c>
      <c r="F973" s="4" t="s">
        <v>23</v>
      </c>
      <c r="G973" s="4" t="s">
        <v>12</v>
      </c>
      <c r="H973" s="4">
        <v>24743</v>
      </c>
      <c r="I973" s="4" t="str">
        <f>VLOOKUP(B973,Customers!$A:$D,4,FALSE)</f>
        <v>Regular</v>
      </c>
      <c r="J973" s="4" t="s">
        <v>37</v>
      </c>
      <c r="K973" s="4" t="s">
        <v>36</v>
      </c>
    </row>
    <row r="974" spans="1:11" x14ac:dyDescent="0.2">
      <c r="A974" s="4">
        <v>5973</v>
      </c>
      <c r="B974" s="4">
        <v>1064</v>
      </c>
      <c r="C974" s="8">
        <v>46152</v>
      </c>
      <c r="D974" s="8">
        <v>46159</v>
      </c>
      <c r="E974" s="10">
        <f t="shared" si="15"/>
        <v>7</v>
      </c>
      <c r="F974" s="4" t="s">
        <v>20</v>
      </c>
      <c r="G974" s="4" t="s">
        <v>12</v>
      </c>
      <c r="H974" s="4">
        <v>29708</v>
      </c>
      <c r="I974" s="4" t="str">
        <f>VLOOKUP(B974,Customers!$A:$D,4,FALSE)</f>
        <v>Premium</v>
      </c>
      <c r="J974" s="4" t="s">
        <v>37</v>
      </c>
      <c r="K974" s="4" t="s">
        <v>36</v>
      </c>
    </row>
    <row r="975" spans="1:11" x14ac:dyDescent="0.2">
      <c r="A975" s="4">
        <v>5974</v>
      </c>
      <c r="B975" s="4">
        <v>1233</v>
      </c>
      <c r="C975" s="8">
        <v>46169</v>
      </c>
      <c r="D975" s="8">
        <v>46171</v>
      </c>
      <c r="E975" s="10">
        <f t="shared" si="15"/>
        <v>2</v>
      </c>
      <c r="F975" s="4" t="s">
        <v>19</v>
      </c>
      <c r="G975" s="4" t="s">
        <v>13</v>
      </c>
      <c r="H975" s="4">
        <v>49174</v>
      </c>
      <c r="I975" s="4" t="str">
        <f>VLOOKUP(B975,Customers!$A:$D,4,FALSE)</f>
        <v>Regular</v>
      </c>
      <c r="J975" s="4" t="s">
        <v>35</v>
      </c>
      <c r="K975" s="4" t="s">
        <v>36</v>
      </c>
    </row>
    <row r="976" spans="1:11" x14ac:dyDescent="0.2">
      <c r="A976" s="4">
        <v>5975</v>
      </c>
      <c r="B976" s="4">
        <v>1146</v>
      </c>
      <c r="C976" s="8">
        <v>46112</v>
      </c>
      <c r="D976" s="8">
        <v>46118</v>
      </c>
      <c r="E976" s="10">
        <f t="shared" si="15"/>
        <v>6</v>
      </c>
      <c r="F976" s="4" t="s">
        <v>18</v>
      </c>
      <c r="G976" s="4" t="s">
        <v>15</v>
      </c>
      <c r="H976" s="4">
        <v>34356</v>
      </c>
      <c r="I976" s="4" t="str">
        <f>VLOOKUP(B976,Customers!$A:$D,4,FALSE)</f>
        <v>Regular</v>
      </c>
      <c r="J976" s="4" t="s">
        <v>35</v>
      </c>
      <c r="K976" s="4" t="s">
        <v>36</v>
      </c>
    </row>
    <row r="977" spans="1:11" x14ac:dyDescent="0.2">
      <c r="A977" s="4">
        <v>5976</v>
      </c>
      <c r="B977" s="4">
        <v>1265</v>
      </c>
      <c r="C977" s="8">
        <v>46049</v>
      </c>
      <c r="D977" s="8">
        <v>46056</v>
      </c>
      <c r="E977" s="10">
        <f t="shared" si="15"/>
        <v>7</v>
      </c>
      <c r="F977" s="4" t="s">
        <v>24</v>
      </c>
      <c r="G977" s="4" t="s">
        <v>14</v>
      </c>
      <c r="H977" s="4">
        <v>30073</v>
      </c>
      <c r="I977" s="4" t="str">
        <f>VLOOKUP(B977,Customers!$A:$D,4,FALSE)</f>
        <v>Regular</v>
      </c>
      <c r="J977" s="4" t="s">
        <v>35</v>
      </c>
      <c r="K977" s="4" t="s">
        <v>36</v>
      </c>
    </row>
    <row r="978" spans="1:11" x14ac:dyDescent="0.2">
      <c r="A978" s="4">
        <v>5977</v>
      </c>
      <c r="B978" s="4">
        <v>1211</v>
      </c>
      <c r="C978" s="8">
        <v>46060</v>
      </c>
      <c r="D978" s="8">
        <v>46068</v>
      </c>
      <c r="E978" s="10">
        <f t="shared" si="15"/>
        <v>8</v>
      </c>
      <c r="F978" s="4" t="s">
        <v>23</v>
      </c>
      <c r="G978" s="4" t="s">
        <v>12</v>
      </c>
      <c r="H978" s="4">
        <v>4375</v>
      </c>
      <c r="I978" s="4" t="str">
        <f>VLOOKUP(B978,Customers!$A:$D,4,FALSE)</f>
        <v>Regular</v>
      </c>
      <c r="J978" s="4" t="s">
        <v>37</v>
      </c>
      <c r="K978" s="4" t="s">
        <v>36</v>
      </c>
    </row>
    <row r="979" spans="1:11" x14ac:dyDescent="0.2">
      <c r="A979" s="4">
        <v>5978</v>
      </c>
      <c r="B979" s="4">
        <v>1110</v>
      </c>
      <c r="C979" s="8">
        <v>46056</v>
      </c>
      <c r="D979" s="8">
        <v>46065</v>
      </c>
      <c r="E979" s="10">
        <f t="shared" si="15"/>
        <v>9</v>
      </c>
      <c r="F979" s="4" t="s">
        <v>25</v>
      </c>
      <c r="G979" s="4" t="s">
        <v>12</v>
      </c>
      <c r="H979" s="4">
        <v>24502</v>
      </c>
      <c r="I979" s="4" t="str">
        <f>VLOOKUP(B979,Customers!$A:$D,4,FALSE)</f>
        <v>Premium</v>
      </c>
      <c r="J979" s="4" t="s">
        <v>37</v>
      </c>
      <c r="K979" s="4" t="s">
        <v>36</v>
      </c>
    </row>
    <row r="980" spans="1:11" x14ac:dyDescent="0.2">
      <c r="A980" s="4">
        <v>5979</v>
      </c>
      <c r="B980" s="4">
        <v>1266</v>
      </c>
      <c r="C980" s="8">
        <v>46173</v>
      </c>
      <c r="D980" s="8">
        <v>46183</v>
      </c>
      <c r="E980" s="10">
        <f t="shared" si="15"/>
        <v>10</v>
      </c>
      <c r="F980" s="4" t="s">
        <v>21</v>
      </c>
      <c r="G980" s="4" t="s">
        <v>14</v>
      </c>
      <c r="H980" s="4">
        <v>38592</v>
      </c>
      <c r="I980" s="4" t="str">
        <f>VLOOKUP(B980,Customers!$A:$D,4,FALSE)</f>
        <v>Regular</v>
      </c>
      <c r="J980" s="4" t="s">
        <v>37</v>
      </c>
      <c r="K980" s="4" t="s">
        <v>36</v>
      </c>
    </row>
    <row r="981" spans="1:11" x14ac:dyDescent="0.2">
      <c r="A981" s="4">
        <v>5980</v>
      </c>
      <c r="B981" s="4">
        <v>1251</v>
      </c>
      <c r="C981" s="8">
        <v>46131</v>
      </c>
      <c r="D981" s="8">
        <v>46140</v>
      </c>
      <c r="E981" s="10">
        <f t="shared" si="15"/>
        <v>9</v>
      </c>
      <c r="F981" s="4" t="s">
        <v>21</v>
      </c>
      <c r="G981" s="4" t="s">
        <v>13</v>
      </c>
      <c r="H981" s="4">
        <v>9759</v>
      </c>
      <c r="I981" s="4" t="str">
        <f>VLOOKUP(B981,Customers!$A:$D,4,FALSE)</f>
        <v>Premium</v>
      </c>
      <c r="J981" s="4" t="s">
        <v>35</v>
      </c>
      <c r="K981" s="4" t="s">
        <v>36</v>
      </c>
    </row>
    <row r="982" spans="1:11" x14ac:dyDescent="0.2">
      <c r="A982" s="4">
        <v>5981</v>
      </c>
      <c r="B982" s="4">
        <v>1067</v>
      </c>
      <c r="C982" s="8">
        <v>46147</v>
      </c>
      <c r="D982" s="8">
        <v>46156</v>
      </c>
      <c r="E982" s="10">
        <f t="shared" si="15"/>
        <v>9</v>
      </c>
      <c r="F982" s="4" t="s">
        <v>23</v>
      </c>
      <c r="G982" s="4" t="s">
        <v>13</v>
      </c>
      <c r="H982" s="4">
        <v>30147</v>
      </c>
      <c r="I982" s="4" t="str">
        <f>VLOOKUP(B982,Customers!$A:$D,4,FALSE)</f>
        <v>Regular</v>
      </c>
      <c r="J982" s="4" t="s">
        <v>37</v>
      </c>
      <c r="K982" s="4" t="s">
        <v>36</v>
      </c>
    </row>
    <row r="983" spans="1:11" x14ac:dyDescent="0.2">
      <c r="A983" s="4">
        <v>5982</v>
      </c>
      <c r="B983" s="4">
        <v>1287</v>
      </c>
      <c r="C983" s="8">
        <v>46031</v>
      </c>
      <c r="D983" s="8">
        <v>46035</v>
      </c>
      <c r="E983" s="10">
        <f t="shared" si="15"/>
        <v>4</v>
      </c>
      <c r="F983" s="4" t="s">
        <v>19</v>
      </c>
      <c r="G983" s="4" t="s">
        <v>12</v>
      </c>
      <c r="H983" s="4">
        <v>39726</v>
      </c>
      <c r="I983" s="4" t="str">
        <f>VLOOKUP(B983,Customers!$A:$D,4,FALSE)</f>
        <v>Regular</v>
      </c>
      <c r="J983" s="4" t="s">
        <v>37</v>
      </c>
      <c r="K983" s="4" t="s">
        <v>36</v>
      </c>
    </row>
    <row r="984" spans="1:11" x14ac:dyDescent="0.2">
      <c r="A984" s="4">
        <v>5983</v>
      </c>
      <c r="B984" s="4">
        <v>1190</v>
      </c>
      <c r="C984" s="8">
        <v>46051</v>
      </c>
      <c r="D984" s="8">
        <v>46054</v>
      </c>
      <c r="E984" s="10">
        <f t="shared" si="15"/>
        <v>3</v>
      </c>
      <c r="F984" s="4" t="s">
        <v>22</v>
      </c>
      <c r="G984" s="4" t="s">
        <v>12</v>
      </c>
      <c r="H984" s="4">
        <v>34560</v>
      </c>
      <c r="I984" s="4" t="str">
        <f>VLOOKUP(B984,Customers!$A:$D,4,FALSE)</f>
        <v>Regular</v>
      </c>
      <c r="J984" s="4" t="s">
        <v>35</v>
      </c>
      <c r="K984" s="4" t="s">
        <v>36</v>
      </c>
    </row>
    <row r="985" spans="1:11" x14ac:dyDescent="0.2">
      <c r="A985" s="4">
        <v>5984</v>
      </c>
      <c r="B985" s="4">
        <v>1157</v>
      </c>
      <c r="C985" s="8">
        <v>46053</v>
      </c>
      <c r="D985" s="8">
        <v>46060</v>
      </c>
      <c r="E985" s="10">
        <f t="shared" si="15"/>
        <v>7</v>
      </c>
      <c r="F985" s="4" t="s">
        <v>19</v>
      </c>
      <c r="G985" s="4" t="s">
        <v>14</v>
      </c>
      <c r="H985" s="4">
        <v>19566</v>
      </c>
      <c r="I985" s="4" t="str">
        <f>VLOOKUP(B985,Customers!$A:$D,4,FALSE)</f>
        <v>Regular</v>
      </c>
      <c r="J985" s="4" t="s">
        <v>37</v>
      </c>
      <c r="K985" s="4" t="s">
        <v>36</v>
      </c>
    </row>
    <row r="986" spans="1:11" x14ac:dyDescent="0.2">
      <c r="A986" s="4">
        <v>5985</v>
      </c>
      <c r="B986" s="4">
        <v>1073</v>
      </c>
      <c r="C986" s="8">
        <v>46030</v>
      </c>
      <c r="D986" s="8">
        <v>46034</v>
      </c>
      <c r="E986" s="10">
        <f t="shared" si="15"/>
        <v>4</v>
      </c>
      <c r="F986" s="4" t="s">
        <v>21</v>
      </c>
      <c r="G986" s="4" t="s">
        <v>12</v>
      </c>
      <c r="H986" s="4">
        <v>20299</v>
      </c>
      <c r="I986" s="4" t="str">
        <f>VLOOKUP(B986,Customers!$A:$D,4,FALSE)</f>
        <v>Premium</v>
      </c>
      <c r="J986" s="4" t="s">
        <v>37</v>
      </c>
      <c r="K986" s="4" t="s">
        <v>36</v>
      </c>
    </row>
    <row r="987" spans="1:11" x14ac:dyDescent="0.2">
      <c r="A987" s="4">
        <v>5986</v>
      </c>
      <c r="B987" s="4">
        <v>1251</v>
      </c>
      <c r="C987" s="8">
        <v>46078</v>
      </c>
      <c r="D987" s="8">
        <v>46082</v>
      </c>
      <c r="E987" s="10">
        <f t="shared" si="15"/>
        <v>4</v>
      </c>
      <c r="F987" s="4" t="s">
        <v>20</v>
      </c>
      <c r="G987" s="4" t="s">
        <v>12</v>
      </c>
      <c r="H987" s="4">
        <v>36183</v>
      </c>
      <c r="I987" s="4" t="str">
        <f>VLOOKUP(B987,Customers!$A:$D,4,FALSE)</f>
        <v>Premium</v>
      </c>
      <c r="J987" s="4" t="s">
        <v>37</v>
      </c>
      <c r="K987" s="4" t="s">
        <v>36</v>
      </c>
    </row>
    <row r="988" spans="1:11" x14ac:dyDescent="0.2">
      <c r="A988" s="4">
        <v>5987</v>
      </c>
      <c r="B988" s="4">
        <v>1214</v>
      </c>
      <c r="C988" s="8">
        <v>46040</v>
      </c>
      <c r="D988" s="8">
        <v>46042</v>
      </c>
      <c r="E988" s="10">
        <f t="shared" si="15"/>
        <v>2</v>
      </c>
      <c r="F988" s="4" t="s">
        <v>25</v>
      </c>
      <c r="G988" s="4" t="s">
        <v>11</v>
      </c>
      <c r="H988" s="4">
        <v>20596</v>
      </c>
      <c r="I988" s="4" t="str">
        <f>VLOOKUP(B988,Customers!$A:$D,4,FALSE)</f>
        <v>Premium</v>
      </c>
      <c r="J988" s="4" t="s">
        <v>37</v>
      </c>
      <c r="K988" s="4" t="s">
        <v>36</v>
      </c>
    </row>
    <row r="989" spans="1:11" x14ac:dyDescent="0.2">
      <c r="A989" s="4">
        <v>5988</v>
      </c>
      <c r="B989" s="4">
        <v>1244</v>
      </c>
      <c r="C989" s="8">
        <v>46109</v>
      </c>
      <c r="D989" s="8">
        <v>46117</v>
      </c>
      <c r="E989" s="10">
        <f t="shared" si="15"/>
        <v>8</v>
      </c>
      <c r="F989" s="4" t="s">
        <v>18</v>
      </c>
      <c r="G989" s="4" t="s">
        <v>13</v>
      </c>
      <c r="H989" s="4">
        <v>33380</v>
      </c>
      <c r="I989" s="4" t="str">
        <f>VLOOKUP(B989,Customers!$A:$D,4,FALSE)</f>
        <v>Premium</v>
      </c>
      <c r="J989" s="4" t="s">
        <v>37</v>
      </c>
      <c r="K989" s="4" t="s">
        <v>36</v>
      </c>
    </row>
    <row r="990" spans="1:11" x14ac:dyDescent="0.2">
      <c r="A990" s="4">
        <v>5989</v>
      </c>
      <c r="B990" s="4">
        <v>1077</v>
      </c>
      <c r="C990" s="8">
        <v>46138</v>
      </c>
      <c r="D990" s="8">
        <v>46147</v>
      </c>
      <c r="E990" s="10">
        <f t="shared" si="15"/>
        <v>9</v>
      </c>
      <c r="F990" s="4" t="s">
        <v>19</v>
      </c>
      <c r="G990" s="4" t="s">
        <v>12</v>
      </c>
      <c r="H990" s="4">
        <v>41244</v>
      </c>
      <c r="I990" s="4" t="str">
        <f>VLOOKUP(B990,Customers!$A:$D,4,FALSE)</f>
        <v>Regular</v>
      </c>
      <c r="J990" s="4" t="s">
        <v>37</v>
      </c>
      <c r="K990" s="4" t="s">
        <v>36</v>
      </c>
    </row>
    <row r="991" spans="1:11" x14ac:dyDescent="0.2">
      <c r="A991" s="4">
        <v>5990</v>
      </c>
      <c r="B991" s="4">
        <v>1203</v>
      </c>
      <c r="C991" s="8">
        <v>46122</v>
      </c>
      <c r="D991" s="8">
        <v>46127</v>
      </c>
      <c r="E991" s="10">
        <f t="shared" si="15"/>
        <v>5</v>
      </c>
      <c r="F991" s="4" t="s">
        <v>19</v>
      </c>
      <c r="G991" s="4" t="s">
        <v>11</v>
      </c>
      <c r="H991" s="4">
        <v>3302</v>
      </c>
      <c r="I991" s="4" t="str">
        <f>VLOOKUP(B991,Customers!$A:$D,4,FALSE)</f>
        <v>Regular</v>
      </c>
      <c r="J991" s="4" t="s">
        <v>37</v>
      </c>
      <c r="K991" s="4" t="s">
        <v>36</v>
      </c>
    </row>
    <row r="992" spans="1:11" x14ac:dyDescent="0.2">
      <c r="A992" s="4">
        <v>5991</v>
      </c>
      <c r="B992" s="4">
        <v>1085</v>
      </c>
      <c r="C992" s="8">
        <v>46094</v>
      </c>
      <c r="D992" s="8">
        <v>46097</v>
      </c>
      <c r="E992" s="10">
        <f t="shared" si="15"/>
        <v>3</v>
      </c>
      <c r="F992" s="4" t="s">
        <v>20</v>
      </c>
      <c r="G992" s="4" t="s">
        <v>11</v>
      </c>
      <c r="H992" s="4">
        <v>41594</v>
      </c>
      <c r="I992" s="4" t="str">
        <f>VLOOKUP(B992,Customers!$A:$D,4,FALSE)</f>
        <v>Premium</v>
      </c>
      <c r="J992" s="4" t="s">
        <v>37</v>
      </c>
      <c r="K992" s="4" t="s">
        <v>36</v>
      </c>
    </row>
    <row r="993" spans="1:11" x14ac:dyDescent="0.2">
      <c r="A993" s="4">
        <v>5992</v>
      </c>
      <c r="B993" s="4">
        <v>1287</v>
      </c>
      <c r="C993" s="8">
        <v>46166</v>
      </c>
      <c r="D993" s="8">
        <v>46169</v>
      </c>
      <c r="E993" s="10">
        <f t="shared" si="15"/>
        <v>3</v>
      </c>
      <c r="F993" s="4" t="s">
        <v>23</v>
      </c>
      <c r="G993" s="4" t="s">
        <v>13</v>
      </c>
      <c r="H993" s="4">
        <v>40847</v>
      </c>
      <c r="I993" s="4" t="str">
        <f>VLOOKUP(B993,Customers!$A:$D,4,FALSE)</f>
        <v>Regular</v>
      </c>
      <c r="J993" s="4" t="s">
        <v>35</v>
      </c>
      <c r="K993" s="4" t="s">
        <v>36</v>
      </c>
    </row>
    <row r="994" spans="1:11" x14ac:dyDescent="0.2">
      <c r="A994" s="4">
        <v>5993</v>
      </c>
      <c r="B994" s="4">
        <v>1097</v>
      </c>
      <c r="C994" s="8">
        <v>46168</v>
      </c>
      <c r="D994" s="8">
        <v>46178</v>
      </c>
      <c r="E994" s="10">
        <f t="shared" si="15"/>
        <v>10</v>
      </c>
      <c r="F994" s="4" t="s">
        <v>25</v>
      </c>
      <c r="G994" s="4" t="s">
        <v>11</v>
      </c>
      <c r="H994" s="4">
        <v>1523</v>
      </c>
      <c r="I994" s="4" t="str">
        <f>VLOOKUP(B994,Customers!$A:$D,4,FALSE)</f>
        <v>Premium</v>
      </c>
      <c r="J994" s="4" t="s">
        <v>35</v>
      </c>
      <c r="K994" s="4" t="s">
        <v>36</v>
      </c>
    </row>
    <row r="995" spans="1:11" x14ac:dyDescent="0.2">
      <c r="A995" s="4">
        <v>5994</v>
      </c>
      <c r="B995" s="4">
        <v>1010</v>
      </c>
      <c r="C995" s="8">
        <v>46159</v>
      </c>
      <c r="D995" s="8">
        <v>46163</v>
      </c>
      <c r="E995" s="10">
        <f t="shared" si="15"/>
        <v>4</v>
      </c>
      <c r="F995" s="4" t="s">
        <v>22</v>
      </c>
      <c r="G995" s="4" t="s">
        <v>13</v>
      </c>
      <c r="H995" s="4">
        <v>16375</v>
      </c>
      <c r="I995" s="4" t="str">
        <f>VLOOKUP(B995,Customers!$A:$D,4,FALSE)</f>
        <v>Premium</v>
      </c>
      <c r="J995" s="4" t="s">
        <v>37</v>
      </c>
      <c r="K995" s="4" t="s">
        <v>36</v>
      </c>
    </row>
    <row r="996" spans="1:11" x14ac:dyDescent="0.2">
      <c r="A996" s="4">
        <v>5995</v>
      </c>
      <c r="B996" s="4">
        <v>1165</v>
      </c>
      <c r="C996" s="8">
        <v>46044</v>
      </c>
      <c r="D996" s="8">
        <v>46054</v>
      </c>
      <c r="E996" s="10">
        <f t="shared" si="15"/>
        <v>10</v>
      </c>
      <c r="F996" s="4" t="s">
        <v>21</v>
      </c>
      <c r="G996" s="4" t="s">
        <v>11</v>
      </c>
      <c r="H996" s="4">
        <v>3248</v>
      </c>
      <c r="I996" s="4" t="str">
        <f>VLOOKUP(B996,Customers!$A:$D,4,FALSE)</f>
        <v>Regular</v>
      </c>
      <c r="J996" s="4" t="s">
        <v>37</v>
      </c>
      <c r="K996" s="4" t="s">
        <v>36</v>
      </c>
    </row>
    <row r="997" spans="1:11" x14ac:dyDescent="0.2">
      <c r="A997" s="4">
        <v>5996</v>
      </c>
      <c r="B997" s="4">
        <v>1224</v>
      </c>
      <c r="C997" s="8">
        <v>46028</v>
      </c>
      <c r="D997" s="8">
        <v>46035</v>
      </c>
      <c r="E997" s="10">
        <f t="shared" si="15"/>
        <v>7</v>
      </c>
      <c r="F997" s="4" t="s">
        <v>18</v>
      </c>
      <c r="G997" s="4" t="s">
        <v>15</v>
      </c>
      <c r="H997" s="4">
        <v>1876</v>
      </c>
      <c r="I997" s="4" t="str">
        <f>VLOOKUP(B997,Customers!$A:$D,4,FALSE)</f>
        <v>Premium</v>
      </c>
      <c r="J997" s="4" t="s">
        <v>37</v>
      </c>
      <c r="K997" s="4" t="s">
        <v>36</v>
      </c>
    </row>
    <row r="998" spans="1:11" x14ac:dyDescent="0.2">
      <c r="A998" s="4">
        <v>5997</v>
      </c>
      <c r="B998" s="4">
        <v>1047</v>
      </c>
      <c r="C998" s="8">
        <v>46120</v>
      </c>
      <c r="D998" s="8">
        <v>46126</v>
      </c>
      <c r="E998" s="10">
        <f t="shared" si="15"/>
        <v>6</v>
      </c>
      <c r="F998" s="4" t="s">
        <v>23</v>
      </c>
      <c r="G998" s="4" t="s">
        <v>12</v>
      </c>
      <c r="H998" s="4">
        <v>35806</v>
      </c>
      <c r="I998" s="4" t="str">
        <f>VLOOKUP(B998,Customers!$A:$D,4,FALSE)</f>
        <v>Regular</v>
      </c>
      <c r="J998" s="4" t="s">
        <v>35</v>
      </c>
      <c r="K998" s="4" t="s">
        <v>36</v>
      </c>
    </row>
    <row r="999" spans="1:11" x14ac:dyDescent="0.2">
      <c r="A999" s="4">
        <v>5998</v>
      </c>
      <c r="B999" s="4">
        <v>1094</v>
      </c>
      <c r="C999" s="8">
        <v>46096</v>
      </c>
      <c r="D999" s="8">
        <v>46100</v>
      </c>
      <c r="E999" s="10">
        <f t="shared" si="15"/>
        <v>4</v>
      </c>
      <c r="F999" s="4" t="s">
        <v>22</v>
      </c>
      <c r="G999" s="4" t="s">
        <v>12</v>
      </c>
      <c r="H999" s="4">
        <v>10407</v>
      </c>
      <c r="I999" s="4" t="str">
        <f>VLOOKUP(B999,Customers!$A:$D,4,FALSE)</f>
        <v>Premium</v>
      </c>
      <c r="J999" s="4" t="s">
        <v>37</v>
      </c>
      <c r="K999" s="4" t="s">
        <v>36</v>
      </c>
    </row>
    <row r="1000" spans="1:11" x14ac:dyDescent="0.2">
      <c r="A1000" s="4">
        <v>5999</v>
      </c>
      <c r="B1000" s="4">
        <v>1031</v>
      </c>
      <c r="C1000" s="8">
        <v>46127</v>
      </c>
      <c r="D1000" s="8">
        <v>46131</v>
      </c>
      <c r="E1000" s="10">
        <f t="shared" si="15"/>
        <v>4</v>
      </c>
      <c r="F1000" s="4" t="s">
        <v>19</v>
      </c>
      <c r="G1000" s="4" t="s">
        <v>13</v>
      </c>
      <c r="H1000" s="4">
        <v>2080</v>
      </c>
      <c r="I1000" s="4" t="str">
        <f>VLOOKUP(B1000,Customers!$A:$D,4,FALSE)</f>
        <v>Premium</v>
      </c>
      <c r="J1000" s="4" t="s">
        <v>35</v>
      </c>
      <c r="K1000" s="4" t="s">
        <v>36</v>
      </c>
    </row>
    <row r="1001" spans="1:11" x14ac:dyDescent="0.2">
      <c r="A1001" s="4">
        <v>6000</v>
      </c>
      <c r="B1001" s="4">
        <v>1051</v>
      </c>
      <c r="C1001" s="8">
        <v>46099</v>
      </c>
      <c r="D1001" s="8">
        <v>46107</v>
      </c>
      <c r="E1001" s="10">
        <f t="shared" si="15"/>
        <v>8</v>
      </c>
      <c r="F1001" s="4" t="s">
        <v>19</v>
      </c>
      <c r="G1001" s="4" t="s">
        <v>13</v>
      </c>
      <c r="H1001" s="4">
        <v>27354</v>
      </c>
      <c r="I1001" s="4" t="str">
        <f>VLOOKUP(B1001,Customers!$A:$D,4,FALSE)</f>
        <v>Premium</v>
      </c>
      <c r="J1001" s="4" t="s">
        <v>37</v>
      </c>
      <c r="K1001" s="4" t="s">
        <v>36</v>
      </c>
    </row>
    <row r="1002" spans="1:11" x14ac:dyDescent="0.2">
      <c r="A1002" s="4">
        <v>6001</v>
      </c>
      <c r="B1002" s="4">
        <v>1062</v>
      </c>
      <c r="C1002" s="8">
        <v>46089</v>
      </c>
      <c r="D1002" s="8">
        <v>46097</v>
      </c>
      <c r="E1002" s="10">
        <f t="shared" si="15"/>
        <v>8</v>
      </c>
      <c r="F1002" s="4" t="s">
        <v>20</v>
      </c>
      <c r="G1002" s="4" t="s">
        <v>13</v>
      </c>
      <c r="H1002" s="4">
        <v>16003</v>
      </c>
      <c r="I1002" s="4" t="str">
        <f>VLOOKUP(B1002,Customers!$A:$D,4,FALSE)</f>
        <v>Premium</v>
      </c>
      <c r="J1002" s="4" t="s">
        <v>35</v>
      </c>
      <c r="K1002" s="4" t="s">
        <v>36</v>
      </c>
    </row>
    <row r="1003" spans="1:11" x14ac:dyDescent="0.2">
      <c r="A1003" s="4">
        <v>6002</v>
      </c>
      <c r="B1003" s="4">
        <v>1259</v>
      </c>
      <c r="C1003" s="8">
        <v>46149</v>
      </c>
      <c r="D1003" s="8">
        <v>46159</v>
      </c>
      <c r="E1003" s="10">
        <f t="shared" si="15"/>
        <v>10</v>
      </c>
      <c r="F1003" s="4" t="s">
        <v>21</v>
      </c>
      <c r="G1003" s="4" t="s">
        <v>12</v>
      </c>
      <c r="H1003" s="4">
        <v>17948</v>
      </c>
      <c r="I1003" s="4" t="str">
        <f>VLOOKUP(B1003,Customers!$A:$D,4,FALSE)</f>
        <v>Premium</v>
      </c>
      <c r="J1003" s="4" t="s">
        <v>35</v>
      </c>
      <c r="K1003" s="4" t="s">
        <v>36</v>
      </c>
    </row>
    <row r="1004" spans="1:11" x14ac:dyDescent="0.2">
      <c r="A1004" s="4">
        <v>6003</v>
      </c>
      <c r="B1004" s="4">
        <v>1284</v>
      </c>
      <c r="C1004" s="8">
        <v>46104</v>
      </c>
      <c r="D1004" s="8">
        <v>46113</v>
      </c>
      <c r="E1004" s="10">
        <f t="shared" si="15"/>
        <v>9</v>
      </c>
      <c r="F1004" s="4" t="s">
        <v>21</v>
      </c>
      <c r="G1004" s="4" t="s">
        <v>12</v>
      </c>
      <c r="H1004" s="4">
        <v>32030</v>
      </c>
      <c r="I1004" s="4" t="str">
        <f>VLOOKUP(B1004,Customers!$A:$D,4,FALSE)</f>
        <v>Regular</v>
      </c>
      <c r="J1004" s="4" t="s">
        <v>35</v>
      </c>
      <c r="K1004" s="4" t="s">
        <v>36</v>
      </c>
    </row>
    <row r="1005" spans="1:11" x14ac:dyDescent="0.2">
      <c r="A1005" s="4">
        <v>6004</v>
      </c>
      <c r="B1005" s="4">
        <v>1010</v>
      </c>
      <c r="C1005" s="8">
        <v>46127</v>
      </c>
      <c r="D1005" s="8">
        <v>46132</v>
      </c>
      <c r="E1005" s="10">
        <f t="shared" si="15"/>
        <v>5</v>
      </c>
      <c r="F1005" s="4" t="s">
        <v>22</v>
      </c>
      <c r="G1005" s="4" t="s">
        <v>11</v>
      </c>
      <c r="H1005" s="4">
        <v>38715</v>
      </c>
      <c r="I1005" s="4" t="str">
        <f>VLOOKUP(B1005,Customers!$A:$D,4,FALSE)</f>
        <v>Premium</v>
      </c>
      <c r="J1005" s="4" t="s">
        <v>35</v>
      </c>
      <c r="K1005" s="4" t="s">
        <v>36</v>
      </c>
    </row>
    <row r="1006" spans="1:11" x14ac:dyDescent="0.2">
      <c r="A1006" s="4">
        <v>6005</v>
      </c>
      <c r="B1006" s="4">
        <v>1065</v>
      </c>
      <c r="C1006" s="8">
        <v>46086</v>
      </c>
      <c r="D1006" s="8">
        <v>46096</v>
      </c>
      <c r="E1006" s="10">
        <f t="shared" si="15"/>
        <v>10</v>
      </c>
      <c r="F1006" s="4" t="s">
        <v>22</v>
      </c>
      <c r="G1006" s="4" t="s">
        <v>11</v>
      </c>
      <c r="H1006" s="4">
        <v>26956</v>
      </c>
      <c r="I1006" s="4" t="str">
        <f>VLOOKUP(B1006,Customers!$A:$D,4,FALSE)</f>
        <v>Premium</v>
      </c>
      <c r="J1006" s="4" t="s">
        <v>37</v>
      </c>
      <c r="K1006" s="4" t="s">
        <v>36</v>
      </c>
    </row>
    <row r="1007" spans="1:11" x14ac:dyDescent="0.2">
      <c r="A1007" s="4">
        <v>6006</v>
      </c>
      <c r="B1007" s="4">
        <v>1105</v>
      </c>
      <c r="C1007" s="8">
        <v>46044</v>
      </c>
      <c r="D1007" s="8">
        <v>46054</v>
      </c>
      <c r="E1007" s="10">
        <f t="shared" si="15"/>
        <v>10</v>
      </c>
      <c r="F1007" s="4" t="s">
        <v>18</v>
      </c>
      <c r="G1007" s="4" t="s">
        <v>14</v>
      </c>
      <c r="H1007" s="4">
        <v>35718</v>
      </c>
      <c r="I1007" s="4" t="str">
        <f>VLOOKUP(B1007,Customers!$A:$D,4,FALSE)</f>
        <v>Regular</v>
      </c>
      <c r="J1007" s="4" t="s">
        <v>35</v>
      </c>
      <c r="K1007" s="4" t="s">
        <v>36</v>
      </c>
    </row>
    <row r="1008" spans="1:11" x14ac:dyDescent="0.2">
      <c r="A1008" s="4">
        <v>6007</v>
      </c>
      <c r="B1008" s="4">
        <v>1217</v>
      </c>
      <c r="C1008" s="8">
        <v>46085</v>
      </c>
      <c r="D1008" s="8">
        <v>46095</v>
      </c>
      <c r="E1008" s="10">
        <f t="shared" si="15"/>
        <v>10</v>
      </c>
      <c r="F1008" s="4" t="s">
        <v>25</v>
      </c>
      <c r="G1008" s="4" t="s">
        <v>12</v>
      </c>
      <c r="H1008" s="4">
        <v>365</v>
      </c>
      <c r="I1008" s="4" t="str">
        <f>VLOOKUP(B1008,Customers!$A:$D,4,FALSE)</f>
        <v>Regular</v>
      </c>
      <c r="J1008" s="4" t="s">
        <v>37</v>
      </c>
      <c r="K1008" s="4" t="s">
        <v>36</v>
      </c>
    </row>
    <row r="1009" spans="1:11" x14ac:dyDescent="0.2">
      <c r="A1009" s="4">
        <v>6008</v>
      </c>
      <c r="B1009" s="4">
        <v>1001</v>
      </c>
      <c r="C1009" s="8">
        <v>46097</v>
      </c>
      <c r="D1009" s="8">
        <v>46101</v>
      </c>
      <c r="E1009" s="10">
        <f t="shared" si="15"/>
        <v>4</v>
      </c>
      <c r="F1009" s="4" t="s">
        <v>20</v>
      </c>
      <c r="G1009" s="4" t="s">
        <v>15</v>
      </c>
      <c r="H1009" s="4">
        <v>18211</v>
      </c>
      <c r="I1009" s="4" t="str">
        <f>VLOOKUP(B1009,Customers!$A:$D,4,FALSE)</f>
        <v>Regular</v>
      </c>
      <c r="J1009" s="4" t="s">
        <v>37</v>
      </c>
      <c r="K1009" s="4" t="s">
        <v>36</v>
      </c>
    </row>
    <row r="1010" spans="1:11" x14ac:dyDescent="0.2">
      <c r="A1010" s="4">
        <v>6009</v>
      </c>
      <c r="B1010" s="4">
        <v>1109</v>
      </c>
      <c r="C1010" s="8">
        <v>46120</v>
      </c>
      <c r="D1010" s="8">
        <v>46127</v>
      </c>
      <c r="E1010" s="10">
        <f t="shared" si="15"/>
        <v>7</v>
      </c>
      <c r="F1010" s="4" t="s">
        <v>22</v>
      </c>
      <c r="G1010" s="4" t="s">
        <v>12</v>
      </c>
      <c r="H1010" s="4">
        <v>10878</v>
      </c>
      <c r="I1010" s="4" t="str">
        <f>VLOOKUP(B1010,Customers!$A:$D,4,FALSE)</f>
        <v>Premium</v>
      </c>
      <c r="J1010" s="4" t="s">
        <v>35</v>
      </c>
      <c r="K1010" s="4" t="s">
        <v>36</v>
      </c>
    </row>
    <row r="1011" spans="1:11" x14ac:dyDescent="0.2">
      <c r="A1011" s="4">
        <v>6010</v>
      </c>
      <c r="B1011" s="4">
        <v>1203</v>
      </c>
      <c r="C1011" s="8">
        <v>46099</v>
      </c>
      <c r="D1011" s="8">
        <v>46102</v>
      </c>
      <c r="E1011" s="10">
        <f t="shared" si="15"/>
        <v>3</v>
      </c>
      <c r="F1011" s="4" t="s">
        <v>23</v>
      </c>
      <c r="G1011" s="4" t="s">
        <v>13</v>
      </c>
      <c r="H1011" s="4">
        <v>47818</v>
      </c>
      <c r="I1011" s="4" t="str">
        <f>VLOOKUP(B1011,Customers!$A:$D,4,FALSE)</f>
        <v>Regular</v>
      </c>
      <c r="J1011" s="4" t="s">
        <v>37</v>
      </c>
      <c r="K1011" s="4" t="s">
        <v>36</v>
      </c>
    </row>
    <row r="1012" spans="1:11" x14ac:dyDescent="0.2">
      <c r="A1012" s="4">
        <v>6011</v>
      </c>
      <c r="B1012" s="4">
        <v>1259</v>
      </c>
      <c r="C1012" s="8">
        <v>46133</v>
      </c>
      <c r="D1012" s="8">
        <v>46138</v>
      </c>
      <c r="E1012" s="10">
        <f t="shared" si="15"/>
        <v>5</v>
      </c>
      <c r="F1012" s="4" t="s">
        <v>19</v>
      </c>
      <c r="G1012" s="4" t="s">
        <v>14</v>
      </c>
      <c r="H1012" s="4">
        <v>41926</v>
      </c>
      <c r="I1012" s="4" t="str">
        <f>VLOOKUP(B1012,Customers!$A:$D,4,FALSE)</f>
        <v>Premium</v>
      </c>
      <c r="J1012" s="4" t="s">
        <v>37</v>
      </c>
      <c r="K1012" s="4" t="s">
        <v>36</v>
      </c>
    </row>
    <row r="1013" spans="1:11" x14ac:dyDescent="0.2">
      <c r="A1013" s="4">
        <v>6012</v>
      </c>
      <c r="B1013" s="4">
        <v>1126</v>
      </c>
      <c r="C1013" s="8">
        <v>46138</v>
      </c>
      <c r="D1013" s="8">
        <v>46144</v>
      </c>
      <c r="E1013" s="10">
        <f t="shared" si="15"/>
        <v>6</v>
      </c>
      <c r="F1013" s="4" t="s">
        <v>19</v>
      </c>
      <c r="G1013" s="4" t="s">
        <v>14</v>
      </c>
      <c r="H1013" s="4">
        <v>14103</v>
      </c>
      <c r="I1013" s="4" t="str">
        <f>VLOOKUP(B1013,Customers!$A:$D,4,FALSE)</f>
        <v>Premium</v>
      </c>
      <c r="J1013" s="4" t="s">
        <v>37</v>
      </c>
      <c r="K1013" s="4" t="s">
        <v>36</v>
      </c>
    </row>
    <row r="1014" spans="1:11" x14ac:dyDescent="0.2">
      <c r="A1014" s="4">
        <v>6013</v>
      </c>
      <c r="B1014" s="4">
        <v>1069</v>
      </c>
      <c r="C1014" s="8">
        <v>46107</v>
      </c>
      <c r="D1014" s="8">
        <v>46109</v>
      </c>
      <c r="E1014" s="10">
        <f t="shared" si="15"/>
        <v>2</v>
      </c>
      <c r="F1014" s="4" t="s">
        <v>20</v>
      </c>
      <c r="G1014" s="4" t="s">
        <v>11</v>
      </c>
      <c r="H1014" s="4">
        <v>31529</v>
      </c>
      <c r="I1014" s="4" t="str">
        <f>VLOOKUP(B1014,Customers!$A:$D,4,FALSE)</f>
        <v>Regular</v>
      </c>
      <c r="J1014" s="4" t="s">
        <v>35</v>
      </c>
      <c r="K1014" s="4" t="s">
        <v>36</v>
      </c>
    </row>
    <row r="1015" spans="1:11" x14ac:dyDescent="0.2">
      <c r="A1015" s="4">
        <v>6014</v>
      </c>
      <c r="B1015" s="4">
        <v>1212</v>
      </c>
      <c r="C1015" s="8">
        <v>46025</v>
      </c>
      <c r="D1015" s="8">
        <v>46029</v>
      </c>
      <c r="E1015" s="10">
        <f t="shared" si="15"/>
        <v>4</v>
      </c>
      <c r="F1015" s="4" t="s">
        <v>25</v>
      </c>
      <c r="G1015" s="4" t="s">
        <v>15</v>
      </c>
      <c r="H1015" s="4">
        <v>35566</v>
      </c>
      <c r="I1015" s="4" t="str">
        <f>VLOOKUP(B1015,Customers!$A:$D,4,FALSE)</f>
        <v>Premium</v>
      </c>
      <c r="J1015" s="4" t="s">
        <v>35</v>
      </c>
      <c r="K1015" s="4" t="s">
        <v>36</v>
      </c>
    </row>
    <row r="1016" spans="1:11" x14ac:dyDescent="0.2">
      <c r="A1016" s="4">
        <v>6015</v>
      </c>
      <c r="B1016" s="4">
        <v>1016</v>
      </c>
      <c r="C1016" s="8">
        <v>46042</v>
      </c>
      <c r="D1016" s="8">
        <v>46052</v>
      </c>
      <c r="E1016" s="10">
        <f t="shared" si="15"/>
        <v>10</v>
      </c>
      <c r="F1016" s="4" t="s">
        <v>25</v>
      </c>
      <c r="G1016" s="4" t="s">
        <v>12</v>
      </c>
      <c r="H1016" s="4">
        <v>23433</v>
      </c>
      <c r="I1016" s="4" t="str">
        <f>VLOOKUP(B1016,Customers!$A:$D,4,FALSE)</f>
        <v>Premium</v>
      </c>
      <c r="J1016" s="4" t="s">
        <v>37</v>
      </c>
      <c r="K1016" s="4" t="s">
        <v>36</v>
      </c>
    </row>
    <row r="1017" spans="1:11" x14ac:dyDescent="0.2">
      <c r="A1017" s="4">
        <v>6016</v>
      </c>
      <c r="B1017" s="4">
        <v>1091</v>
      </c>
      <c r="C1017" s="8">
        <v>46114</v>
      </c>
      <c r="D1017" s="8">
        <v>46122</v>
      </c>
      <c r="E1017" s="10">
        <f t="shared" si="15"/>
        <v>8</v>
      </c>
      <c r="F1017" s="4" t="s">
        <v>20</v>
      </c>
      <c r="G1017" s="4" t="s">
        <v>12</v>
      </c>
      <c r="H1017" s="4">
        <v>30623</v>
      </c>
      <c r="I1017" s="4" t="str">
        <f>VLOOKUP(B1017,Customers!$A:$D,4,FALSE)</f>
        <v>Premium</v>
      </c>
      <c r="J1017" s="4" t="s">
        <v>37</v>
      </c>
      <c r="K1017" s="4" t="s">
        <v>36</v>
      </c>
    </row>
    <row r="1018" spans="1:11" x14ac:dyDescent="0.2">
      <c r="A1018" s="4">
        <v>6017</v>
      </c>
      <c r="B1018" s="4">
        <v>1005</v>
      </c>
      <c r="C1018" s="8">
        <v>46072</v>
      </c>
      <c r="D1018" s="8">
        <v>46081</v>
      </c>
      <c r="E1018" s="10">
        <f t="shared" si="15"/>
        <v>9</v>
      </c>
      <c r="F1018" s="4" t="s">
        <v>24</v>
      </c>
      <c r="G1018" s="4" t="s">
        <v>12</v>
      </c>
      <c r="H1018" s="4">
        <v>18724</v>
      </c>
      <c r="I1018" s="4" t="str">
        <f>VLOOKUP(B1018,Customers!$A:$D,4,FALSE)</f>
        <v>Regular</v>
      </c>
      <c r="J1018" s="4" t="s">
        <v>37</v>
      </c>
      <c r="K1018" s="4" t="s">
        <v>36</v>
      </c>
    </row>
    <row r="1019" spans="1:11" x14ac:dyDescent="0.2">
      <c r="A1019" s="4">
        <v>6018</v>
      </c>
      <c r="B1019" s="4">
        <v>1156</v>
      </c>
      <c r="C1019" s="8">
        <v>46072</v>
      </c>
      <c r="D1019" s="8">
        <v>46075</v>
      </c>
      <c r="E1019" s="10">
        <f t="shared" si="15"/>
        <v>3</v>
      </c>
      <c r="F1019" s="4" t="s">
        <v>24</v>
      </c>
      <c r="G1019" s="4" t="s">
        <v>13</v>
      </c>
      <c r="H1019" s="4">
        <v>32662</v>
      </c>
      <c r="I1019" s="4" t="str">
        <f>VLOOKUP(B1019,Customers!$A:$D,4,FALSE)</f>
        <v>Premium</v>
      </c>
      <c r="J1019" s="4" t="s">
        <v>37</v>
      </c>
      <c r="K1019" s="4" t="s">
        <v>36</v>
      </c>
    </row>
    <row r="1020" spans="1:11" x14ac:dyDescent="0.2">
      <c r="A1020" s="4">
        <v>6019</v>
      </c>
      <c r="B1020" s="4">
        <v>1253</v>
      </c>
      <c r="C1020" s="8">
        <v>46032</v>
      </c>
      <c r="D1020" s="8">
        <v>46038</v>
      </c>
      <c r="E1020" s="10">
        <f t="shared" si="15"/>
        <v>6</v>
      </c>
      <c r="F1020" s="4" t="s">
        <v>24</v>
      </c>
      <c r="G1020" s="4" t="s">
        <v>12</v>
      </c>
      <c r="H1020" s="4">
        <v>13150</v>
      </c>
      <c r="I1020" s="4" t="str">
        <f>VLOOKUP(B1020,Customers!$A:$D,4,FALSE)</f>
        <v>Regular</v>
      </c>
      <c r="J1020" s="4" t="s">
        <v>37</v>
      </c>
      <c r="K1020" s="4" t="s">
        <v>36</v>
      </c>
    </row>
    <row r="1021" spans="1:11" x14ac:dyDescent="0.2">
      <c r="A1021" s="4">
        <v>6020</v>
      </c>
      <c r="B1021" s="4">
        <v>1292</v>
      </c>
      <c r="C1021" s="8">
        <v>46051</v>
      </c>
      <c r="D1021" s="8">
        <v>46057</v>
      </c>
      <c r="E1021" s="10">
        <f t="shared" si="15"/>
        <v>6</v>
      </c>
      <c r="F1021" s="4" t="s">
        <v>25</v>
      </c>
      <c r="G1021" s="4" t="s">
        <v>13</v>
      </c>
      <c r="H1021" s="4">
        <v>36461</v>
      </c>
      <c r="I1021" s="4" t="str">
        <f>VLOOKUP(B1021,Customers!$A:$D,4,FALSE)</f>
        <v>Regular</v>
      </c>
      <c r="J1021" s="4" t="s">
        <v>35</v>
      </c>
      <c r="K1021" s="4" t="s">
        <v>36</v>
      </c>
    </row>
    <row r="1022" spans="1:11" x14ac:dyDescent="0.2">
      <c r="A1022" s="4">
        <v>6021</v>
      </c>
      <c r="B1022" s="4">
        <v>1034</v>
      </c>
      <c r="C1022" s="8">
        <v>46167</v>
      </c>
      <c r="D1022" s="8">
        <v>46171</v>
      </c>
      <c r="E1022" s="10">
        <f t="shared" si="15"/>
        <v>4</v>
      </c>
      <c r="F1022" s="4" t="s">
        <v>18</v>
      </c>
      <c r="G1022" s="4" t="s">
        <v>12</v>
      </c>
      <c r="H1022" s="4">
        <v>8651</v>
      </c>
      <c r="I1022" s="4" t="str">
        <f>VLOOKUP(B1022,Customers!$A:$D,4,FALSE)</f>
        <v>Regular</v>
      </c>
      <c r="J1022" s="4" t="s">
        <v>37</v>
      </c>
      <c r="K1022" s="4" t="s">
        <v>36</v>
      </c>
    </row>
    <row r="1023" spans="1:11" x14ac:dyDescent="0.2">
      <c r="A1023" s="4">
        <v>6022</v>
      </c>
      <c r="B1023" s="4">
        <v>1268</v>
      </c>
      <c r="C1023" s="8">
        <v>46168</v>
      </c>
      <c r="D1023" s="8">
        <v>46173</v>
      </c>
      <c r="E1023" s="10">
        <f t="shared" si="15"/>
        <v>5</v>
      </c>
      <c r="F1023" s="4" t="s">
        <v>22</v>
      </c>
      <c r="G1023" s="4" t="s">
        <v>13</v>
      </c>
      <c r="H1023" s="4">
        <v>44732</v>
      </c>
      <c r="I1023" s="4" t="str">
        <f>VLOOKUP(B1023,Customers!$A:$D,4,FALSE)</f>
        <v>Regular</v>
      </c>
      <c r="J1023" s="4" t="s">
        <v>35</v>
      </c>
      <c r="K1023" s="4" t="s">
        <v>36</v>
      </c>
    </row>
    <row r="1024" spans="1:11" x14ac:dyDescent="0.2">
      <c r="A1024" s="4">
        <v>6023</v>
      </c>
      <c r="B1024" s="4">
        <v>1287</v>
      </c>
      <c r="C1024" s="8">
        <v>46159</v>
      </c>
      <c r="D1024" s="8">
        <v>46165</v>
      </c>
      <c r="E1024" s="10">
        <f t="shared" si="15"/>
        <v>6</v>
      </c>
      <c r="F1024" s="4" t="s">
        <v>25</v>
      </c>
      <c r="G1024" s="4" t="s">
        <v>12</v>
      </c>
      <c r="H1024" s="4">
        <v>28291</v>
      </c>
      <c r="I1024" s="4" t="str">
        <f>VLOOKUP(B1024,Customers!$A:$D,4,FALSE)</f>
        <v>Regular</v>
      </c>
      <c r="J1024" s="4" t="s">
        <v>35</v>
      </c>
      <c r="K1024" s="4" t="s">
        <v>36</v>
      </c>
    </row>
    <row r="1025" spans="1:11" x14ac:dyDescent="0.2">
      <c r="A1025" s="4">
        <v>6024</v>
      </c>
      <c r="B1025" s="4">
        <v>1209</v>
      </c>
      <c r="C1025" s="8">
        <v>46105</v>
      </c>
      <c r="D1025" s="8">
        <v>46113</v>
      </c>
      <c r="E1025" s="10">
        <f t="shared" si="15"/>
        <v>8</v>
      </c>
      <c r="F1025" s="4" t="s">
        <v>22</v>
      </c>
      <c r="G1025" s="4" t="s">
        <v>12</v>
      </c>
      <c r="H1025" s="4">
        <v>44875</v>
      </c>
      <c r="I1025" s="4" t="str">
        <f>VLOOKUP(B1025,Customers!$A:$D,4,FALSE)</f>
        <v>Premium</v>
      </c>
      <c r="J1025" s="4" t="s">
        <v>37</v>
      </c>
      <c r="K1025" s="4" t="s">
        <v>36</v>
      </c>
    </row>
    <row r="1026" spans="1:11" x14ac:dyDescent="0.2">
      <c r="A1026" s="4">
        <v>6025</v>
      </c>
      <c r="B1026" s="4">
        <v>1265</v>
      </c>
      <c r="C1026" s="8">
        <v>46149</v>
      </c>
      <c r="D1026" s="8">
        <v>46156</v>
      </c>
      <c r="E1026" s="10">
        <f t="shared" si="15"/>
        <v>7</v>
      </c>
      <c r="F1026" s="4" t="s">
        <v>20</v>
      </c>
      <c r="G1026" s="4" t="s">
        <v>13</v>
      </c>
      <c r="H1026" s="4">
        <v>3377</v>
      </c>
      <c r="I1026" s="4" t="str">
        <f>VLOOKUP(B1026,Customers!$A:$D,4,FALSE)</f>
        <v>Regular</v>
      </c>
      <c r="J1026" s="4" t="s">
        <v>37</v>
      </c>
      <c r="K1026" s="4" t="s">
        <v>36</v>
      </c>
    </row>
    <row r="1027" spans="1:11" x14ac:dyDescent="0.2">
      <c r="A1027" s="4">
        <v>6026</v>
      </c>
      <c r="B1027" s="4">
        <v>1230</v>
      </c>
      <c r="C1027" s="8">
        <v>46130</v>
      </c>
      <c r="D1027" s="8">
        <v>46140</v>
      </c>
      <c r="E1027" s="10">
        <f t="shared" ref="E1027:E1090" si="16">D1027-C1027</f>
        <v>10</v>
      </c>
      <c r="F1027" s="4" t="s">
        <v>19</v>
      </c>
      <c r="G1027" s="4" t="s">
        <v>12</v>
      </c>
      <c r="H1027" s="4">
        <v>25980</v>
      </c>
      <c r="I1027" s="4" t="str">
        <f>VLOOKUP(B1027,Customers!$A:$D,4,FALSE)</f>
        <v>Premium</v>
      </c>
      <c r="J1027" s="4" t="s">
        <v>35</v>
      </c>
      <c r="K1027" s="4" t="s">
        <v>36</v>
      </c>
    </row>
    <row r="1028" spans="1:11" x14ac:dyDescent="0.2">
      <c r="A1028" s="4">
        <v>6027</v>
      </c>
      <c r="B1028" s="4">
        <v>1293</v>
      </c>
      <c r="C1028" s="8">
        <v>46108</v>
      </c>
      <c r="D1028" s="8">
        <v>46111</v>
      </c>
      <c r="E1028" s="10">
        <f t="shared" si="16"/>
        <v>3</v>
      </c>
      <c r="F1028" s="4" t="s">
        <v>20</v>
      </c>
      <c r="G1028" s="4" t="s">
        <v>13</v>
      </c>
      <c r="H1028" s="4">
        <v>45490</v>
      </c>
      <c r="I1028" s="4" t="str">
        <f>VLOOKUP(B1028,Customers!$A:$D,4,FALSE)</f>
        <v>Premium</v>
      </c>
      <c r="J1028" s="4" t="s">
        <v>37</v>
      </c>
      <c r="K1028" s="4" t="s">
        <v>36</v>
      </c>
    </row>
    <row r="1029" spans="1:11" x14ac:dyDescent="0.2">
      <c r="A1029" s="4">
        <v>6028</v>
      </c>
      <c r="B1029" s="4">
        <v>1101</v>
      </c>
      <c r="C1029" s="8">
        <v>46042</v>
      </c>
      <c r="D1029" s="8">
        <v>46047</v>
      </c>
      <c r="E1029" s="10">
        <f t="shared" si="16"/>
        <v>5</v>
      </c>
      <c r="F1029" s="4" t="s">
        <v>18</v>
      </c>
      <c r="G1029" s="4" t="s">
        <v>14</v>
      </c>
      <c r="H1029" s="4">
        <v>20668</v>
      </c>
      <c r="I1029" s="4" t="str">
        <f>VLOOKUP(B1029,Customers!$A:$D,4,FALSE)</f>
        <v>Premium</v>
      </c>
      <c r="J1029" s="4" t="s">
        <v>35</v>
      </c>
      <c r="K1029" s="4" t="s">
        <v>36</v>
      </c>
    </row>
    <row r="1030" spans="1:11" x14ac:dyDescent="0.2">
      <c r="A1030" s="4">
        <v>6029</v>
      </c>
      <c r="B1030" s="4">
        <v>1246</v>
      </c>
      <c r="C1030" s="8">
        <v>46047</v>
      </c>
      <c r="D1030" s="8">
        <v>46049</v>
      </c>
      <c r="E1030" s="10">
        <f t="shared" si="16"/>
        <v>2</v>
      </c>
      <c r="F1030" s="4" t="s">
        <v>21</v>
      </c>
      <c r="G1030" s="4" t="s">
        <v>12</v>
      </c>
      <c r="H1030" s="4">
        <v>39132</v>
      </c>
      <c r="I1030" s="4" t="str">
        <f>VLOOKUP(B1030,Customers!$A:$D,4,FALSE)</f>
        <v>Premium</v>
      </c>
      <c r="J1030" s="4" t="s">
        <v>37</v>
      </c>
      <c r="K1030" s="4" t="s">
        <v>36</v>
      </c>
    </row>
    <row r="1031" spans="1:11" x14ac:dyDescent="0.2">
      <c r="A1031" s="4">
        <v>6030</v>
      </c>
      <c r="B1031" s="4">
        <v>1056</v>
      </c>
      <c r="C1031" s="8">
        <v>46087</v>
      </c>
      <c r="D1031" s="8">
        <v>46092</v>
      </c>
      <c r="E1031" s="10">
        <f t="shared" si="16"/>
        <v>5</v>
      </c>
      <c r="F1031" s="4" t="s">
        <v>25</v>
      </c>
      <c r="G1031" s="4" t="s">
        <v>13</v>
      </c>
      <c r="H1031" s="4">
        <v>22634</v>
      </c>
      <c r="I1031" s="4" t="str">
        <f>VLOOKUP(B1031,Customers!$A:$D,4,FALSE)</f>
        <v>Regular</v>
      </c>
      <c r="J1031" s="4" t="s">
        <v>35</v>
      </c>
      <c r="K1031" s="4" t="s">
        <v>36</v>
      </c>
    </row>
    <row r="1032" spans="1:11" x14ac:dyDescent="0.2">
      <c r="A1032" s="4">
        <v>6031</v>
      </c>
      <c r="B1032" s="4">
        <v>1122</v>
      </c>
      <c r="C1032" s="8">
        <v>46108</v>
      </c>
      <c r="D1032" s="8">
        <v>46118</v>
      </c>
      <c r="E1032" s="10">
        <f t="shared" si="16"/>
        <v>10</v>
      </c>
      <c r="F1032" s="4" t="s">
        <v>23</v>
      </c>
      <c r="G1032" s="4" t="s">
        <v>11</v>
      </c>
      <c r="H1032" s="4">
        <v>40903</v>
      </c>
      <c r="I1032" s="4" t="str">
        <f>VLOOKUP(B1032,Customers!$A:$D,4,FALSE)</f>
        <v>Regular</v>
      </c>
      <c r="J1032" s="4" t="s">
        <v>37</v>
      </c>
      <c r="K1032" s="4" t="s">
        <v>36</v>
      </c>
    </row>
    <row r="1033" spans="1:11" x14ac:dyDescent="0.2">
      <c r="A1033" s="4">
        <v>6032</v>
      </c>
      <c r="B1033" s="4">
        <v>1297</v>
      </c>
      <c r="C1033" s="8">
        <v>46047</v>
      </c>
      <c r="D1033" s="8">
        <v>46056</v>
      </c>
      <c r="E1033" s="10">
        <f t="shared" si="16"/>
        <v>9</v>
      </c>
      <c r="F1033" s="4" t="s">
        <v>23</v>
      </c>
      <c r="G1033" s="4" t="s">
        <v>12</v>
      </c>
      <c r="H1033" s="4">
        <v>4277</v>
      </c>
      <c r="I1033" s="4" t="str">
        <f>VLOOKUP(B1033,Customers!$A:$D,4,FALSE)</f>
        <v>Premium</v>
      </c>
      <c r="J1033" s="4" t="s">
        <v>35</v>
      </c>
      <c r="K1033" s="4" t="s">
        <v>36</v>
      </c>
    </row>
    <row r="1034" spans="1:11" x14ac:dyDescent="0.2">
      <c r="A1034" s="4">
        <v>6033</v>
      </c>
      <c r="B1034" s="4">
        <v>1034</v>
      </c>
      <c r="C1034" s="8">
        <v>46119</v>
      </c>
      <c r="D1034" s="8">
        <v>46126</v>
      </c>
      <c r="E1034" s="10">
        <f t="shared" si="16"/>
        <v>7</v>
      </c>
      <c r="F1034" s="4" t="s">
        <v>18</v>
      </c>
      <c r="G1034" s="4" t="s">
        <v>12</v>
      </c>
      <c r="H1034" s="4">
        <v>29261</v>
      </c>
      <c r="I1034" s="4" t="str">
        <f>VLOOKUP(B1034,Customers!$A:$D,4,FALSE)</f>
        <v>Regular</v>
      </c>
      <c r="J1034" s="4" t="s">
        <v>35</v>
      </c>
      <c r="K1034" s="4" t="s">
        <v>36</v>
      </c>
    </row>
    <row r="1035" spans="1:11" x14ac:dyDescent="0.2">
      <c r="A1035" s="4">
        <v>6034</v>
      </c>
      <c r="B1035" s="4">
        <v>1034</v>
      </c>
      <c r="C1035" s="8">
        <v>46100</v>
      </c>
      <c r="D1035" s="8">
        <v>46108</v>
      </c>
      <c r="E1035" s="10">
        <f t="shared" si="16"/>
        <v>8</v>
      </c>
      <c r="F1035" s="4" t="s">
        <v>23</v>
      </c>
      <c r="G1035" s="4" t="s">
        <v>12</v>
      </c>
      <c r="H1035" s="4">
        <v>36951</v>
      </c>
      <c r="I1035" s="4" t="str">
        <f>VLOOKUP(B1035,Customers!$A:$D,4,FALSE)</f>
        <v>Regular</v>
      </c>
      <c r="J1035" s="4" t="s">
        <v>35</v>
      </c>
      <c r="K1035" s="4" t="s">
        <v>36</v>
      </c>
    </row>
    <row r="1036" spans="1:11" x14ac:dyDescent="0.2">
      <c r="A1036" s="4">
        <v>6035</v>
      </c>
      <c r="B1036" s="4">
        <v>1206</v>
      </c>
      <c r="C1036" s="8">
        <v>46098</v>
      </c>
      <c r="D1036" s="8">
        <v>46106</v>
      </c>
      <c r="E1036" s="10">
        <f t="shared" si="16"/>
        <v>8</v>
      </c>
      <c r="F1036" s="4" t="s">
        <v>23</v>
      </c>
      <c r="G1036" s="4" t="s">
        <v>11</v>
      </c>
      <c r="H1036" s="4">
        <v>49580</v>
      </c>
      <c r="I1036" s="4" t="str">
        <f>VLOOKUP(B1036,Customers!$A:$D,4,FALSE)</f>
        <v>Regular</v>
      </c>
      <c r="J1036" s="4" t="s">
        <v>37</v>
      </c>
      <c r="K1036" s="4" t="s">
        <v>36</v>
      </c>
    </row>
    <row r="1037" spans="1:11" x14ac:dyDescent="0.2">
      <c r="A1037" s="4">
        <v>6036</v>
      </c>
      <c r="B1037" s="4">
        <v>1233</v>
      </c>
      <c r="C1037" s="8">
        <v>46082</v>
      </c>
      <c r="D1037" s="8">
        <v>46084</v>
      </c>
      <c r="E1037" s="10">
        <f t="shared" si="16"/>
        <v>2</v>
      </c>
      <c r="F1037" s="4" t="s">
        <v>21</v>
      </c>
      <c r="G1037" s="4" t="s">
        <v>15</v>
      </c>
      <c r="H1037" s="4">
        <v>28356</v>
      </c>
      <c r="I1037" s="4" t="str">
        <f>VLOOKUP(B1037,Customers!$A:$D,4,FALSE)</f>
        <v>Regular</v>
      </c>
      <c r="J1037" s="4" t="s">
        <v>35</v>
      </c>
      <c r="K1037" s="4" t="s">
        <v>36</v>
      </c>
    </row>
    <row r="1038" spans="1:11" x14ac:dyDescent="0.2">
      <c r="A1038" s="4">
        <v>6037</v>
      </c>
      <c r="B1038" s="4">
        <v>1233</v>
      </c>
      <c r="C1038" s="8">
        <v>46109</v>
      </c>
      <c r="D1038" s="8">
        <v>46111</v>
      </c>
      <c r="E1038" s="10">
        <f t="shared" si="16"/>
        <v>2</v>
      </c>
      <c r="F1038" s="4" t="s">
        <v>19</v>
      </c>
      <c r="G1038" s="4" t="s">
        <v>11</v>
      </c>
      <c r="H1038" s="4">
        <v>12914</v>
      </c>
      <c r="I1038" s="4" t="str">
        <f>VLOOKUP(B1038,Customers!$A:$D,4,FALSE)</f>
        <v>Regular</v>
      </c>
      <c r="J1038" s="4" t="s">
        <v>35</v>
      </c>
      <c r="K1038" s="4" t="s">
        <v>36</v>
      </c>
    </row>
    <row r="1039" spans="1:11" x14ac:dyDescent="0.2">
      <c r="A1039" s="4">
        <v>6038</v>
      </c>
      <c r="B1039" s="4">
        <v>1035</v>
      </c>
      <c r="C1039" s="8">
        <v>46049</v>
      </c>
      <c r="D1039" s="8">
        <v>46051</v>
      </c>
      <c r="E1039" s="10">
        <f t="shared" si="16"/>
        <v>2</v>
      </c>
      <c r="F1039" s="4" t="s">
        <v>24</v>
      </c>
      <c r="G1039" s="4" t="s">
        <v>11</v>
      </c>
      <c r="H1039" s="4">
        <v>8556</v>
      </c>
      <c r="I1039" s="4" t="str">
        <f>VLOOKUP(B1039,Customers!$A:$D,4,FALSE)</f>
        <v>Regular</v>
      </c>
      <c r="J1039" s="4" t="s">
        <v>37</v>
      </c>
      <c r="K1039" s="4" t="s">
        <v>36</v>
      </c>
    </row>
    <row r="1040" spans="1:11" x14ac:dyDescent="0.2">
      <c r="A1040" s="4">
        <v>6039</v>
      </c>
      <c r="B1040" s="4">
        <v>1247</v>
      </c>
      <c r="C1040" s="8">
        <v>46113</v>
      </c>
      <c r="D1040" s="8">
        <v>46121</v>
      </c>
      <c r="E1040" s="10">
        <f t="shared" si="16"/>
        <v>8</v>
      </c>
      <c r="F1040" s="4" t="s">
        <v>25</v>
      </c>
      <c r="G1040" s="4" t="s">
        <v>13</v>
      </c>
      <c r="H1040" s="4">
        <v>16235</v>
      </c>
      <c r="I1040" s="4" t="str">
        <f>VLOOKUP(B1040,Customers!$A:$D,4,FALSE)</f>
        <v>Regular</v>
      </c>
      <c r="J1040" s="4" t="s">
        <v>35</v>
      </c>
      <c r="K1040" s="4" t="s">
        <v>36</v>
      </c>
    </row>
    <row r="1041" spans="1:11" x14ac:dyDescent="0.2">
      <c r="A1041" s="4">
        <v>6040</v>
      </c>
      <c r="B1041" s="4">
        <v>1066</v>
      </c>
      <c r="C1041" s="8">
        <v>46034</v>
      </c>
      <c r="D1041" s="8">
        <v>46036</v>
      </c>
      <c r="E1041" s="10">
        <f t="shared" si="16"/>
        <v>2</v>
      </c>
      <c r="F1041" s="4" t="s">
        <v>22</v>
      </c>
      <c r="G1041" s="4" t="s">
        <v>11</v>
      </c>
      <c r="H1041" s="4">
        <v>28863</v>
      </c>
      <c r="I1041" s="4" t="str">
        <f>VLOOKUP(B1041,Customers!$A:$D,4,FALSE)</f>
        <v>Regular</v>
      </c>
      <c r="J1041" s="4" t="s">
        <v>37</v>
      </c>
      <c r="K1041" s="4" t="s">
        <v>36</v>
      </c>
    </row>
    <row r="1042" spans="1:11" x14ac:dyDescent="0.2">
      <c r="A1042" s="4">
        <v>6041</v>
      </c>
      <c r="B1042" s="4">
        <v>1075</v>
      </c>
      <c r="C1042" s="8">
        <v>46102</v>
      </c>
      <c r="D1042" s="8">
        <v>46112</v>
      </c>
      <c r="E1042" s="10">
        <f t="shared" si="16"/>
        <v>10</v>
      </c>
      <c r="F1042" s="4" t="s">
        <v>18</v>
      </c>
      <c r="G1042" s="4" t="s">
        <v>15</v>
      </c>
      <c r="H1042" s="4">
        <v>20529</v>
      </c>
      <c r="I1042" s="4" t="str">
        <f>VLOOKUP(B1042,Customers!$A:$D,4,FALSE)</f>
        <v>Premium</v>
      </c>
      <c r="J1042" s="4" t="s">
        <v>37</v>
      </c>
      <c r="K1042" s="4" t="s">
        <v>36</v>
      </c>
    </row>
    <row r="1043" spans="1:11" x14ac:dyDescent="0.2">
      <c r="A1043" s="4">
        <v>6042</v>
      </c>
      <c r="B1043" s="4">
        <v>1005</v>
      </c>
      <c r="C1043" s="8">
        <v>46097</v>
      </c>
      <c r="D1043" s="8">
        <v>46104</v>
      </c>
      <c r="E1043" s="10">
        <f t="shared" si="16"/>
        <v>7</v>
      </c>
      <c r="F1043" s="4" t="s">
        <v>18</v>
      </c>
      <c r="G1043" s="4" t="s">
        <v>12</v>
      </c>
      <c r="H1043" s="4">
        <v>15857</v>
      </c>
      <c r="I1043" s="4" t="str">
        <f>VLOOKUP(B1043,Customers!$A:$D,4,FALSE)</f>
        <v>Regular</v>
      </c>
      <c r="J1043" s="4" t="s">
        <v>35</v>
      </c>
      <c r="K1043" s="4" t="s">
        <v>36</v>
      </c>
    </row>
    <row r="1044" spans="1:11" x14ac:dyDescent="0.2">
      <c r="A1044" s="4">
        <v>6043</v>
      </c>
      <c r="B1044" s="4">
        <v>1101</v>
      </c>
      <c r="C1044" s="8">
        <v>46131</v>
      </c>
      <c r="D1044" s="8">
        <v>46138</v>
      </c>
      <c r="E1044" s="10">
        <f t="shared" si="16"/>
        <v>7</v>
      </c>
      <c r="F1044" s="4" t="s">
        <v>24</v>
      </c>
      <c r="G1044" s="4" t="s">
        <v>13</v>
      </c>
      <c r="H1044" s="4">
        <v>4782</v>
      </c>
      <c r="I1044" s="4" t="str">
        <f>VLOOKUP(B1044,Customers!$A:$D,4,FALSE)</f>
        <v>Premium</v>
      </c>
      <c r="J1044" s="4" t="s">
        <v>37</v>
      </c>
      <c r="K1044" s="4" t="s">
        <v>36</v>
      </c>
    </row>
    <row r="1045" spans="1:11" x14ac:dyDescent="0.2">
      <c r="A1045" s="4">
        <v>6044</v>
      </c>
      <c r="B1045" s="4">
        <v>1240</v>
      </c>
      <c r="C1045" s="8">
        <v>46071</v>
      </c>
      <c r="D1045" s="8">
        <v>46080</v>
      </c>
      <c r="E1045" s="10">
        <f t="shared" si="16"/>
        <v>9</v>
      </c>
      <c r="F1045" s="4" t="s">
        <v>19</v>
      </c>
      <c r="G1045" s="4" t="s">
        <v>11</v>
      </c>
      <c r="H1045" s="4">
        <v>37399</v>
      </c>
      <c r="I1045" s="4" t="str">
        <f>VLOOKUP(B1045,Customers!$A:$D,4,FALSE)</f>
        <v>Regular</v>
      </c>
      <c r="J1045" s="4" t="s">
        <v>37</v>
      </c>
      <c r="K1045" s="4" t="s">
        <v>36</v>
      </c>
    </row>
    <row r="1046" spans="1:11" x14ac:dyDescent="0.2">
      <c r="A1046" s="4">
        <v>6045</v>
      </c>
      <c r="B1046" s="4">
        <v>1169</v>
      </c>
      <c r="C1046" s="8">
        <v>46099</v>
      </c>
      <c r="D1046" s="8">
        <v>46107</v>
      </c>
      <c r="E1046" s="10">
        <f t="shared" si="16"/>
        <v>8</v>
      </c>
      <c r="F1046" s="4" t="s">
        <v>18</v>
      </c>
      <c r="G1046" s="4" t="s">
        <v>12</v>
      </c>
      <c r="H1046" s="4">
        <v>30073</v>
      </c>
      <c r="I1046" s="4" t="str">
        <f>VLOOKUP(B1046,Customers!$A:$D,4,FALSE)</f>
        <v>Premium</v>
      </c>
      <c r="J1046" s="4" t="s">
        <v>35</v>
      </c>
      <c r="K1046" s="4" t="s">
        <v>36</v>
      </c>
    </row>
    <row r="1047" spans="1:11" x14ac:dyDescent="0.2">
      <c r="A1047" s="4">
        <v>6046</v>
      </c>
      <c r="B1047" s="4">
        <v>1002</v>
      </c>
      <c r="C1047" s="8">
        <v>46149</v>
      </c>
      <c r="D1047" s="8">
        <v>46154</v>
      </c>
      <c r="E1047" s="10">
        <f t="shared" si="16"/>
        <v>5</v>
      </c>
      <c r="F1047" s="4" t="s">
        <v>24</v>
      </c>
      <c r="G1047" s="4" t="s">
        <v>13</v>
      </c>
      <c r="H1047" s="4">
        <v>30874</v>
      </c>
      <c r="I1047" s="4" t="str">
        <f>VLOOKUP(B1047,Customers!$A:$D,4,FALSE)</f>
        <v>Regular</v>
      </c>
      <c r="J1047" s="4" t="s">
        <v>35</v>
      </c>
      <c r="K1047" s="4" t="s">
        <v>36</v>
      </c>
    </row>
    <row r="1048" spans="1:11" x14ac:dyDescent="0.2">
      <c r="A1048" s="4">
        <v>6047</v>
      </c>
      <c r="B1048" s="4">
        <v>1170</v>
      </c>
      <c r="C1048" s="8">
        <v>46084</v>
      </c>
      <c r="D1048" s="8">
        <v>46093</v>
      </c>
      <c r="E1048" s="10">
        <f t="shared" si="16"/>
        <v>9</v>
      </c>
      <c r="F1048" s="4" t="s">
        <v>21</v>
      </c>
      <c r="G1048" s="4" t="s">
        <v>13</v>
      </c>
      <c r="H1048" s="4">
        <v>26534</v>
      </c>
      <c r="I1048" s="4" t="str">
        <f>VLOOKUP(B1048,Customers!$A:$D,4,FALSE)</f>
        <v>Regular</v>
      </c>
      <c r="J1048" s="4" t="s">
        <v>35</v>
      </c>
      <c r="K1048" s="4" t="s">
        <v>36</v>
      </c>
    </row>
    <row r="1049" spans="1:11" x14ac:dyDescent="0.2">
      <c r="A1049" s="4">
        <v>6048</v>
      </c>
      <c r="B1049" s="4">
        <v>1006</v>
      </c>
      <c r="C1049" s="8">
        <v>46024</v>
      </c>
      <c r="D1049" s="8">
        <v>46031</v>
      </c>
      <c r="E1049" s="10">
        <f t="shared" si="16"/>
        <v>7</v>
      </c>
      <c r="F1049" s="4" t="s">
        <v>23</v>
      </c>
      <c r="G1049" s="4" t="s">
        <v>14</v>
      </c>
      <c r="H1049" s="4">
        <v>2267</v>
      </c>
      <c r="I1049" s="4" t="str">
        <f>VLOOKUP(B1049,Customers!$A:$D,4,FALSE)</f>
        <v>Regular</v>
      </c>
      <c r="J1049" s="4" t="s">
        <v>35</v>
      </c>
      <c r="K1049" s="4" t="s">
        <v>36</v>
      </c>
    </row>
    <row r="1050" spans="1:11" x14ac:dyDescent="0.2">
      <c r="A1050" s="4">
        <v>6049</v>
      </c>
      <c r="B1050" s="4">
        <v>1226</v>
      </c>
      <c r="C1050" s="8">
        <v>46059</v>
      </c>
      <c r="D1050" s="8">
        <v>46065</v>
      </c>
      <c r="E1050" s="10">
        <f t="shared" si="16"/>
        <v>6</v>
      </c>
      <c r="F1050" s="4" t="s">
        <v>24</v>
      </c>
      <c r="G1050" s="4" t="s">
        <v>11</v>
      </c>
      <c r="H1050" s="4">
        <v>23887</v>
      </c>
      <c r="I1050" s="4" t="str">
        <f>VLOOKUP(B1050,Customers!$A:$D,4,FALSE)</f>
        <v>Regular</v>
      </c>
      <c r="J1050" s="4" t="s">
        <v>35</v>
      </c>
      <c r="K1050" s="4" t="s">
        <v>36</v>
      </c>
    </row>
    <row r="1051" spans="1:11" x14ac:dyDescent="0.2">
      <c r="A1051" s="4">
        <v>6050</v>
      </c>
      <c r="B1051" s="4">
        <v>1102</v>
      </c>
      <c r="C1051" s="8">
        <v>46030</v>
      </c>
      <c r="D1051" s="8">
        <v>46035</v>
      </c>
      <c r="E1051" s="10">
        <f t="shared" si="16"/>
        <v>5</v>
      </c>
      <c r="F1051" s="4" t="s">
        <v>22</v>
      </c>
      <c r="G1051" s="4" t="s">
        <v>13</v>
      </c>
      <c r="H1051" s="4">
        <v>14648</v>
      </c>
      <c r="I1051" s="4" t="str">
        <f>VLOOKUP(B1051,Customers!$A:$D,4,FALSE)</f>
        <v>Premium</v>
      </c>
      <c r="J1051" s="4" t="s">
        <v>37</v>
      </c>
      <c r="K1051" s="4" t="s">
        <v>36</v>
      </c>
    </row>
    <row r="1052" spans="1:11" x14ac:dyDescent="0.2">
      <c r="A1052" s="4">
        <v>6051</v>
      </c>
      <c r="B1052" s="4">
        <v>1284</v>
      </c>
      <c r="C1052" s="8">
        <v>46067</v>
      </c>
      <c r="D1052" s="8">
        <v>46074</v>
      </c>
      <c r="E1052" s="10">
        <f t="shared" si="16"/>
        <v>7</v>
      </c>
      <c r="F1052" s="4" t="s">
        <v>24</v>
      </c>
      <c r="G1052" s="4" t="s">
        <v>13</v>
      </c>
      <c r="H1052" s="4">
        <v>13144</v>
      </c>
      <c r="I1052" s="4" t="str">
        <f>VLOOKUP(B1052,Customers!$A:$D,4,FALSE)</f>
        <v>Regular</v>
      </c>
      <c r="J1052" s="4" t="s">
        <v>35</v>
      </c>
      <c r="K1052" s="4" t="s">
        <v>36</v>
      </c>
    </row>
    <row r="1053" spans="1:11" x14ac:dyDescent="0.2">
      <c r="A1053" s="4">
        <v>6052</v>
      </c>
      <c r="B1053" s="4">
        <v>1052</v>
      </c>
      <c r="C1053" s="8">
        <v>46068</v>
      </c>
      <c r="D1053" s="8">
        <v>46074</v>
      </c>
      <c r="E1053" s="10">
        <f t="shared" si="16"/>
        <v>6</v>
      </c>
      <c r="F1053" s="4" t="s">
        <v>20</v>
      </c>
      <c r="G1053" s="4" t="s">
        <v>13</v>
      </c>
      <c r="H1053" s="4">
        <v>25133</v>
      </c>
      <c r="I1053" s="4" t="str">
        <f>VLOOKUP(B1053,Customers!$A:$D,4,FALSE)</f>
        <v>Premium</v>
      </c>
      <c r="J1053" s="4" t="s">
        <v>35</v>
      </c>
      <c r="K1053" s="4" t="s">
        <v>36</v>
      </c>
    </row>
    <row r="1054" spans="1:11" x14ac:dyDescent="0.2">
      <c r="A1054" s="4">
        <v>6053</v>
      </c>
      <c r="B1054" s="4">
        <v>1157</v>
      </c>
      <c r="C1054" s="8">
        <v>46109</v>
      </c>
      <c r="D1054" s="8">
        <v>46114</v>
      </c>
      <c r="E1054" s="10">
        <f t="shared" si="16"/>
        <v>5</v>
      </c>
      <c r="F1054" s="4" t="s">
        <v>25</v>
      </c>
      <c r="G1054" s="4" t="s">
        <v>13</v>
      </c>
      <c r="H1054" s="4">
        <v>24524</v>
      </c>
      <c r="I1054" s="4" t="str">
        <f>VLOOKUP(B1054,Customers!$A:$D,4,FALSE)</f>
        <v>Regular</v>
      </c>
      <c r="J1054" s="4" t="s">
        <v>37</v>
      </c>
      <c r="K1054" s="4" t="s">
        <v>36</v>
      </c>
    </row>
    <row r="1055" spans="1:11" x14ac:dyDescent="0.2">
      <c r="A1055" s="4">
        <v>6054</v>
      </c>
      <c r="B1055" s="4">
        <v>1223</v>
      </c>
      <c r="C1055" s="8">
        <v>46066</v>
      </c>
      <c r="D1055" s="8">
        <v>46076</v>
      </c>
      <c r="E1055" s="10">
        <f t="shared" si="16"/>
        <v>10</v>
      </c>
      <c r="F1055" s="4" t="s">
        <v>23</v>
      </c>
      <c r="G1055" s="4" t="s">
        <v>12</v>
      </c>
      <c r="H1055" s="4">
        <v>9765</v>
      </c>
      <c r="I1055" s="4" t="str">
        <f>VLOOKUP(B1055,Customers!$A:$D,4,FALSE)</f>
        <v>Regular</v>
      </c>
      <c r="J1055" s="4" t="s">
        <v>35</v>
      </c>
      <c r="K1055" s="4" t="s">
        <v>36</v>
      </c>
    </row>
    <row r="1056" spans="1:11" x14ac:dyDescent="0.2">
      <c r="A1056" s="4">
        <v>6055</v>
      </c>
      <c r="B1056" s="4">
        <v>1273</v>
      </c>
      <c r="C1056" s="8">
        <v>46071</v>
      </c>
      <c r="D1056" s="8">
        <v>46076</v>
      </c>
      <c r="E1056" s="10">
        <f t="shared" si="16"/>
        <v>5</v>
      </c>
      <c r="F1056" s="4" t="s">
        <v>21</v>
      </c>
      <c r="G1056" s="4" t="s">
        <v>14</v>
      </c>
      <c r="H1056" s="4">
        <v>21137</v>
      </c>
      <c r="I1056" s="4" t="str">
        <f>VLOOKUP(B1056,Customers!$A:$D,4,FALSE)</f>
        <v>Regular</v>
      </c>
      <c r="J1056" s="4" t="s">
        <v>37</v>
      </c>
      <c r="K1056" s="4" t="s">
        <v>36</v>
      </c>
    </row>
    <row r="1057" spans="1:11" x14ac:dyDescent="0.2">
      <c r="A1057" s="4">
        <v>6056</v>
      </c>
      <c r="B1057" s="4">
        <v>1097</v>
      </c>
      <c r="C1057" s="8">
        <v>46085</v>
      </c>
      <c r="D1057" s="8">
        <v>46087</v>
      </c>
      <c r="E1057" s="10">
        <f t="shared" si="16"/>
        <v>2</v>
      </c>
      <c r="F1057" s="4" t="s">
        <v>22</v>
      </c>
      <c r="G1057" s="4" t="s">
        <v>13</v>
      </c>
      <c r="H1057" s="4">
        <v>21774</v>
      </c>
      <c r="I1057" s="4" t="str">
        <f>VLOOKUP(B1057,Customers!$A:$D,4,FALSE)</f>
        <v>Premium</v>
      </c>
      <c r="J1057" s="4" t="s">
        <v>35</v>
      </c>
      <c r="K1057" s="4" t="s">
        <v>36</v>
      </c>
    </row>
    <row r="1058" spans="1:11" x14ac:dyDescent="0.2">
      <c r="A1058" s="4">
        <v>6057</v>
      </c>
      <c r="B1058" s="4">
        <v>1065</v>
      </c>
      <c r="C1058" s="8">
        <v>46036</v>
      </c>
      <c r="D1058" s="8">
        <v>46042</v>
      </c>
      <c r="E1058" s="10">
        <f t="shared" si="16"/>
        <v>6</v>
      </c>
      <c r="F1058" s="4" t="s">
        <v>25</v>
      </c>
      <c r="G1058" s="4" t="s">
        <v>13</v>
      </c>
      <c r="H1058" s="4">
        <v>47964</v>
      </c>
      <c r="I1058" s="4" t="str">
        <f>VLOOKUP(B1058,Customers!$A:$D,4,FALSE)</f>
        <v>Premium</v>
      </c>
      <c r="J1058" s="4" t="s">
        <v>35</v>
      </c>
      <c r="K1058" s="4" t="s">
        <v>36</v>
      </c>
    </row>
    <row r="1059" spans="1:11" x14ac:dyDescent="0.2">
      <c r="A1059" s="4">
        <v>6058</v>
      </c>
      <c r="B1059" s="4">
        <v>1086</v>
      </c>
      <c r="C1059" s="8">
        <v>46143</v>
      </c>
      <c r="D1059" s="8">
        <v>46146</v>
      </c>
      <c r="E1059" s="10">
        <f t="shared" si="16"/>
        <v>3</v>
      </c>
      <c r="F1059" s="4" t="s">
        <v>21</v>
      </c>
      <c r="G1059" s="4" t="s">
        <v>11</v>
      </c>
      <c r="H1059" s="4">
        <v>24827</v>
      </c>
      <c r="I1059" s="4" t="str">
        <f>VLOOKUP(B1059,Customers!$A:$D,4,FALSE)</f>
        <v>Premium</v>
      </c>
      <c r="J1059" s="4" t="s">
        <v>37</v>
      </c>
      <c r="K1059" s="4" t="s">
        <v>36</v>
      </c>
    </row>
    <row r="1060" spans="1:11" x14ac:dyDescent="0.2">
      <c r="A1060" s="4">
        <v>6059</v>
      </c>
      <c r="B1060" s="4">
        <v>1092</v>
      </c>
      <c r="C1060" s="8">
        <v>46155</v>
      </c>
      <c r="D1060" s="8">
        <v>46164</v>
      </c>
      <c r="E1060" s="10">
        <f t="shared" si="16"/>
        <v>9</v>
      </c>
      <c r="F1060" s="4" t="s">
        <v>19</v>
      </c>
      <c r="G1060" s="4" t="s">
        <v>14</v>
      </c>
      <c r="H1060" s="4">
        <v>34737</v>
      </c>
      <c r="I1060" s="4" t="str">
        <f>VLOOKUP(B1060,Customers!$A:$D,4,FALSE)</f>
        <v>Premium</v>
      </c>
      <c r="J1060" s="4" t="s">
        <v>37</v>
      </c>
      <c r="K1060" s="4" t="s">
        <v>36</v>
      </c>
    </row>
    <row r="1061" spans="1:11" x14ac:dyDescent="0.2">
      <c r="A1061" s="4">
        <v>6060</v>
      </c>
      <c r="B1061" s="4">
        <v>1138</v>
      </c>
      <c r="C1061" s="8">
        <v>46149</v>
      </c>
      <c r="D1061" s="8">
        <v>46158</v>
      </c>
      <c r="E1061" s="10">
        <f t="shared" si="16"/>
        <v>9</v>
      </c>
      <c r="F1061" s="4" t="s">
        <v>21</v>
      </c>
      <c r="G1061" s="4" t="s">
        <v>11</v>
      </c>
      <c r="H1061" s="4">
        <v>42881</v>
      </c>
      <c r="I1061" s="4" t="str">
        <f>VLOOKUP(B1061,Customers!$A:$D,4,FALSE)</f>
        <v>Premium</v>
      </c>
      <c r="J1061" s="4" t="s">
        <v>35</v>
      </c>
      <c r="K1061" s="4" t="s">
        <v>36</v>
      </c>
    </row>
    <row r="1062" spans="1:11" x14ac:dyDescent="0.2">
      <c r="A1062" s="4">
        <v>6061</v>
      </c>
      <c r="B1062" s="4">
        <v>1104</v>
      </c>
      <c r="C1062" s="8">
        <v>46076</v>
      </c>
      <c r="D1062" s="8">
        <v>46081</v>
      </c>
      <c r="E1062" s="10">
        <f t="shared" si="16"/>
        <v>5</v>
      </c>
      <c r="F1062" s="4" t="s">
        <v>25</v>
      </c>
      <c r="G1062" s="4" t="s">
        <v>13</v>
      </c>
      <c r="H1062" s="4">
        <v>26245</v>
      </c>
      <c r="I1062" s="4" t="str">
        <f>VLOOKUP(B1062,Customers!$A:$D,4,FALSE)</f>
        <v>Regular</v>
      </c>
      <c r="J1062" s="4" t="s">
        <v>35</v>
      </c>
      <c r="K1062" s="4" t="s">
        <v>36</v>
      </c>
    </row>
    <row r="1063" spans="1:11" x14ac:dyDescent="0.2">
      <c r="A1063" s="4">
        <v>6062</v>
      </c>
      <c r="B1063" s="4">
        <v>1194</v>
      </c>
      <c r="C1063" s="8">
        <v>46101</v>
      </c>
      <c r="D1063" s="8">
        <v>46109</v>
      </c>
      <c r="E1063" s="10">
        <f t="shared" si="16"/>
        <v>8</v>
      </c>
      <c r="F1063" s="4" t="s">
        <v>18</v>
      </c>
      <c r="G1063" s="4" t="s">
        <v>14</v>
      </c>
      <c r="H1063" s="4">
        <v>16980</v>
      </c>
      <c r="I1063" s="4" t="str">
        <f>VLOOKUP(B1063,Customers!$A:$D,4,FALSE)</f>
        <v>Regular</v>
      </c>
      <c r="J1063" s="4" t="s">
        <v>35</v>
      </c>
      <c r="K1063" s="4" t="s">
        <v>36</v>
      </c>
    </row>
    <row r="1064" spans="1:11" x14ac:dyDescent="0.2">
      <c r="A1064" s="4">
        <v>6063</v>
      </c>
      <c r="B1064" s="4">
        <v>1152</v>
      </c>
      <c r="C1064" s="8">
        <v>46057</v>
      </c>
      <c r="D1064" s="8">
        <v>46060</v>
      </c>
      <c r="E1064" s="10">
        <f t="shared" si="16"/>
        <v>3</v>
      </c>
      <c r="F1064" s="4" t="s">
        <v>25</v>
      </c>
      <c r="G1064" s="4" t="s">
        <v>11</v>
      </c>
      <c r="H1064" s="4">
        <v>23340</v>
      </c>
      <c r="I1064" s="4" t="str">
        <f>VLOOKUP(B1064,Customers!$A:$D,4,FALSE)</f>
        <v>Regular</v>
      </c>
      <c r="J1064" s="4" t="s">
        <v>35</v>
      </c>
      <c r="K1064" s="4" t="s">
        <v>36</v>
      </c>
    </row>
    <row r="1065" spans="1:11" x14ac:dyDescent="0.2">
      <c r="A1065" s="4">
        <v>6064</v>
      </c>
      <c r="B1065" s="4">
        <v>1239</v>
      </c>
      <c r="C1065" s="8">
        <v>46172</v>
      </c>
      <c r="D1065" s="8">
        <v>46174</v>
      </c>
      <c r="E1065" s="10">
        <f t="shared" si="16"/>
        <v>2</v>
      </c>
      <c r="F1065" s="4" t="s">
        <v>19</v>
      </c>
      <c r="G1065" s="4" t="s">
        <v>15</v>
      </c>
      <c r="H1065" s="4">
        <v>29866</v>
      </c>
      <c r="I1065" s="4" t="str">
        <f>VLOOKUP(B1065,Customers!$A:$D,4,FALSE)</f>
        <v>Premium</v>
      </c>
      <c r="J1065" s="4" t="s">
        <v>37</v>
      </c>
      <c r="K1065" s="4" t="s">
        <v>36</v>
      </c>
    </row>
    <row r="1066" spans="1:11" x14ac:dyDescent="0.2">
      <c r="A1066" s="4">
        <v>6065</v>
      </c>
      <c r="B1066" s="4">
        <v>1189</v>
      </c>
      <c r="C1066" s="8">
        <v>46133</v>
      </c>
      <c r="D1066" s="8">
        <v>46141</v>
      </c>
      <c r="E1066" s="10">
        <f t="shared" si="16"/>
        <v>8</v>
      </c>
      <c r="F1066" s="4" t="s">
        <v>25</v>
      </c>
      <c r="G1066" s="4" t="s">
        <v>14</v>
      </c>
      <c r="H1066" s="4">
        <v>18192</v>
      </c>
      <c r="I1066" s="4" t="str">
        <f>VLOOKUP(B1066,Customers!$A:$D,4,FALSE)</f>
        <v>Regular</v>
      </c>
      <c r="J1066" s="4" t="s">
        <v>37</v>
      </c>
      <c r="K1066" s="4" t="s">
        <v>36</v>
      </c>
    </row>
    <row r="1067" spans="1:11" x14ac:dyDescent="0.2">
      <c r="A1067" s="4">
        <v>6066</v>
      </c>
      <c r="B1067" s="4">
        <v>1227</v>
      </c>
      <c r="C1067" s="8">
        <v>46029</v>
      </c>
      <c r="D1067" s="8">
        <v>46033</v>
      </c>
      <c r="E1067" s="10">
        <f t="shared" si="16"/>
        <v>4</v>
      </c>
      <c r="F1067" s="4" t="s">
        <v>24</v>
      </c>
      <c r="G1067" s="4" t="s">
        <v>14</v>
      </c>
      <c r="H1067" s="4">
        <v>42593</v>
      </c>
      <c r="I1067" s="4" t="str">
        <f>VLOOKUP(B1067,Customers!$A:$D,4,FALSE)</f>
        <v>Premium</v>
      </c>
      <c r="J1067" s="4" t="s">
        <v>35</v>
      </c>
      <c r="K1067" s="4" t="s">
        <v>36</v>
      </c>
    </row>
    <row r="1068" spans="1:11" x14ac:dyDescent="0.2">
      <c r="A1068" s="4">
        <v>6067</v>
      </c>
      <c r="B1068" s="4">
        <v>1151</v>
      </c>
      <c r="C1068" s="8">
        <v>46114</v>
      </c>
      <c r="D1068" s="8">
        <v>46117</v>
      </c>
      <c r="E1068" s="10">
        <f t="shared" si="16"/>
        <v>3</v>
      </c>
      <c r="F1068" s="4" t="s">
        <v>23</v>
      </c>
      <c r="G1068" s="4" t="s">
        <v>14</v>
      </c>
      <c r="H1068" s="4">
        <v>15225</v>
      </c>
      <c r="I1068" s="4" t="str">
        <f>VLOOKUP(B1068,Customers!$A:$D,4,FALSE)</f>
        <v>Regular</v>
      </c>
      <c r="J1068" s="4" t="s">
        <v>35</v>
      </c>
      <c r="K1068" s="4" t="s">
        <v>36</v>
      </c>
    </row>
    <row r="1069" spans="1:11" x14ac:dyDescent="0.2">
      <c r="A1069" s="4">
        <v>6068</v>
      </c>
      <c r="B1069" s="4">
        <v>1185</v>
      </c>
      <c r="C1069" s="8">
        <v>46053</v>
      </c>
      <c r="D1069" s="8">
        <v>46056</v>
      </c>
      <c r="E1069" s="10">
        <f t="shared" si="16"/>
        <v>3</v>
      </c>
      <c r="F1069" s="4" t="s">
        <v>20</v>
      </c>
      <c r="G1069" s="4" t="s">
        <v>11</v>
      </c>
      <c r="H1069" s="4">
        <v>13427</v>
      </c>
      <c r="I1069" s="4" t="str">
        <f>VLOOKUP(B1069,Customers!$A:$D,4,FALSE)</f>
        <v>Regular</v>
      </c>
      <c r="J1069" s="4" t="s">
        <v>37</v>
      </c>
      <c r="K1069" s="4" t="s">
        <v>36</v>
      </c>
    </row>
    <row r="1070" spans="1:11" x14ac:dyDescent="0.2">
      <c r="A1070" s="4">
        <v>6069</v>
      </c>
      <c r="B1070" s="4">
        <v>1129</v>
      </c>
      <c r="C1070" s="8">
        <v>46073</v>
      </c>
      <c r="D1070" s="8">
        <v>46080</v>
      </c>
      <c r="E1070" s="10">
        <f t="shared" si="16"/>
        <v>7</v>
      </c>
      <c r="F1070" s="4" t="s">
        <v>22</v>
      </c>
      <c r="G1070" s="4" t="s">
        <v>14</v>
      </c>
      <c r="H1070" s="4">
        <v>12793</v>
      </c>
      <c r="I1070" s="4" t="str">
        <f>VLOOKUP(B1070,Customers!$A:$D,4,FALSE)</f>
        <v>Premium</v>
      </c>
      <c r="J1070" s="4" t="s">
        <v>35</v>
      </c>
      <c r="K1070" s="4" t="s">
        <v>36</v>
      </c>
    </row>
    <row r="1071" spans="1:11" x14ac:dyDescent="0.2">
      <c r="A1071" s="4">
        <v>6070</v>
      </c>
      <c r="B1071" s="4">
        <v>1005</v>
      </c>
      <c r="C1071" s="8">
        <v>46162</v>
      </c>
      <c r="D1071" s="8">
        <v>46168</v>
      </c>
      <c r="E1071" s="10">
        <f t="shared" si="16"/>
        <v>6</v>
      </c>
      <c r="F1071" s="4" t="s">
        <v>22</v>
      </c>
      <c r="G1071" s="4" t="s">
        <v>14</v>
      </c>
      <c r="H1071" s="4">
        <v>23016</v>
      </c>
      <c r="I1071" s="4" t="str">
        <f>VLOOKUP(B1071,Customers!$A:$D,4,FALSE)</f>
        <v>Regular</v>
      </c>
      <c r="J1071" s="4" t="s">
        <v>37</v>
      </c>
      <c r="K1071" s="4" t="s">
        <v>36</v>
      </c>
    </row>
    <row r="1072" spans="1:11" x14ac:dyDescent="0.2">
      <c r="A1072" s="4">
        <v>6071</v>
      </c>
      <c r="B1072" s="4">
        <v>1242</v>
      </c>
      <c r="C1072" s="8">
        <v>46126</v>
      </c>
      <c r="D1072" s="8">
        <v>46128</v>
      </c>
      <c r="E1072" s="10">
        <f t="shared" si="16"/>
        <v>2</v>
      </c>
      <c r="F1072" s="4" t="s">
        <v>18</v>
      </c>
      <c r="G1072" s="4" t="s">
        <v>15</v>
      </c>
      <c r="H1072" s="4">
        <v>15214</v>
      </c>
      <c r="I1072" s="4" t="str">
        <f>VLOOKUP(B1072,Customers!$A:$D,4,FALSE)</f>
        <v>Premium</v>
      </c>
      <c r="J1072" s="4" t="s">
        <v>35</v>
      </c>
      <c r="K1072" s="4" t="s">
        <v>36</v>
      </c>
    </row>
    <row r="1073" spans="1:11" x14ac:dyDescent="0.2">
      <c r="A1073" s="4">
        <v>6072</v>
      </c>
      <c r="B1073" s="4">
        <v>1120</v>
      </c>
      <c r="C1073" s="8">
        <v>46076</v>
      </c>
      <c r="D1073" s="8">
        <v>46085</v>
      </c>
      <c r="E1073" s="10">
        <f t="shared" si="16"/>
        <v>9</v>
      </c>
      <c r="F1073" s="4" t="s">
        <v>25</v>
      </c>
      <c r="G1073" s="4" t="s">
        <v>15</v>
      </c>
      <c r="H1073" s="4">
        <v>22625</v>
      </c>
      <c r="I1073" s="4" t="str">
        <f>VLOOKUP(B1073,Customers!$A:$D,4,FALSE)</f>
        <v>Regular</v>
      </c>
      <c r="J1073" s="4" t="s">
        <v>35</v>
      </c>
      <c r="K1073" s="4" t="s">
        <v>36</v>
      </c>
    </row>
    <row r="1074" spans="1:11" x14ac:dyDescent="0.2">
      <c r="A1074" s="4">
        <v>6073</v>
      </c>
      <c r="B1074" s="4">
        <v>1220</v>
      </c>
      <c r="C1074" s="8">
        <v>46103</v>
      </c>
      <c r="D1074" s="8">
        <v>46108</v>
      </c>
      <c r="E1074" s="10">
        <f t="shared" si="16"/>
        <v>5</v>
      </c>
      <c r="F1074" s="4" t="s">
        <v>21</v>
      </c>
      <c r="G1074" s="4" t="s">
        <v>13</v>
      </c>
      <c r="H1074" s="4">
        <v>29049</v>
      </c>
      <c r="I1074" s="4" t="str">
        <f>VLOOKUP(B1074,Customers!$A:$D,4,FALSE)</f>
        <v>Premium</v>
      </c>
      <c r="J1074" s="4" t="s">
        <v>37</v>
      </c>
      <c r="K1074" s="4" t="s">
        <v>36</v>
      </c>
    </row>
    <row r="1075" spans="1:11" x14ac:dyDescent="0.2">
      <c r="A1075" s="4">
        <v>6074</v>
      </c>
      <c r="B1075" s="4">
        <v>1192</v>
      </c>
      <c r="C1075" s="8">
        <v>46165</v>
      </c>
      <c r="D1075" s="8">
        <v>46167</v>
      </c>
      <c r="E1075" s="10">
        <f t="shared" si="16"/>
        <v>2</v>
      </c>
      <c r="F1075" s="4" t="s">
        <v>18</v>
      </c>
      <c r="G1075" s="4" t="s">
        <v>11</v>
      </c>
      <c r="H1075" s="4">
        <v>8711</v>
      </c>
      <c r="I1075" s="4" t="str">
        <f>VLOOKUP(B1075,Customers!$A:$D,4,FALSE)</f>
        <v>Regular</v>
      </c>
      <c r="J1075" s="4" t="s">
        <v>37</v>
      </c>
      <c r="K1075" s="4" t="s">
        <v>36</v>
      </c>
    </row>
    <row r="1076" spans="1:11" x14ac:dyDescent="0.2">
      <c r="A1076" s="4">
        <v>6075</v>
      </c>
      <c r="B1076" s="4">
        <v>1182</v>
      </c>
      <c r="C1076" s="8">
        <v>46025</v>
      </c>
      <c r="D1076" s="8">
        <v>46034</v>
      </c>
      <c r="E1076" s="10">
        <f t="shared" si="16"/>
        <v>9</v>
      </c>
      <c r="F1076" s="4" t="s">
        <v>19</v>
      </c>
      <c r="G1076" s="4" t="s">
        <v>13</v>
      </c>
      <c r="H1076" s="4">
        <v>27769</v>
      </c>
      <c r="I1076" s="4" t="str">
        <f>VLOOKUP(B1076,Customers!$A:$D,4,FALSE)</f>
        <v>Regular</v>
      </c>
      <c r="J1076" s="4" t="s">
        <v>37</v>
      </c>
      <c r="K1076" s="4" t="s">
        <v>36</v>
      </c>
    </row>
    <row r="1077" spans="1:11" x14ac:dyDescent="0.2">
      <c r="A1077" s="4">
        <v>6076</v>
      </c>
      <c r="B1077" s="4">
        <v>1154</v>
      </c>
      <c r="C1077" s="8">
        <v>46126</v>
      </c>
      <c r="D1077" s="8">
        <v>46136</v>
      </c>
      <c r="E1077" s="10">
        <f t="shared" si="16"/>
        <v>10</v>
      </c>
      <c r="F1077" s="4" t="s">
        <v>19</v>
      </c>
      <c r="G1077" s="4" t="s">
        <v>11</v>
      </c>
      <c r="H1077" s="4">
        <v>1823</v>
      </c>
      <c r="I1077" s="4" t="str">
        <f>VLOOKUP(B1077,Customers!$A:$D,4,FALSE)</f>
        <v>Regular</v>
      </c>
      <c r="J1077" s="4" t="s">
        <v>35</v>
      </c>
      <c r="K1077" s="4" t="s">
        <v>36</v>
      </c>
    </row>
    <row r="1078" spans="1:11" x14ac:dyDescent="0.2">
      <c r="A1078" s="4">
        <v>6077</v>
      </c>
      <c r="B1078" s="4">
        <v>1170</v>
      </c>
      <c r="C1078" s="8">
        <v>46058</v>
      </c>
      <c r="D1078" s="8">
        <v>46062</v>
      </c>
      <c r="E1078" s="10">
        <f t="shared" si="16"/>
        <v>4</v>
      </c>
      <c r="F1078" s="4" t="s">
        <v>21</v>
      </c>
      <c r="G1078" s="4" t="s">
        <v>15</v>
      </c>
      <c r="H1078" s="4">
        <v>13682</v>
      </c>
      <c r="I1078" s="4" t="str">
        <f>VLOOKUP(B1078,Customers!$A:$D,4,FALSE)</f>
        <v>Regular</v>
      </c>
      <c r="J1078" s="4" t="s">
        <v>37</v>
      </c>
      <c r="K1078" s="4" t="s">
        <v>36</v>
      </c>
    </row>
    <row r="1079" spans="1:11" x14ac:dyDescent="0.2">
      <c r="A1079" s="4">
        <v>6078</v>
      </c>
      <c r="B1079" s="4">
        <v>1198</v>
      </c>
      <c r="C1079" s="8">
        <v>46039</v>
      </c>
      <c r="D1079" s="8">
        <v>46049</v>
      </c>
      <c r="E1079" s="10">
        <f t="shared" si="16"/>
        <v>10</v>
      </c>
      <c r="F1079" s="4" t="s">
        <v>24</v>
      </c>
      <c r="G1079" s="4" t="s">
        <v>15</v>
      </c>
      <c r="H1079" s="4">
        <v>7419</v>
      </c>
      <c r="I1079" s="4" t="str">
        <f>VLOOKUP(B1079,Customers!$A:$D,4,FALSE)</f>
        <v>Premium</v>
      </c>
      <c r="J1079" s="4" t="s">
        <v>37</v>
      </c>
      <c r="K1079" s="4" t="s">
        <v>36</v>
      </c>
    </row>
    <row r="1080" spans="1:11" x14ac:dyDescent="0.2">
      <c r="A1080" s="4">
        <v>6079</v>
      </c>
      <c r="B1080" s="4">
        <v>1156</v>
      </c>
      <c r="C1080" s="8">
        <v>46168</v>
      </c>
      <c r="D1080" s="8">
        <v>46177</v>
      </c>
      <c r="E1080" s="10">
        <f t="shared" si="16"/>
        <v>9</v>
      </c>
      <c r="F1080" s="4" t="s">
        <v>23</v>
      </c>
      <c r="G1080" s="4" t="s">
        <v>13</v>
      </c>
      <c r="H1080" s="4">
        <v>7136</v>
      </c>
      <c r="I1080" s="4" t="str">
        <f>VLOOKUP(B1080,Customers!$A:$D,4,FALSE)</f>
        <v>Premium</v>
      </c>
      <c r="J1080" s="4" t="s">
        <v>35</v>
      </c>
      <c r="K1080" s="4" t="s">
        <v>36</v>
      </c>
    </row>
    <row r="1081" spans="1:11" x14ac:dyDescent="0.2">
      <c r="A1081" s="4">
        <v>6080</v>
      </c>
      <c r="B1081" s="4">
        <v>1014</v>
      </c>
      <c r="C1081" s="8">
        <v>46031</v>
      </c>
      <c r="D1081" s="8">
        <v>46040</v>
      </c>
      <c r="E1081" s="10">
        <f t="shared" si="16"/>
        <v>9</v>
      </c>
      <c r="F1081" s="4" t="s">
        <v>18</v>
      </c>
      <c r="G1081" s="4" t="s">
        <v>13</v>
      </c>
      <c r="H1081" s="4">
        <v>4854</v>
      </c>
      <c r="I1081" s="4" t="str">
        <f>VLOOKUP(B1081,Customers!$A:$D,4,FALSE)</f>
        <v>Regular</v>
      </c>
      <c r="J1081" s="4" t="s">
        <v>37</v>
      </c>
      <c r="K1081" s="4" t="s">
        <v>36</v>
      </c>
    </row>
    <row r="1082" spans="1:11" x14ac:dyDescent="0.2">
      <c r="A1082" s="4">
        <v>6081</v>
      </c>
      <c r="B1082" s="4">
        <v>1120</v>
      </c>
      <c r="C1082" s="8">
        <v>46095</v>
      </c>
      <c r="D1082" s="8">
        <v>46100</v>
      </c>
      <c r="E1082" s="10">
        <f t="shared" si="16"/>
        <v>5</v>
      </c>
      <c r="F1082" s="4" t="s">
        <v>22</v>
      </c>
      <c r="G1082" s="4" t="s">
        <v>11</v>
      </c>
      <c r="H1082" s="4">
        <v>4886</v>
      </c>
      <c r="I1082" s="4" t="str">
        <f>VLOOKUP(B1082,Customers!$A:$D,4,FALSE)</f>
        <v>Regular</v>
      </c>
      <c r="J1082" s="4" t="s">
        <v>37</v>
      </c>
      <c r="K1082" s="4" t="s">
        <v>36</v>
      </c>
    </row>
    <row r="1083" spans="1:11" x14ac:dyDescent="0.2">
      <c r="A1083" s="4">
        <v>6082</v>
      </c>
      <c r="B1083" s="4">
        <v>1266</v>
      </c>
      <c r="C1083" s="8">
        <v>46037</v>
      </c>
      <c r="D1083" s="8">
        <v>46044</v>
      </c>
      <c r="E1083" s="10">
        <f t="shared" si="16"/>
        <v>7</v>
      </c>
      <c r="F1083" s="4" t="s">
        <v>20</v>
      </c>
      <c r="G1083" s="4" t="s">
        <v>13</v>
      </c>
      <c r="H1083" s="4">
        <v>21715</v>
      </c>
      <c r="I1083" s="4" t="str">
        <f>VLOOKUP(B1083,Customers!$A:$D,4,FALSE)</f>
        <v>Regular</v>
      </c>
      <c r="J1083" s="4" t="s">
        <v>37</v>
      </c>
      <c r="K1083" s="4" t="s">
        <v>36</v>
      </c>
    </row>
    <row r="1084" spans="1:11" x14ac:dyDescent="0.2">
      <c r="A1084" s="4">
        <v>6083</v>
      </c>
      <c r="B1084" s="4">
        <v>1057</v>
      </c>
      <c r="C1084" s="8">
        <v>46123</v>
      </c>
      <c r="D1084" s="8">
        <v>46127</v>
      </c>
      <c r="E1084" s="10">
        <f t="shared" si="16"/>
        <v>4</v>
      </c>
      <c r="F1084" s="4" t="s">
        <v>18</v>
      </c>
      <c r="G1084" s="4" t="s">
        <v>11</v>
      </c>
      <c r="H1084" s="4">
        <v>27721</v>
      </c>
      <c r="I1084" s="4" t="str">
        <f>VLOOKUP(B1084,Customers!$A:$D,4,FALSE)</f>
        <v>Regular</v>
      </c>
      <c r="J1084" s="4" t="s">
        <v>37</v>
      </c>
      <c r="K1084" s="4" t="s">
        <v>36</v>
      </c>
    </row>
    <row r="1085" spans="1:11" x14ac:dyDescent="0.2">
      <c r="A1085" s="4">
        <v>6084</v>
      </c>
      <c r="B1085" s="4">
        <v>1106</v>
      </c>
      <c r="C1085" s="8">
        <v>46040</v>
      </c>
      <c r="D1085" s="8">
        <v>46048</v>
      </c>
      <c r="E1085" s="10">
        <f t="shared" si="16"/>
        <v>8</v>
      </c>
      <c r="F1085" s="4" t="s">
        <v>18</v>
      </c>
      <c r="G1085" s="4" t="s">
        <v>13</v>
      </c>
      <c r="H1085" s="4">
        <v>20600</v>
      </c>
      <c r="I1085" s="4" t="str">
        <f>VLOOKUP(B1085,Customers!$A:$D,4,FALSE)</f>
        <v>Premium</v>
      </c>
      <c r="J1085" s="4" t="s">
        <v>37</v>
      </c>
      <c r="K1085" s="4" t="s">
        <v>36</v>
      </c>
    </row>
    <row r="1086" spans="1:11" x14ac:dyDescent="0.2">
      <c r="A1086" s="4">
        <v>6085</v>
      </c>
      <c r="B1086" s="4">
        <v>1295</v>
      </c>
      <c r="C1086" s="8">
        <v>46144</v>
      </c>
      <c r="D1086" s="8">
        <v>46148</v>
      </c>
      <c r="E1086" s="10">
        <f t="shared" si="16"/>
        <v>4</v>
      </c>
      <c r="F1086" s="4" t="s">
        <v>22</v>
      </c>
      <c r="G1086" s="4" t="s">
        <v>11</v>
      </c>
      <c r="H1086" s="4">
        <v>13602</v>
      </c>
      <c r="I1086" s="4" t="str">
        <f>VLOOKUP(B1086,Customers!$A:$D,4,FALSE)</f>
        <v>Regular</v>
      </c>
      <c r="J1086" s="4" t="s">
        <v>37</v>
      </c>
      <c r="K1086" s="4" t="s">
        <v>36</v>
      </c>
    </row>
    <row r="1087" spans="1:11" x14ac:dyDescent="0.2">
      <c r="A1087" s="4">
        <v>6086</v>
      </c>
      <c r="B1087" s="4">
        <v>1004</v>
      </c>
      <c r="C1087" s="8">
        <v>46093</v>
      </c>
      <c r="D1087" s="8">
        <v>46098</v>
      </c>
      <c r="E1087" s="10">
        <f t="shared" si="16"/>
        <v>5</v>
      </c>
      <c r="F1087" s="4" t="s">
        <v>18</v>
      </c>
      <c r="G1087" s="4" t="s">
        <v>15</v>
      </c>
      <c r="H1087" s="4">
        <v>4492</v>
      </c>
      <c r="I1087" s="4" t="str">
        <f>VLOOKUP(B1087,Customers!$A:$D,4,FALSE)</f>
        <v>Regular</v>
      </c>
      <c r="J1087" s="4" t="s">
        <v>37</v>
      </c>
      <c r="K1087" s="4" t="s">
        <v>36</v>
      </c>
    </row>
    <row r="1088" spans="1:11" x14ac:dyDescent="0.2">
      <c r="A1088" s="4">
        <v>6087</v>
      </c>
      <c r="B1088" s="4">
        <v>1169</v>
      </c>
      <c r="C1088" s="8">
        <v>46086</v>
      </c>
      <c r="D1088" s="8">
        <v>46096</v>
      </c>
      <c r="E1088" s="10">
        <f t="shared" si="16"/>
        <v>10</v>
      </c>
      <c r="F1088" s="4" t="s">
        <v>25</v>
      </c>
      <c r="G1088" s="4" t="s">
        <v>15</v>
      </c>
      <c r="H1088" s="4">
        <v>30623</v>
      </c>
      <c r="I1088" s="4" t="str">
        <f>VLOOKUP(B1088,Customers!$A:$D,4,FALSE)</f>
        <v>Premium</v>
      </c>
      <c r="J1088" s="4" t="s">
        <v>35</v>
      </c>
      <c r="K1088" s="4" t="s">
        <v>36</v>
      </c>
    </row>
    <row r="1089" spans="1:11" x14ac:dyDescent="0.2">
      <c r="A1089" s="4">
        <v>6088</v>
      </c>
      <c r="B1089" s="4">
        <v>1234</v>
      </c>
      <c r="C1089" s="8">
        <v>46046</v>
      </c>
      <c r="D1089" s="8">
        <v>46052</v>
      </c>
      <c r="E1089" s="10">
        <f t="shared" si="16"/>
        <v>6</v>
      </c>
      <c r="F1089" s="4" t="s">
        <v>19</v>
      </c>
      <c r="G1089" s="4" t="s">
        <v>14</v>
      </c>
      <c r="H1089" s="4">
        <v>25930</v>
      </c>
      <c r="I1089" s="4" t="str">
        <f>VLOOKUP(B1089,Customers!$A:$D,4,FALSE)</f>
        <v>Premium</v>
      </c>
      <c r="J1089" s="4" t="s">
        <v>35</v>
      </c>
      <c r="K1089" s="4" t="s">
        <v>36</v>
      </c>
    </row>
    <row r="1090" spans="1:11" x14ac:dyDescent="0.2">
      <c r="A1090" s="4">
        <v>6089</v>
      </c>
      <c r="B1090" s="4">
        <v>1092</v>
      </c>
      <c r="C1090" s="8">
        <v>46129</v>
      </c>
      <c r="D1090" s="8">
        <v>46134</v>
      </c>
      <c r="E1090" s="10">
        <f t="shared" si="16"/>
        <v>5</v>
      </c>
      <c r="F1090" s="4" t="s">
        <v>21</v>
      </c>
      <c r="G1090" s="4" t="s">
        <v>15</v>
      </c>
      <c r="H1090" s="4">
        <v>25509</v>
      </c>
      <c r="I1090" s="4" t="str">
        <f>VLOOKUP(B1090,Customers!$A:$D,4,FALSE)</f>
        <v>Premium</v>
      </c>
      <c r="J1090" s="4" t="s">
        <v>35</v>
      </c>
      <c r="K1090" s="4" t="s">
        <v>36</v>
      </c>
    </row>
    <row r="1091" spans="1:11" x14ac:dyDescent="0.2">
      <c r="A1091" s="4">
        <v>6090</v>
      </c>
      <c r="B1091" s="4">
        <v>1202</v>
      </c>
      <c r="C1091" s="8">
        <v>46168</v>
      </c>
      <c r="D1091" s="8">
        <v>46171</v>
      </c>
      <c r="E1091" s="10">
        <f t="shared" ref="E1091:E1154" si="17">D1091-C1091</f>
        <v>3</v>
      </c>
      <c r="F1091" s="4" t="s">
        <v>20</v>
      </c>
      <c r="G1091" s="4" t="s">
        <v>13</v>
      </c>
      <c r="H1091" s="4">
        <v>10650</v>
      </c>
      <c r="I1091" s="4" t="str">
        <f>VLOOKUP(B1091,Customers!$A:$D,4,FALSE)</f>
        <v>Premium</v>
      </c>
      <c r="J1091" s="4" t="s">
        <v>37</v>
      </c>
      <c r="K1091" s="4" t="s">
        <v>36</v>
      </c>
    </row>
    <row r="1092" spans="1:11" x14ac:dyDescent="0.2">
      <c r="A1092" s="4">
        <v>6091</v>
      </c>
      <c r="B1092" s="4">
        <v>1035</v>
      </c>
      <c r="C1092" s="8">
        <v>46160</v>
      </c>
      <c r="D1092" s="8">
        <v>46166</v>
      </c>
      <c r="E1092" s="10">
        <f t="shared" si="17"/>
        <v>6</v>
      </c>
      <c r="F1092" s="4" t="s">
        <v>24</v>
      </c>
      <c r="G1092" s="4" t="s">
        <v>15</v>
      </c>
      <c r="H1092" s="4">
        <v>27253</v>
      </c>
      <c r="I1092" s="4" t="str">
        <f>VLOOKUP(B1092,Customers!$A:$D,4,FALSE)</f>
        <v>Regular</v>
      </c>
      <c r="J1092" s="4" t="s">
        <v>35</v>
      </c>
      <c r="K1092" s="4" t="s">
        <v>36</v>
      </c>
    </row>
    <row r="1093" spans="1:11" x14ac:dyDescent="0.2">
      <c r="A1093" s="4">
        <v>6092</v>
      </c>
      <c r="B1093" s="4">
        <v>1054</v>
      </c>
      <c r="C1093" s="8">
        <v>46117</v>
      </c>
      <c r="D1093" s="8">
        <v>46120</v>
      </c>
      <c r="E1093" s="10">
        <f t="shared" si="17"/>
        <v>3</v>
      </c>
      <c r="F1093" s="4" t="s">
        <v>19</v>
      </c>
      <c r="G1093" s="4" t="s">
        <v>15</v>
      </c>
      <c r="H1093" s="4">
        <v>29852</v>
      </c>
      <c r="I1093" s="4" t="str">
        <f>VLOOKUP(B1093,Customers!$A:$D,4,FALSE)</f>
        <v>Premium</v>
      </c>
      <c r="J1093" s="4" t="s">
        <v>35</v>
      </c>
      <c r="K1093" s="4" t="s">
        <v>36</v>
      </c>
    </row>
    <row r="1094" spans="1:11" x14ac:dyDescent="0.2">
      <c r="A1094" s="4">
        <v>6093</v>
      </c>
      <c r="B1094" s="4">
        <v>1260</v>
      </c>
      <c r="C1094" s="8">
        <v>46087</v>
      </c>
      <c r="D1094" s="8">
        <v>46092</v>
      </c>
      <c r="E1094" s="10">
        <f t="shared" si="17"/>
        <v>5</v>
      </c>
      <c r="F1094" s="4" t="s">
        <v>20</v>
      </c>
      <c r="G1094" s="4" t="s">
        <v>15</v>
      </c>
      <c r="H1094" s="4">
        <v>2050</v>
      </c>
      <c r="I1094" s="4" t="str">
        <f>VLOOKUP(B1094,Customers!$A:$D,4,FALSE)</f>
        <v>Regular</v>
      </c>
      <c r="J1094" s="4" t="s">
        <v>35</v>
      </c>
      <c r="K1094" s="4" t="s">
        <v>36</v>
      </c>
    </row>
    <row r="1095" spans="1:11" x14ac:dyDescent="0.2">
      <c r="A1095" s="4">
        <v>6094</v>
      </c>
      <c r="B1095" s="4">
        <v>1176</v>
      </c>
      <c r="C1095" s="8">
        <v>46141</v>
      </c>
      <c r="D1095" s="8">
        <v>46149</v>
      </c>
      <c r="E1095" s="10">
        <f t="shared" si="17"/>
        <v>8</v>
      </c>
      <c r="F1095" s="4" t="s">
        <v>21</v>
      </c>
      <c r="G1095" s="4" t="s">
        <v>13</v>
      </c>
      <c r="H1095" s="4">
        <v>26296</v>
      </c>
      <c r="I1095" s="4" t="str">
        <f>VLOOKUP(B1095,Customers!$A:$D,4,FALSE)</f>
        <v>Premium</v>
      </c>
      <c r="J1095" s="4" t="s">
        <v>35</v>
      </c>
      <c r="K1095" s="4" t="s">
        <v>36</v>
      </c>
    </row>
    <row r="1096" spans="1:11" x14ac:dyDescent="0.2">
      <c r="A1096" s="4">
        <v>6095</v>
      </c>
      <c r="B1096" s="4">
        <v>1059</v>
      </c>
      <c r="C1096" s="8">
        <v>46025</v>
      </c>
      <c r="D1096" s="8">
        <v>46031</v>
      </c>
      <c r="E1096" s="10">
        <f t="shared" si="17"/>
        <v>6</v>
      </c>
      <c r="F1096" s="4" t="s">
        <v>18</v>
      </c>
      <c r="G1096" s="4" t="s">
        <v>14</v>
      </c>
      <c r="H1096" s="4">
        <v>44228</v>
      </c>
      <c r="I1096" s="4" t="str">
        <f>VLOOKUP(B1096,Customers!$A:$D,4,FALSE)</f>
        <v>Premium</v>
      </c>
      <c r="J1096" s="4" t="s">
        <v>37</v>
      </c>
      <c r="K1096" s="4" t="s">
        <v>36</v>
      </c>
    </row>
    <row r="1097" spans="1:11" x14ac:dyDescent="0.2">
      <c r="A1097" s="4">
        <v>6096</v>
      </c>
      <c r="B1097" s="4">
        <v>1035</v>
      </c>
      <c r="C1097" s="8">
        <v>46147</v>
      </c>
      <c r="D1097" s="8">
        <v>46156</v>
      </c>
      <c r="E1097" s="10">
        <f t="shared" si="17"/>
        <v>9</v>
      </c>
      <c r="F1097" s="4" t="s">
        <v>23</v>
      </c>
      <c r="G1097" s="4" t="s">
        <v>11</v>
      </c>
      <c r="H1097" s="4">
        <v>43358</v>
      </c>
      <c r="I1097" s="4" t="str">
        <f>VLOOKUP(B1097,Customers!$A:$D,4,FALSE)</f>
        <v>Regular</v>
      </c>
      <c r="J1097" s="4" t="s">
        <v>35</v>
      </c>
      <c r="K1097" s="4" t="s">
        <v>36</v>
      </c>
    </row>
    <row r="1098" spans="1:11" x14ac:dyDescent="0.2">
      <c r="A1098" s="4">
        <v>6097</v>
      </c>
      <c r="B1098" s="4">
        <v>1242</v>
      </c>
      <c r="C1098" s="8">
        <v>46135</v>
      </c>
      <c r="D1098" s="8">
        <v>46139</v>
      </c>
      <c r="E1098" s="10">
        <f t="shared" si="17"/>
        <v>4</v>
      </c>
      <c r="F1098" s="4" t="s">
        <v>22</v>
      </c>
      <c r="G1098" s="4" t="s">
        <v>13</v>
      </c>
      <c r="H1098" s="4">
        <v>11479</v>
      </c>
      <c r="I1098" s="4" t="str">
        <f>VLOOKUP(B1098,Customers!$A:$D,4,FALSE)</f>
        <v>Premium</v>
      </c>
      <c r="J1098" s="4" t="s">
        <v>35</v>
      </c>
      <c r="K1098" s="4" t="s">
        <v>36</v>
      </c>
    </row>
    <row r="1099" spans="1:11" x14ac:dyDescent="0.2">
      <c r="A1099" s="4">
        <v>6098</v>
      </c>
      <c r="B1099" s="4">
        <v>1151</v>
      </c>
      <c r="C1099" s="8">
        <v>46048</v>
      </c>
      <c r="D1099" s="8">
        <v>46052</v>
      </c>
      <c r="E1099" s="10">
        <f t="shared" si="17"/>
        <v>4</v>
      </c>
      <c r="F1099" s="4" t="s">
        <v>23</v>
      </c>
      <c r="G1099" s="4" t="s">
        <v>11</v>
      </c>
      <c r="H1099" s="4">
        <v>48891</v>
      </c>
      <c r="I1099" s="4" t="str">
        <f>VLOOKUP(B1099,Customers!$A:$D,4,FALSE)</f>
        <v>Regular</v>
      </c>
      <c r="J1099" s="4" t="s">
        <v>37</v>
      </c>
      <c r="K1099" s="4" t="s">
        <v>36</v>
      </c>
    </row>
    <row r="1100" spans="1:11" x14ac:dyDescent="0.2">
      <c r="A1100" s="4">
        <v>6099</v>
      </c>
      <c r="B1100" s="4">
        <v>1006</v>
      </c>
      <c r="C1100" s="8">
        <v>46066</v>
      </c>
      <c r="D1100" s="8">
        <v>46069</v>
      </c>
      <c r="E1100" s="10">
        <f t="shared" si="17"/>
        <v>3</v>
      </c>
      <c r="F1100" s="4" t="s">
        <v>22</v>
      </c>
      <c r="G1100" s="4" t="s">
        <v>13</v>
      </c>
      <c r="H1100" s="4">
        <v>29178</v>
      </c>
      <c r="I1100" s="4" t="str">
        <f>VLOOKUP(B1100,Customers!$A:$D,4,FALSE)</f>
        <v>Regular</v>
      </c>
      <c r="J1100" s="4" t="s">
        <v>37</v>
      </c>
      <c r="K1100" s="4" t="s">
        <v>36</v>
      </c>
    </row>
    <row r="1101" spans="1:11" x14ac:dyDescent="0.2">
      <c r="A1101" s="4">
        <v>6100</v>
      </c>
      <c r="B1101" s="4">
        <v>1018</v>
      </c>
      <c r="C1101" s="8">
        <v>46068</v>
      </c>
      <c r="D1101" s="8">
        <v>46073</v>
      </c>
      <c r="E1101" s="10">
        <f t="shared" si="17"/>
        <v>5</v>
      </c>
      <c r="F1101" s="4" t="s">
        <v>24</v>
      </c>
      <c r="G1101" s="4" t="s">
        <v>15</v>
      </c>
      <c r="H1101" s="4">
        <v>45961</v>
      </c>
      <c r="I1101" s="4" t="str">
        <f>VLOOKUP(B1101,Customers!$A:$D,4,FALSE)</f>
        <v>Premium</v>
      </c>
      <c r="J1101" s="4" t="s">
        <v>35</v>
      </c>
      <c r="K1101" s="4" t="s">
        <v>36</v>
      </c>
    </row>
    <row r="1102" spans="1:11" x14ac:dyDescent="0.2">
      <c r="A1102" s="4">
        <v>6101</v>
      </c>
      <c r="B1102" s="4">
        <v>1200</v>
      </c>
      <c r="C1102" s="8">
        <v>46156</v>
      </c>
      <c r="D1102" s="8">
        <v>46159</v>
      </c>
      <c r="E1102" s="10">
        <f t="shared" si="17"/>
        <v>3</v>
      </c>
      <c r="F1102" s="4" t="s">
        <v>22</v>
      </c>
      <c r="G1102" s="4" t="s">
        <v>15</v>
      </c>
      <c r="H1102" s="4">
        <v>3735</v>
      </c>
      <c r="I1102" s="4" t="str">
        <f>VLOOKUP(B1102,Customers!$A:$D,4,FALSE)</f>
        <v>Regular</v>
      </c>
      <c r="J1102" s="4" t="s">
        <v>35</v>
      </c>
      <c r="K1102" s="4" t="s">
        <v>36</v>
      </c>
    </row>
    <row r="1103" spans="1:11" x14ac:dyDescent="0.2">
      <c r="A1103" s="4">
        <v>6102</v>
      </c>
      <c r="B1103" s="4">
        <v>1104</v>
      </c>
      <c r="C1103" s="8">
        <v>46035</v>
      </c>
      <c r="D1103" s="8">
        <v>46043</v>
      </c>
      <c r="E1103" s="10">
        <f t="shared" si="17"/>
        <v>8</v>
      </c>
      <c r="F1103" s="4" t="s">
        <v>24</v>
      </c>
      <c r="G1103" s="4" t="s">
        <v>14</v>
      </c>
      <c r="H1103" s="4">
        <v>15932</v>
      </c>
      <c r="I1103" s="4" t="str">
        <f>VLOOKUP(B1103,Customers!$A:$D,4,FALSE)</f>
        <v>Regular</v>
      </c>
      <c r="J1103" s="4" t="s">
        <v>35</v>
      </c>
      <c r="K1103" s="4" t="s">
        <v>36</v>
      </c>
    </row>
    <row r="1104" spans="1:11" x14ac:dyDescent="0.2">
      <c r="A1104" s="4">
        <v>6103</v>
      </c>
      <c r="B1104" s="4">
        <v>1216</v>
      </c>
      <c r="C1104" s="8">
        <v>46046</v>
      </c>
      <c r="D1104" s="8">
        <v>46048</v>
      </c>
      <c r="E1104" s="10">
        <f t="shared" si="17"/>
        <v>2</v>
      </c>
      <c r="F1104" s="4" t="s">
        <v>20</v>
      </c>
      <c r="G1104" s="4" t="s">
        <v>12</v>
      </c>
      <c r="H1104" s="4">
        <v>22393</v>
      </c>
      <c r="I1104" s="4" t="str">
        <f>VLOOKUP(B1104,Customers!$A:$D,4,FALSE)</f>
        <v>Premium</v>
      </c>
      <c r="J1104" s="4" t="s">
        <v>35</v>
      </c>
      <c r="K1104" s="4" t="s">
        <v>36</v>
      </c>
    </row>
    <row r="1105" spans="1:11" x14ac:dyDescent="0.2">
      <c r="A1105" s="4">
        <v>6104</v>
      </c>
      <c r="B1105" s="4">
        <v>1050</v>
      </c>
      <c r="C1105" s="8">
        <v>46039</v>
      </c>
      <c r="D1105" s="8">
        <v>46044</v>
      </c>
      <c r="E1105" s="10">
        <f t="shared" si="17"/>
        <v>5</v>
      </c>
      <c r="F1105" s="4" t="s">
        <v>18</v>
      </c>
      <c r="G1105" s="4" t="s">
        <v>13</v>
      </c>
      <c r="H1105" s="4">
        <v>3184</v>
      </c>
      <c r="I1105" s="4" t="str">
        <f>VLOOKUP(B1105,Customers!$A:$D,4,FALSE)</f>
        <v>Regular</v>
      </c>
      <c r="J1105" s="4" t="s">
        <v>37</v>
      </c>
      <c r="K1105" s="4" t="s">
        <v>36</v>
      </c>
    </row>
    <row r="1106" spans="1:11" x14ac:dyDescent="0.2">
      <c r="A1106" s="4">
        <v>6105</v>
      </c>
      <c r="B1106" s="4">
        <v>1168</v>
      </c>
      <c r="C1106" s="8">
        <v>46154</v>
      </c>
      <c r="D1106" s="8">
        <v>46157</v>
      </c>
      <c r="E1106" s="10">
        <f t="shared" si="17"/>
        <v>3</v>
      </c>
      <c r="F1106" s="4" t="s">
        <v>19</v>
      </c>
      <c r="G1106" s="4" t="s">
        <v>11</v>
      </c>
      <c r="H1106" s="4">
        <v>41377</v>
      </c>
      <c r="I1106" s="4" t="str">
        <f>VLOOKUP(B1106,Customers!$A:$D,4,FALSE)</f>
        <v>Premium</v>
      </c>
      <c r="J1106" s="4" t="s">
        <v>35</v>
      </c>
      <c r="K1106" s="4" t="s">
        <v>36</v>
      </c>
    </row>
    <row r="1107" spans="1:11" x14ac:dyDescent="0.2">
      <c r="A1107" s="4">
        <v>6106</v>
      </c>
      <c r="B1107" s="4">
        <v>1203</v>
      </c>
      <c r="C1107" s="8">
        <v>46076</v>
      </c>
      <c r="D1107" s="8">
        <v>46086</v>
      </c>
      <c r="E1107" s="10">
        <f t="shared" si="17"/>
        <v>10</v>
      </c>
      <c r="F1107" s="4" t="s">
        <v>21</v>
      </c>
      <c r="G1107" s="4" t="s">
        <v>12</v>
      </c>
      <c r="H1107" s="4">
        <v>15531</v>
      </c>
      <c r="I1107" s="4" t="str">
        <f>VLOOKUP(B1107,Customers!$A:$D,4,FALSE)</f>
        <v>Regular</v>
      </c>
      <c r="J1107" s="4" t="s">
        <v>35</v>
      </c>
      <c r="K1107" s="4" t="s">
        <v>36</v>
      </c>
    </row>
    <row r="1108" spans="1:11" x14ac:dyDescent="0.2">
      <c r="A1108" s="4">
        <v>6107</v>
      </c>
      <c r="B1108" s="4">
        <v>1166</v>
      </c>
      <c r="C1108" s="8">
        <v>46050</v>
      </c>
      <c r="D1108" s="8">
        <v>46057</v>
      </c>
      <c r="E1108" s="10">
        <f t="shared" si="17"/>
        <v>7</v>
      </c>
      <c r="F1108" s="4" t="s">
        <v>18</v>
      </c>
      <c r="G1108" s="4" t="s">
        <v>12</v>
      </c>
      <c r="H1108" s="4">
        <v>26654</v>
      </c>
      <c r="I1108" s="4" t="str">
        <f>VLOOKUP(B1108,Customers!$A:$D,4,FALSE)</f>
        <v>Premium</v>
      </c>
      <c r="J1108" s="4" t="s">
        <v>37</v>
      </c>
      <c r="K1108" s="4" t="s">
        <v>36</v>
      </c>
    </row>
    <row r="1109" spans="1:11" x14ac:dyDescent="0.2">
      <c r="A1109" s="4">
        <v>6108</v>
      </c>
      <c r="B1109" s="4">
        <v>1109</v>
      </c>
      <c r="C1109" s="8">
        <v>46026</v>
      </c>
      <c r="D1109" s="8">
        <v>46034</v>
      </c>
      <c r="E1109" s="10">
        <f t="shared" si="17"/>
        <v>8</v>
      </c>
      <c r="F1109" s="4" t="s">
        <v>25</v>
      </c>
      <c r="G1109" s="4" t="s">
        <v>13</v>
      </c>
      <c r="H1109" s="4">
        <v>4626</v>
      </c>
      <c r="I1109" s="4" t="str">
        <f>VLOOKUP(B1109,Customers!$A:$D,4,FALSE)</f>
        <v>Premium</v>
      </c>
      <c r="J1109" s="4" t="s">
        <v>37</v>
      </c>
      <c r="K1109" s="4" t="s">
        <v>36</v>
      </c>
    </row>
    <row r="1110" spans="1:11" x14ac:dyDescent="0.2">
      <c r="A1110" s="4">
        <v>6109</v>
      </c>
      <c r="B1110" s="4">
        <v>1035</v>
      </c>
      <c r="C1110" s="8">
        <v>46117</v>
      </c>
      <c r="D1110" s="8">
        <v>46119</v>
      </c>
      <c r="E1110" s="10">
        <f t="shared" si="17"/>
        <v>2</v>
      </c>
      <c r="F1110" s="4" t="s">
        <v>24</v>
      </c>
      <c r="G1110" s="4" t="s">
        <v>15</v>
      </c>
      <c r="H1110" s="4">
        <v>20061</v>
      </c>
      <c r="I1110" s="4" t="str">
        <f>VLOOKUP(B1110,Customers!$A:$D,4,FALSE)</f>
        <v>Regular</v>
      </c>
      <c r="J1110" s="4" t="s">
        <v>37</v>
      </c>
      <c r="K1110" s="4" t="s">
        <v>36</v>
      </c>
    </row>
    <row r="1111" spans="1:11" x14ac:dyDescent="0.2">
      <c r="A1111" s="4">
        <v>6110</v>
      </c>
      <c r="B1111" s="4">
        <v>1292</v>
      </c>
      <c r="C1111" s="8">
        <v>46049</v>
      </c>
      <c r="D1111" s="8">
        <v>46059</v>
      </c>
      <c r="E1111" s="10">
        <f t="shared" si="17"/>
        <v>10</v>
      </c>
      <c r="F1111" s="4" t="s">
        <v>18</v>
      </c>
      <c r="G1111" s="4" t="s">
        <v>14</v>
      </c>
      <c r="H1111" s="4">
        <v>6509</v>
      </c>
      <c r="I1111" s="4" t="str">
        <f>VLOOKUP(B1111,Customers!$A:$D,4,FALSE)</f>
        <v>Regular</v>
      </c>
      <c r="J1111" s="4" t="s">
        <v>37</v>
      </c>
      <c r="K1111" s="4" t="s">
        <v>36</v>
      </c>
    </row>
    <row r="1112" spans="1:11" x14ac:dyDescent="0.2">
      <c r="A1112" s="4">
        <v>6111</v>
      </c>
      <c r="B1112" s="4">
        <v>1171</v>
      </c>
      <c r="C1112" s="8">
        <v>46122</v>
      </c>
      <c r="D1112" s="8">
        <v>46126</v>
      </c>
      <c r="E1112" s="10">
        <f t="shared" si="17"/>
        <v>4</v>
      </c>
      <c r="F1112" s="4" t="s">
        <v>18</v>
      </c>
      <c r="G1112" s="4" t="s">
        <v>14</v>
      </c>
      <c r="H1112" s="4">
        <v>43971</v>
      </c>
      <c r="I1112" s="4" t="str">
        <f>VLOOKUP(B1112,Customers!$A:$D,4,FALSE)</f>
        <v>Premium</v>
      </c>
      <c r="J1112" s="4" t="s">
        <v>37</v>
      </c>
      <c r="K1112" s="4" t="s">
        <v>36</v>
      </c>
    </row>
    <row r="1113" spans="1:11" x14ac:dyDescent="0.2">
      <c r="A1113" s="4">
        <v>6112</v>
      </c>
      <c r="B1113" s="4">
        <v>1010</v>
      </c>
      <c r="C1113" s="8">
        <v>46040</v>
      </c>
      <c r="D1113" s="8">
        <v>46047</v>
      </c>
      <c r="E1113" s="10">
        <f t="shared" si="17"/>
        <v>7</v>
      </c>
      <c r="F1113" s="4" t="s">
        <v>25</v>
      </c>
      <c r="G1113" s="4" t="s">
        <v>15</v>
      </c>
      <c r="H1113" s="4">
        <v>33790</v>
      </c>
      <c r="I1113" s="4" t="str">
        <f>VLOOKUP(B1113,Customers!$A:$D,4,FALSE)</f>
        <v>Premium</v>
      </c>
      <c r="J1113" s="4" t="s">
        <v>35</v>
      </c>
      <c r="K1113" s="4" t="s">
        <v>36</v>
      </c>
    </row>
    <row r="1114" spans="1:11" x14ac:dyDescent="0.2">
      <c r="A1114" s="4">
        <v>6113</v>
      </c>
      <c r="B1114" s="4">
        <v>1120</v>
      </c>
      <c r="C1114" s="8">
        <v>46151</v>
      </c>
      <c r="D1114" s="8">
        <v>46153</v>
      </c>
      <c r="E1114" s="10">
        <f t="shared" si="17"/>
        <v>2</v>
      </c>
      <c r="F1114" s="4" t="s">
        <v>20</v>
      </c>
      <c r="G1114" s="4" t="s">
        <v>11</v>
      </c>
      <c r="H1114" s="4">
        <v>8430</v>
      </c>
      <c r="I1114" s="4" t="str">
        <f>VLOOKUP(B1114,Customers!$A:$D,4,FALSE)</f>
        <v>Regular</v>
      </c>
      <c r="J1114" s="4" t="s">
        <v>37</v>
      </c>
      <c r="K1114" s="4" t="s">
        <v>36</v>
      </c>
    </row>
    <row r="1115" spans="1:11" x14ac:dyDescent="0.2">
      <c r="A1115" s="4">
        <v>6114</v>
      </c>
      <c r="B1115" s="4">
        <v>1125</v>
      </c>
      <c r="C1115" s="8">
        <v>46083</v>
      </c>
      <c r="D1115" s="8">
        <v>46091</v>
      </c>
      <c r="E1115" s="10">
        <f t="shared" si="17"/>
        <v>8</v>
      </c>
      <c r="F1115" s="4" t="s">
        <v>23</v>
      </c>
      <c r="G1115" s="4" t="s">
        <v>12</v>
      </c>
      <c r="H1115" s="4">
        <v>9314</v>
      </c>
      <c r="I1115" s="4" t="str">
        <f>VLOOKUP(B1115,Customers!$A:$D,4,FALSE)</f>
        <v>Regular</v>
      </c>
      <c r="J1115" s="4" t="s">
        <v>37</v>
      </c>
      <c r="K1115" s="4" t="s">
        <v>36</v>
      </c>
    </row>
    <row r="1116" spans="1:11" x14ac:dyDescent="0.2">
      <c r="A1116" s="4">
        <v>6115</v>
      </c>
      <c r="B1116" s="4">
        <v>1104</v>
      </c>
      <c r="C1116" s="8">
        <v>46150</v>
      </c>
      <c r="D1116" s="8">
        <v>46156</v>
      </c>
      <c r="E1116" s="10">
        <f t="shared" si="17"/>
        <v>6</v>
      </c>
      <c r="F1116" s="4" t="s">
        <v>18</v>
      </c>
      <c r="G1116" s="4" t="s">
        <v>15</v>
      </c>
      <c r="H1116" s="4">
        <v>13694</v>
      </c>
      <c r="I1116" s="4" t="str">
        <f>VLOOKUP(B1116,Customers!$A:$D,4,FALSE)</f>
        <v>Regular</v>
      </c>
      <c r="J1116" s="4" t="s">
        <v>35</v>
      </c>
      <c r="K1116" s="4" t="s">
        <v>36</v>
      </c>
    </row>
    <row r="1117" spans="1:11" x14ac:dyDescent="0.2">
      <c r="A1117" s="4">
        <v>6116</v>
      </c>
      <c r="B1117" s="4">
        <v>1169</v>
      </c>
      <c r="C1117" s="8">
        <v>46083</v>
      </c>
      <c r="D1117" s="8">
        <v>46092</v>
      </c>
      <c r="E1117" s="10">
        <f t="shared" si="17"/>
        <v>9</v>
      </c>
      <c r="F1117" s="4" t="s">
        <v>18</v>
      </c>
      <c r="G1117" s="4" t="s">
        <v>14</v>
      </c>
      <c r="H1117" s="4">
        <v>21110</v>
      </c>
      <c r="I1117" s="4" t="str">
        <f>VLOOKUP(B1117,Customers!$A:$D,4,FALSE)</f>
        <v>Premium</v>
      </c>
      <c r="J1117" s="4" t="s">
        <v>35</v>
      </c>
      <c r="K1117" s="4" t="s">
        <v>36</v>
      </c>
    </row>
    <row r="1118" spans="1:11" x14ac:dyDescent="0.2">
      <c r="A1118" s="4">
        <v>6117</v>
      </c>
      <c r="B1118" s="4">
        <v>1148</v>
      </c>
      <c r="C1118" s="8">
        <v>46156</v>
      </c>
      <c r="D1118" s="8">
        <v>46164</v>
      </c>
      <c r="E1118" s="10">
        <f t="shared" si="17"/>
        <v>8</v>
      </c>
      <c r="F1118" s="4" t="s">
        <v>20</v>
      </c>
      <c r="G1118" s="4" t="s">
        <v>13</v>
      </c>
      <c r="H1118" s="4">
        <v>48329</v>
      </c>
      <c r="I1118" s="4" t="str">
        <f>VLOOKUP(B1118,Customers!$A:$D,4,FALSE)</f>
        <v>Premium</v>
      </c>
      <c r="J1118" s="4" t="s">
        <v>37</v>
      </c>
      <c r="K1118" s="4" t="s">
        <v>36</v>
      </c>
    </row>
    <row r="1119" spans="1:11" x14ac:dyDescent="0.2">
      <c r="A1119" s="4">
        <v>6118</v>
      </c>
      <c r="B1119" s="4">
        <v>1106</v>
      </c>
      <c r="C1119" s="8">
        <v>46110</v>
      </c>
      <c r="D1119" s="8">
        <v>46115</v>
      </c>
      <c r="E1119" s="10">
        <f t="shared" si="17"/>
        <v>5</v>
      </c>
      <c r="F1119" s="4" t="s">
        <v>20</v>
      </c>
      <c r="G1119" s="4" t="s">
        <v>13</v>
      </c>
      <c r="H1119" s="4">
        <v>45346</v>
      </c>
      <c r="I1119" s="4" t="str">
        <f>VLOOKUP(B1119,Customers!$A:$D,4,FALSE)</f>
        <v>Premium</v>
      </c>
      <c r="J1119" s="4" t="s">
        <v>35</v>
      </c>
      <c r="K1119" s="4" t="s">
        <v>36</v>
      </c>
    </row>
    <row r="1120" spans="1:11" x14ac:dyDescent="0.2">
      <c r="A1120" s="4">
        <v>6119</v>
      </c>
      <c r="B1120" s="4">
        <v>1165</v>
      </c>
      <c r="C1120" s="8">
        <v>46120</v>
      </c>
      <c r="D1120" s="8">
        <v>46130</v>
      </c>
      <c r="E1120" s="10">
        <f t="shared" si="17"/>
        <v>10</v>
      </c>
      <c r="F1120" s="4" t="s">
        <v>18</v>
      </c>
      <c r="G1120" s="4" t="s">
        <v>15</v>
      </c>
      <c r="H1120" s="4">
        <v>41573</v>
      </c>
      <c r="I1120" s="4" t="str">
        <f>VLOOKUP(B1120,Customers!$A:$D,4,FALSE)</f>
        <v>Regular</v>
      </c>
      <c r="J1120" s="4" t="s">
        <v>35</v>
      </c>
      <c r="K1120" s="4" t="s">
        <v>36</v>
      </c>
    </row>
    <row r="1121" spans="1:11" x14ac:dyDescent="0.2">
      <c r="A1121" s="4">
        <v>6120</v>
      </c>
      <c r="B1121" s="4">
        <v>1036</v>
      </c>
      <c r="C1121" s="8">
        <v>46039</v>
      </c>
      <c r="D1121" s="8">
        <v>46048</v>
      </c>
      <c r="E1121" s="10">
        <f t="shared" si="17"/>
        <v>9</v>
      </c>
      <c r="F1121" s="4" t="s">
        <v>24</v>
      </c>
      <c r="G1121" s="4" t="s">
        <v>12</v>
      </c>
      <c r="H1121" s="4">
        <v>41873</v>
      </c>
      <c r="I1121" s="4" t="str">
        <f>VLOOKUP(B1121,Customers!$A:$D,4,FALSE)</f>
        <v>Regular</v>
      </c>
      <c r="J1121" s="4" t="s">
        <v>35</v>
      </c>
      <c r="K1121" s="4" t="s">
        <v>36</v>
      </c>
    </row>
    <row r="1122" spans="1:11" x14ac:dyDescent="0.2">
      <c r="A1122" s="4">
        <v>6121</v>
      </c>
      <c r="B1122" s="4">
        <v>1047</v>
      </c>
      <c r="C1122" s="8">
        <v>46075</v>
      </c>
      <c r="D1122" s="8">
        <v>46079</v>
      </c>
      <c r="E1122" s="10">
        <f t="shared" si="17"/>
        <v>4</v>
      </c>
      <c r="F1122" s="4" t="s">
        <v>18</v>
      </c>
      <c r="G1122" s="4" t="s">
        <v>11</v>
      </c>
      <c r="H1122" s="4">
        <v>36269</v>
      </c>
      <c r="I1122" s="4" t="str">
        <f>VLOOKUP(B1122,Customers!$A:$D,4,FALSE)</f>
        <v>Regular</v>
      </c>
      <c r="J1122" s="4" t="s">
        <v>35</v>
      </c>
      <c r="K1122" s="4" t="s">
        <v>36</v>
      </c>
    </row>
    <row r="1123" spans="1:11" x14ac:dyDescent="0.2">
      <c r="A1123" s="4">
        <v>6122</v>
      </c>
      <c r="B1123" s="4">
        <v>1041</v>
      </c>
      <c r="C1123" s="8">
        <v>46083</v>
      </c>
      <c r="D1123" s="8">
        <v>46093</v>
      </c>
      <c r="E1123" s="10">
        <f t="shared" si="17"/>
        <v>10</v>
      </c>
      <c r="F1123" s="4" t="s">
        <v>21</v>
      </c>
      <c r="G1123" s="4" t="s">
        <v>15</v>
      </c>
      <c r="H1123" s="4">
        <v>20712</v>
      </c>
      <c r="I1123" s="4" t="str">
        <f>VLOOKUP(B1123,Customers!$A:$D,4,FALSE)</f>
        <v>Regular</v>
      </c>
      <c r="J1123" s="4" t="s">
        <v>35</v>
      </c>
      <c r="K1123" s="4" t="s">
        <v>36</v>
      </c>
    </row>
    <row r="1124" spans="1:11" x14ac:dyDescent="0.2">
      <c r="A1124" s="4">
        <v>6123</v>
      </c>
      <c r="B1124" s="4">
        <v>1218</v>
      </c>
      <c r="C1124" s="8">
        <v>46073</v>
      </c>
      <c r="D1124" s="8">
        <v>46078</v>
      </c>
      <c r="E1124" s="10">
        <f t="shared" si="17"/>
        <v>5</v>
      </c>
      <c r="F1124" s="4" t="s">
        <v>18</v>
      </c>
      <c r="G1124" s="4" t="s">
        <v>11</v>
      </c>
      <c r="H1124" s="4">
        <v>16616</v>
      </c>
      <c r="I1124" s="4" t="str">
        <f>VLOOKUP(B1124,Customers!$A:$D,4,FALSE)</f>
        <v>Premium</v>
      </c>
      <c r="J1124" s="4" t="s">
        <v>37</v>
      </c>
      <c r="K1124" s="4" t="s">
        <v>36</v>
      </c>
    </row>
    <row r="1125" spans="1:11" x14ac:dyDescent="0.2">
      <c r="A1125" s="4">
        <v>6124</v>
      </c>
      <c r="B1125" s="4">
        <v>1104</v>
      </c>
      <c r="C1125" s="8">
        <v>46096</v>
      </c>
      <c r="D1125" s="8">
        <v>46105</v>
      </c>
      <c r="E1125" s="10">
        <f t="shared" si="17"/>
        <v>9</v>
      </c>
      <c r="F1125" s="4" t="s">
        <v>22</v>
      </c>
      <c r="G1125" s="4" t="s">
        <v>15</v>
      </c>
      <c r="H1125" s="4">
        <v>5543</v>
      </c>
      <c r="I1125" s="4" t="str">
        <f>VLOOKUP(B1125,Customers!$A:$D,4,FALSE)</f>
        <v>Regular</v>
      </c>
      <c r="J1125" s="4" t="s">
        <v>37</v>
      </c>
      <c r="K1125" s="4" t="s">
        <v>36</v>
      </c>
    </row>
    <row r="1126" spans="1:11" x14ac:dyDescent="0.2">
      <c r="A1126" s="4">
        <v>6125</v>
      </c>
      <c r="B1126" s="4">
        <v>1086</v>
      </c>
      <c r="C1126" s="8">
        <v>46124</v>
      </c>
      <c r="D1126" s="8">
        <v>46132</v>
      </c>
      <c r="E1126" s="10">
        <f t="shared" si="17"/>
        <v>8</v>
      </c>
      <c r="F1126" s="4" t="s">
        <v>25</v>
      </c>
      <c r="G1126" s="4" t="s">
        <v>15</v>
      </c>
      <c r="H1126" s="4">
        <v>28001</v>
      </c>
      <c r="I1126" s="4" t="str">
        <f>VLOOKUP(B1126,Customers!$A:$D,4,FALSE)</f>
        <v>Premium</v>
      </c>
      <c r="J1126" s="4" t="s">
        <v>37</v>
      </c>
      <c r="K1126" s="4" t="s">
        <v>36</v>
      </c>
    </row>
    <row r="1127" spans="1:11" x14ac:dyDescent="0.2">
      <c r="A1127" s="4">
        <v>6126</v>
      </c>
      <c r="B1127" s="4">
        <v>1011</v>
      </c>
      <c r="C1127" s="8">
        <v>46062</v>
      </c>
      <c r="D1127" s="8">
        <v>46071</v>
      </c>
      <c r="E1127" s="10">
        <f t="shared" si="17"/>
        <v>9</v>
      </c>
      <c r="F1127" s="4" t="s">
        <v>21</v>
      </c>
      <c r="G1127" s="4" t="s">
        <v>15</v>
      </c>
      <c r="H1127" s="4">
        <v>5754</v>
      </c>
      <c r="I1127" s="4" t="str">
        <f>VLOOKUP(B1127,Customers!$A:$D,4,FALSE)</f>
        <v>Regular</v>
      </c>
      <c r="J1127" s="4" t="s">
        <v>37</v>
      </c>
      <c r="K1127" s="4" t="s">
        <v>36</v>
      </c>
    </row>
    <row r="1128" spans="1:11" x14ac:dyDescent="0.2">
      <c r="A1128" s="4">
        <v>6127</v>
      </c>
      <c r="B1128" s="4">
        <v>1284</v>
      </c>
      <c r="C1128" s="8">
        <v>46160</v>
      </c>
      <c r="D1128" s="8">
        <v>46164</v>
      </c>
      <c r="E1128" s="10">
        <f t="shared" si="17"/>
        <v>4</v>
      </c>
      <c r="F1128" s="4" t="s">
        <v>18</v>
      </c>
      <c r="G1128" s="4" t="s">
        <v>14</v>
      </c>
      <c r="H1128" s="4">
        <v>25233</v>
      </c>
      <c r="I1128" s="4" t="str">
        <f>VLOOKUP(B1128,Customers!$A:$D,4,FALSE)</f>
        <v>Regular</v>
      </c>
      <c r="J1128" s="4" t="s">
        <v>37</v>
      </c>
      <c r="K1128" s="4" t="s">
        <v>36</v>
      </c>
    </row>
    <row r="1129" spans="1:11" x14ac:dyDescent="0.2">
      <c r="A1129" s="4">
        <v>6128</v>
      </c>
      <c r="B1129" s="4">
        <v>1146</v>
      </c>
      <c r="C1129" s="8">
        <v>46101</v>
      </c>
      <c r="D1129" s="8">
        <v>46110</v>
      </c>
      <c r="E1129" s="10">
        <f t="shared" si="17"/>
        <v>9</v>
      </c>
      <c r="F1129" s="4" t="s">
        <v>21</v>
      </c>
      <c r="G1129" s="4" t="s">
        <v>11</v>
      </c>
      <c r="H1129" s="4">
        <v>40016</v>
      </c>
      <c r="I1129" s="4" t="str">
        <f>VLOOKUP(B1129,Customers!$A:$D,4,FALSE)</f>
        <v>Regular</v>
      </c>
      <c r="J1129" s="4" t="s">
        <v>37</v>
      </c>
      <c r="K1129" s="4" t="s">
        <v>36</v>
      </c>
    </row>
    <row r="1130" spans="1:11" x14ac:dyDescent="0.2">
      <c r="A1130" s="4">
        <v>6129</v>
      </c>
      <c r="B1130" s="4">
        <v>1070</v>
      </c>
      <c r="C1130" s="8">
        <v>46041</v>
      </c>
      <c r="D1130" s="8">
        <v>46048</v>
      </c>
      <c r="E1130" s="10">
        <f t="shared" si="17"/>
        <v>7</v>
      </c>
      <c r="F1130" s="4" t="s">
        <v>25</v>
      </c>
      <c r="G1130" s="4" t="s">
        <v>13</v>
      </c>
      <c r="H1130" s="4">
        <v>10440</v>
      </c>
      <c r="I1130" s="4" t="str">
        <f>VLOOKUP(B1130,Customers!$A:$D,4,FALSE)</f>
        <v>Regular</v>
      </c>
      <c r="J1130" s="4" t="s">
        <v>35</v>
      </c>
      <c r="K1130" s="4" t="s">
        <v>36</v>
      </c>
    </row>
    <row r="1131" spans="1:11" x14ac:dyDescent="0.2">
      <c r="A1131" s="4">
        <v>6130</v>
      </c>
      <c r="B1131" s="4">
        <v>1257</v>
      </c>
      <c r="C1131" s="8">
        <v>46024</v>
      </c>
      <c r="D1131" s="8">
        <v>46026</v>
      </c>
      <c r="E1131" s="10">
        <f t="shared" si="17"/>
        <v>2</v>
      </c>
      <c r="F1131" s="4" t="s">
        <v>19</v>
      </c>
      <c r="G1131" s="4" t="s">
        <v>15</v>
      </c>
      <c r="H1131" s="4">
        <v>26812</v>
      </c>
      <c r="I1131" s="4" t="str">
        <f>VLOOKUP(B1131,Customers!$A:$D,4,FALSE)</f>
        <v>Premium</v>
      </c>
      <c r="J1131" s="4" t="s">
        <v>37</v>
      </c>
      <c r="K1131" s="4" t="s">
        <v>36</v>
      </c>
    </row>
    <row r="1132" spans="1:11" x14ac:dyDescent="0.2">
      <c r="A1132" s="4">
        <v>6131</v>
      </c>
      <c r="B1132" s="4">
        <v>1197</v>
      </c>
      <c r="C1132" s="8">
        <v>46124</v>
      </c>
      <c r="D1132" s="8">
        <v>46131</v>
      </c>
      <c r="E1132" s="10">
        <f t="shared" si="17"/>
        <v>7</v>
      </c>
      <c r="F1132" s="4" t="s">
        <v>25</v>
      </c>
      <c r="G1132" s="4" t="s">
        <v>14</v>
      </c>
      <c r="H1132" s="4">
        <v>42311</v>
      </c>
      <c r="I1132" s="4" t="str">
        <f>VLOOKUP(B1132,Customers!$A:$D,4,FALSE)</f>
        <v>Regular</v>
      </c>
      <c r="J1132" s="4" t="s">
        <v>35</v>
      </c>
      <c r="K1132" s="4" t="s">
        <v>36</v>
      </c>
    </row>
    <row r="1133" spans="1:11" x14ac:dyDescent="0.2">
      <c r="A1133" s="4">
        <v>6132</v>
      </c>
      <c r="B1133" s="4">
        <v>1064</v>
      </c>
      <c r="C1133" s="8">
        <v>46127</v>
      </c>
      <c r="D1133" s="8">
        <v>46129</v>
      </c>
      <c r="E1133" s="10">
        <f t="shared" si="17"/>
        <v>2</v>
      </c>
      <c r="F1133" s="4" t="s">
        <v>21</v>
      </c>
      <c r="G1133" s="4" t="s">
        <v>11</v>
      </c>
      <c r="H1133" s="4">
        <v>10940</v>
      </c>
      <c r="I1133" s="4" t="str">
        <f>VLOOKUP(B1133,Customers!$A:$D,4,FALSE)</f>
        <v>Premium</v>
      </c>
      <c r="J1133" s="4" t="s">
        <v>35</v>
      </c>
      <c r="K1133" s="4" t="s">
        <v>36</v>
      </c>
    </row>
    <row r="1134" spans="1:11" x14ac:dyDescent="0.2">
      <c r="A1134" s="4">
        <v>6133</v>
      </c>
      <c r="B1134" s="4">
        <v>1179</v>
      </c>
      <c r="C1134" s="8">
        <v>46134</v>
      </c>
      <c r="D1134" s="8">
        <v>46140</v>
      </c>
      <c r="E1134" s="10">
        <f t="shared" si="17"/>
        <v>6</v>
      </c>
      <c r="F1134" s="4" t="s">
        <v>25</v>
      </c>
      <c r="G1134" s="4" t="s">
        <v>14</v>
      </c>
      <c r="H1134" s="4">
        <v>45942</v>
      </c>
      <c r="I1134" s="4" t="str">
        <f>VLOOKUP(B1134,Customers!$A:$D,4,FALSE)</f>
        <v>Premium</v>
      </c>
      <c r="J1134" s="4" t="s">
        <v>35</v>
      </c>
      <c r="K1134" s="4" t="s">
        <v>36</v>
      </c>
    </row>
    <row r="1135" spans="1:11" x14ac:dyDescent="0.2">
      <c r="A1135" s="4">
        <v>6134</v>
      </c>
      <c r="B1135" s="4">
        <v>1127</v>
      </c>
      <c r="C1135" s="8">
        <v>46121</v>
      </c>
      <c r="D1135" s="8">
        <v>46129</v>
      </c>
      <c r="E1135" s="10">
        <f t="shared" si="17"/>
        <v>8</v>
      </c>
      <c r="F1135" s="4" t="s">
        <v>24</v>
      </c>
      <c r="G1135" s="4" t="s">
        <v>15</v>
      </c>
      <c r="H1135" s="4">
        <v>2561</v>
      </c>
      <c r="I1135" s="4" t="str">
        <f>VLOOKUP(B1135,Customers!$A:$D,4,FALSE)</f>
        <v>Regular</v>
      </c>
      <c r="J1135" s="4" t="s">
        <v>37</v>
      </c>
      <c r="K1135" s="4" t="s">
        <v>36</v>
      </c>
    </row>
    <row r="1136" spans="1:11" x14ac:dyDescent="0.2">
      <c r="A1136" s="4">
        <v>6135</v>
      </c>
      <c r="B1136" s="4">
        <v>1134</v>
      </c>
      <c r="C1136" s="8">
        <v>46030</v>
      </c>
      <c r="D1136" s="8">
        <v>46034</v>
      </c>
      <c r="E1136" s="10">
        <f t="shared" si="17"/>
        <v>4</v>
      </c>
      <c r="F1136" s="4" t="s">
        <v>25</v>
      </c>
      <c r="G1136" s="4" t="s">
        <v>13</v>
      </c>
      <c r="H1136" s="4">
        <v>16965</v>
      </c>
      <c r="I1136" s="4" t="str">
        <f>VLOOKUP(B1136,Customers!$A:$D,4,FALSE)</f>
        <v>Premium</v>
      </c>
      <c r="J1136" s="4" t="s">
        <v>35</v>
      </c>
      <c r="K1136" s="4" t="s">
        <v>36</v>
      </c>
    </row>
    <row r="1137" spans="1:11" x14ac:dyDescent="0.2">
      <c r="A1137" s="4">
        <v>6136</v>
      </c>
      <c r="B1137" s="4">
        <v>1007</v>
      </c>
      <c r="C1137" s="8">
        <v>46171</v>
      </c>
      <c r="D1137" s="8">
        <v>46175</v>
      </c>
      <c r="E1137" s="10">
        <f t="shared" si="17"/>
        <v>4</v>
      </c>
      <c r="F1137" s="4" t="s">
        <v>23</v>
      </c>
      <c r="G1137" s="4" t="s">
        <v>12</v>
      </c>
      <c r="H1137" s="4">
        <v>42531</v>
      </c>
      <c r="I1137" s="4" t="str">
        <f>VLOOKUP(B1137,Customers!$A:$D,4,FALSE)</f>
        <v>Regular</v>
      </c>
      <c r="J1137" s="4" t="s">
        <v>37</v>
      </c>
      <c r="K1137" s="4" t="s">
        <v>36</v>
      </c>
    </row>
    <row r="1138" spans="1:11" x14ac:dyDescent="0.2">
      <c r="A1138" s="4">
        <v>6137</v>
      </c>
      <c r="B1138" s="4">
        <v>1266</v>
      </c>
      <c r="C1138" s="8">
        <v>46124</v>
      </c>
      <c r="D1138" s="8">
        <v>46127</v>
      </c>
      <c r="E1138" s="10">
        <f t="shared" si="17"/>
        <v>3</v>
      </c>
      <c r="F1138" s="4" t="s">
        <v>24</v>
      </c>
      <c r="G1138" s="4" t="s">
        <v>15</v>
      </c>
      <c r="H1138" s="4">
        <v>11167</v>
      </c>
      <c r="I1138" s="4" t="str">
        <f>VLOOKUP(B1138,Customers!$A:$D,4,FALSE)</f>
        <v>Regular</v>
      </c>
      <c r="J1138" s="4" t="s">
        <v>37</v>
      </c>
      <c r="K1138" s="4" t="s">
        <v>36</v>
      </c>
    </row>
    <row r="1139" spans="1:11" x14ac:dyDescent="0.2">
      <c r="A1139" s="4">
        <v>6138</v>
      </c>
      <c r="B1139" s="4">
        <v>1257</v>
      </c>
      <c r="C1139" s="8">
        <v>46087</v>
      </c>
      <c r="D1139" s="8">
        <v>46093</v>
      </c>
      <c r="E1139" s="10">
        <f t="shared" si="17"/>
        <v>6</v>
      </c>
      <c r="F1139" s="4" t="s">
        <v>21</v>
      </c>
      <c r="G1139" s="4" t="s">
        <v>11</v>
      </c>
      <c r="H1139" s="4">
        <v>20483</v>
      </c>
      <c r="I1139" s="4" t="str">
        <f>VLOOKUP(B1139,Customers!$A:$D,4,FALSE)</f>
        <v>Premium</v>
      </c>
      <c r="J1139" s="4" t="s">
        <v>37</v>
      </c>
      <c r="K1139" s="4" t="s">
        <v>36</v>
      </c>
    </row>
    <row r="1140" spans="1:11" x14ac:dyDescent="0.2">
      <c r="A1140" s="4">
        <v>6139</v>
      </c>
      <c r="B1140" s="4">
        <v>1294</v>
      </c>
      <c r="C1140" s="8">
        <v>46045</v>
      </c>
      <c r="D1140" s="8">
        <v>46048</v>
      </c>
      <c r="E1140" s="10">
        <f t="shared" si="17"/>
        <v>3</v>
      </c>
      <c r="F1140" s="4" t="s">
        <v>19</v>
      </c>
      <c r="G1140" s="4" t="s">
        <v>13</v>
      </c>
      <c r="H1140" s="4">
        <v>17930</v>
      </c>
      <c r="I1140" s="4" t="str">
        <f>VLOOKUP(B1140,Customers!$A:$D,4,FALSE)</f>
        <v>Premium</v>
      </c>
      <c r="J1140" s="4" t="s">
        <v>35</v>
      </c>
      <c r="K1140" s="4" t="s">
        <v>36</v>
      </c>
    </row>
    <row r="1141" spans="1:11" x14ac:dyDescent="0.2">
      <c r="A1141" s="4">
        <v>6140</v>
      </c>
      <c r="B1141" s="4">
        <v>1004</v>
      </c>
      <c r="C1141" s="8">
        <v>46124</v>
      </c>
      <c r="D1141" s="8">
        <v>46130</v>
      </c>
      <c r="E1141" s="10">
        <f t="shared" si="17"/>
        <v>6</v>
      </c>
      <c r="F1141" s="4" t="s">
        <v>18</v>
      </c>
      <c r="G1141" s="4" t="s">
        <v>15</v>
      </c>
      <c r="H1141" s="4">
        <v>403</v>
      </c>
      <c r="I1141" s="4" t="str">
        <f>VLOOKUP(B1141,Customers!$A:$D,4,FALSE)</f>
        <v>Regular</v>
      </c>
      <c r="J1141" s="4" t="s">
        <v>35</v>
      </c>
      <c r="K1141" s="4" t="s">
        <v>36</v>
      </c>
    </row>
    <row r="1142" spans="1:11" x14ac:dyDescent="0.2">
      <c r="A1142" s="4">
        <v>6141</v>
      </c>
      <c r="B1142" s="4">
        <v>1269</v>
      </c>
      <c r="C1142" s="8">
        <v>46040</v>
      </c>
      <c r="D1142" s="8">
        <v>46048</v>
      </c>
      <c r="E1142" s="10">
        <f t="shared" si="17"/>
        <v>8</v>
      </c>
      <c r="F1142" s="4" t="s">
        <v>21</v>
      </c>
      <c r="G1142" s="4" t="s">
        <v>14</v>
      </c>
      <c r="H1142" s="4">
        <v>48340</v>
      </c>
      <c r="I1142" s="4" t="str">
        <f>VLOOKUP(B1142,Customers!$A:$D,4,FALSE)</f>
        <v>Premium</v>
      </c>
      <c r="J1142" s="4" t="s">
        <v>37</v>
      </c>
      <c r="K1142" s="4" t="s">
        <v>36</v>
      </c>
    </row>
    <row r="1143" spans="1:11" x14ac:dyDescent="0.2">
      <c r="A1143" s="4">
        <v>6142</v>
      </c>
      <c r="B1143" s="4">
        <v>1192</v>
      </c>
      <c r="C1143" s="8">
        <v>46066</v>
      </c>
      <c r="D1143" s="8">
        <v>46070</v>
      </c>
      <c r="E1143" s="10">
        <f t="shared" si="17"/>
        <v>4</v>
      </c>
      <c r="F1143" s="4" t="s">
        <v>18</v>
      </c>
      <c r="G1143" s="4" t="s">
        <v>13</v>
      </c>
      <c r="H1143" s="4">
        <v>13277</v>
      </c>
      <c r="I1143" s="4" t="str">
        <f>VLOOKUP(B1143,Customers!$A:$D,4,FALSE)</f>
        <v>Regular</v>
      </c>
      <c r="J1143" s="4" t="s">
        <v>37</v>
      </c>
      <c r="K1143" s="4" t="s">
        <v>36</v>
      </c>
    </row>
    <row r="1144" spans="1:11" x14ac:dyDescent="0.2">
      <c r="A1144" s="4">
        <v>6143</v>
      </c>
      <c r="B1144" s="4">
        <v>1057</v>
      </c>
      <c r="C1144" s="8">
        <v>46069</v>
      </c>
      <c r="D1144" s="8">
        <v>46079</v>
      </c>
      <c r="E1144" s="10">
        <f t="shared" si="17"/>
        <v>10</v>
      </c>
      <c r="F1144" s="4" t="s">
        <v>25</v>
      </c>
      <c r="G1144" s="4" t="s">
        <v>11</v>
      </c>
      <c r="H1144" s="4">
        <v>14231</v>
      </c>
      <c r="I1144" s="4" t="str">
        <f>VLOOKUP(B1144,Customers!$A:$D,4,FALSE)</f>
        <v>Regular</v>
      </c>
      <c r="J1144" s="4" t="s">
        <v>35</v>
      </c>
      <c r="K1144" s="4" t="s">
        <v>36</v>
      </c>
    </row>
    <row r="1145" spans="1:11" x14ac:dyDescent="0.2">
      <c r="A1145" s="4">
        <v>6144</v>
      </c>
      <c r="B1145" s="4">
        <v>1094</v>
      </c>
      <c r="C1145" s="8">
        <v>46074</v>
      </c>
      <c r="D1145" s="8">
        <v>46076</v>
      </c>
      <c r="E1145" s="10">
        <f t="shared" si="17"/>
        <v>2</v>
      </c>
      <c r="F1145" s="4" t="s">
        <v>24</v>
      </c>
      <c r="G1145" s="4" t="s">
        <v>14</v>
      </c>
      <c r="H1145" s="4">
        <v>27090</v>
      </c>
      <c r="I1145" s="4" t="str">
        <f>VLOOKUP(B1145,Customers!$A:$D,4,FALSE)</f>
        <v>Premium</v>
      </c>
      <c r="J1145" s="4" t="s">
        <v>37</v>
      </c>
      <c r="K1145" s="4" t="s">
        <v>36</v>
      </c>
    </row>
    <row r="1146" spans="1:11" x14ac:dyDescent="0.2">
      <c r="A1146" s="4">
        <v>6145</v>
      </c>
      <c r="B1146" s="4">
        <v>1041</v>
      </c>
      <c r="C1146" s="8">
        <v>46050</v>
      </c>
      <c r="D1146" s="8">
        <v>46054</v>
      </c>
      <c r="E1146" s="10">
        <f t="shared" si="17"/>
        <v>4</v>
      </c>
      <c r="F1146" s="4" t="s">
        <v>22</v>
      </c>
      <c r="G1146" s="4" t="s">
        <v>12</v>
      </c>
      <c r="H1146" s="4">
        <v>25054</v>
      </c>
      <c r="I1146" s="4" t="str">
        <f>VLOOKUP(B1146,Customers!$A:$D,4,FALSE)</f>
        <v>Regular</v>
      </c>
      <c r="J1146" s="4" t="s">
        <v>35</v>
      </c>
      <c r="K1146" s="4" t="s">
        <v>36</v>
      </c>
    </row>
    <row r="1147" spans="1:11" x14ac:dyDescent="0.2">
      <c r="A1147" s="4">
        <v>6146</v>
      </c>
      <c r="B1147" s="4">
        <v>1176</v>
      </c>
      <c r="C1147" s="8">
        <v>46093</v>
      </c>
      <c r="D1147" s="8">
        <v>46096</v>
      </c>
      <c r="E1147" s="10">
        <f t="shared" si="17"/>
        <v>3</v>
      </c>
      <c r="F1147" s="4" t="s">
        <v>20</v>
      </c>
      <c r="G1147" s="4" t="s">
        <v>11</v>
      </c>
      <c r="H1147" s="4">
        <v>15686</v>
      </c>
      <c r="I1147" s="4" t="str">
        <f>VLOOKUP(B1147,Customers!$A:$D,4,FALSE)</f>
        <v>Premium</v>
      </c>
      <c r="J1147" s="4" t="s">
        <v>37</v>
      </c>
      <c r="K1147" s="4" t="s">
        <v>36</v>
      </c>
    </row>
    <row r="1148" spans="1:11" x14ac:dyDescent="0.2">
      <c r="A1148" s="4">
        <v>6147</v>
      </c>
      <c r="B1148" s="4">
        <v>1005</v>
      </c>
      <c r="C1148" s="8">
        <v>46147</v>
      </c>
      <c r="D1148" s="8">
        <v>46150</v>
      </c>
      <c r="E1148" s="10">
        <f t="shared" si="17"/>
        <v>3</v>
      </c>
      <c r="F1148" s="4" t="s">
        <v>20</v>
      </c>
      <c r="G1148" s="4" t="s">
        <v>14</v>
      </c>
      <c r="H1148" s="4">
        <v>49569</v>
      </c>
      <c r="I1148" s="4" t="str">
        <f>VLOOKUP(B1148,Customers!$A:$D,4,FALSE)</f>
        <v>Regular</v>
      </c>
      <c r="J1148" s="4" t="s">
        <v>35</v>
      </c>
      <c r="K1148" s="4" t="s">
        <v>36</v>
      </c>
    </row>
    <row r="1149" spans="1:11" x14ac:dyDescent="0.2">
      <c r="A1149" s="4">
        <v>6148</v>
      </c>
      <c r="B1149" s="4">
        <v>1050</v>
      </c>
      <c r="C1149" s="8">
        <v>46172</v>
      </c>
      <c r="D1149" s="8">
        <v>46174</v>
      </c>
      <c r="E1149" s="10">
        <f t="shared" si="17"/>
        <v>2</v>
      </c>
      <c r="F1149" s="4" t="s">
        <v>24</v>
      </c>
      <c r="G1149" s="4" t="s">
        <v>11</v>
      </c>
      <c r="H1149" s="4">
        <v>775</v>
      </c>
      <c r="I1149" s="4" t="str">
        <f>VLOOKUP(B1149,Customers!$A:$D,4,FALSE)</f>
        <v>Regular</v>
      </c>
      <c r="J1149" s="4" t="s">
        <v>37</v>
      </c>
      <c r="K1149" s="4" t="s">
        <v>36</v>
      </c>
    </row>
    <row r="1150" spans="1:11" x14ac:dyDescent="0.2">
      <c r="A1150" s="4">
        <v>6149</v>
      </c>
      <c r="B1150" s="4">
        <v>1249</v>
      </c>
      <c r="C1150" s="8">
        <v>46156</v>
      </c>
      <c r="D1150" s="8">
        <v>46162</v>
      </c>
      <c r="E1150" s="10">
        <f t="shared" si="17"/>
        <v>6</v>
      </c>
      <c r="F1150" s="4" t="s">
        <v>25</v>
      </c>
      <c r="G1150" s="4" t="s">
        <v>14</v>
      </c>
      <c r="H1150" s="4">
        <v>39908</v>
      </c>
      <c r="I1150" s="4" t="str">
        <f>VLOOKUP(B1150,Customers!$A:$D,4,FALSE)</f>
        <v>Regular</v>
      </c>
      <c r="J1150" s="4" t="s">
        <v>37</v>
      </c>
      <c r="K1150" s="4" t="s">
        <v>36</v>
      </c>
    </row>
    <row r="1151" spans="1:11" x14ac:dyDescent="0.2">
      <c r="A1151" s="4">
        <v>6150</v>
      </c>
      <c r="B1151" s="4">
        <v>1176</v>
      </c>
      <c r="C1151" s="8">
        <v>46109</v>
      </c>
      <c r="D1151" s="8">
        <v>46116</v>
      </c>
      <c r="E1151" s="10">
        <f t="shared" si="17"/>
        <v>7</v>
      </c>
      <c r="F1151" s="4" t="s">
        <v>19</v>
      </c>
      <c r="G1151" s="4" t="s">
        <v>13</v>
      </c>
      <c r="H1151" s="4">
        <v>23972</v>
      </c>
      <c r="I1151" s="4" t="str">
        <f>VLOOKUP(B1151,Customers!$A:$D,4,FALSE)</f>
        <v>Premium</v>
      </c>
      <c r="J1151" s="4" t="s">
        <v>37</v>
      </c>
      <c r="K1151" s="4" t="s">
        <v>36</v>
      </c>
    </row>
    <row r="1152" spans="1:11" x14ac:dyDescent="0.2">
      <c r="A1152" s="4">
        <v>6151</v>
      </c>
      <c r="B1152" s="4">
        <v>1183</v>
      </c>
      <c r="C1152" s="8">
        <v>46119</v>
      </c>
      <c r="D1152" s="8">
        <v>46121</v>
      </c>
      <c r="E1152" s="10">
        <f t="shared" si="17"/>
        <v>2</v>
      </c>
      <c r="F1152" s="4" t="s">
        <v>19</v>
      </c>
      <c r="G1152" s="4" t="s">
        <v>12</v>
      </c>
      <c r="H1152" s="4">
        <v>502</v>
      </c>
      <c r="I1152" s="4" t="str">
        <f>VLOOKUP(B1152,Customers!$A:$D,4,FALSE)</f>
        <v>Regular</v>
      </c>
      <c r="J1152" s="4" t="s">
        <v>37</v>
      </c>
      <c r="K1152" s="4" t="s">
        <v>36</v>
      </c>
    </row>
    <row r="1153" spans="1:11" x14ac:dyDescent="0.2">
      <c r="A1153" s="4">
        <v>6152</v>
      </c>
      <c r="B1153" s="4">
        <v>1014</v>
      </c>
      <c r="C1153" s="8">
        <v>46125</v>
      </c>
      <c r="D1153" s="8">
        <v>46129</v>
      </c>
      <c r="E1153" s="10">
        <f t="shared" si="17"/>
        <v>4</v>
      </c>
      <c r="F1153" s="4" t="s">
        <v>23</v>
      </c>
      <c r="G1153" s="4" t="s">
        <v>11</v>
      </c>
      <c r="H1153" s="4">
        <v>18615</v>
      </c>
      <c r="I1153" s="4" t="str">
        <f>VLOOKUP(B1153,Customers!$A:$D,4,FALSE)</f>
        <v>Regular</v>
      </c>
      <c r="J1153" s="4" t="s">
        <v>35</v>
      </c>
      <c r="K1153" s="4" t="s">
        <v>36</v>
      </c>
    </row>
    <row r="1154" spans="1:11" x14ac:dyDescent="0.2">
      <c r="A1154" s="4">
        <v>6153</v>
      </c>
      <c r="B1154" s="4">
        <v>1244</v>
      </c>
      <c r="C1154" s="8">
        <v>46117</v>
      </c>
      <c r="D1154" s="8">
        <v>46126</v>
      </c>
      <c r="E1154" s="10">
        <f t="shared" si="17"/>
        <v>9</v>
      </c>
      <c r="F1154" s="4" t="s">
        <v>21</v>
      </c>
      <c r="G1154" s="4" t="s">
        <v>13</v>
      </c>
      <c r="H1154" s="4">
        <v>505</v>
      </c>
      <c r="I1154" s="4" t="str">
        <f>VLOOKUP(B1154,Customers!$A:$D,4,FALSE)</f>
        <v>Premium</v>
      </c>
      <c r="J1154" s="4" t="s">
        <v>37</v>
      </c>
      <c r="K1154" s="4" t="s">
        <v>36</v>
      </c>
    </row>
    <row r="1155" spans="1:11" x14ac:dyDescent="0.2">
      <c r="A1155" s="4">
        <v>6154</v>
      </c>
      <c r="B1155" s="4">
        <v>1024</v>
      </c>
      <c r="C1155" s="8">
        <v>46027</v>
      </c>
      <c r="D1155" s="8">
        <v>46034</v>
      </c>
      <c r="E1155" s="10">
        <f t="shared" ref="E1155:E1218" si="18">D1155-C1155</f>
        <v>7</v>
      </c>
      <c r="F1155" s="4" t="s">
        <v>19</v>
      </c>
      <c r="G1155" s="4" t="s">
        <v>15</v>
      </c>
      <c r="H1155" s="4">
        <v>15606</v>
      </c>
      <c r="I1155" s="4" t="str">
        <f>VLOOKUP(B1155,Customers!$A:$D,4,FALSE)</f>
        <v>Premium</v>
      </c>
      <c r="J1155" s="4" t="s">
        <v>37</v>
      </c>
      <c r="K1155" s="4" t="s">
        <v>36</v>
      </c>
    </row>
    <row r="1156" spans="1:11" x14ac:dyDescent="0.2">
      <c r="A1156" s="4">
        <v>6155</v>
      </c>
      <c r="B1156" s="4">
        <v>1179</v>
      </c>
      <c r="C1156" s="8">
        <v>46125</v>
      </c>
      <c r="D1156" s="8">
        <v>46128</v>
      </c>
      <c r="E1156" s="10">
        <f t="shared" si="18"/>
        <v>3</v>
      </c>
      <c r="F1156" s="4" t="s">
        <v>21</v>
      </c>
      <c r="G1156" s="4" t="s">
        <v>15</v>
      </c>
      <c r="H1156" s="4">
        <v>43444</v>
      </c>
      <c r="I1156" s="4" t="str">
        <f>VLOOKUP(B1156,Customers!$A:$D,4,FALSE)</f>
        <v>Premium</v>
      </c>
      <c r="J1156" s="4" t="s">
        <v>35</v>
      </c>
      <c r="K1156" s="4" t="s">
        <v>36</v>
      </c>
    </row>
    <row r="1157" spans="1:11" x14ac:dyDescent="0.2">
      <c r="A1157" s="4">
        <v>6156</v>
      </c>
      <c r="B1157" s="4">
        <v>1100</v>
      </c>
      <c r="C1157" s="8">
        <v>46121</v>
      </c>
      <c r="D1157" s="8">
        <v>46127</v>
      </c>
      <c r="E1157" s="10">
        <f t="shared" si="18"/>
        <v>6</v>
      </c>
      <c r="F1157" s="4" t="s">
        <v>18</v>
      </c>
      <c r="G1157" s="4" t="s">
        <v>11</v>
      </c>
      <c r="H1157" s="4">
        <v>37779</v>
      </c>
      <c r="I1157" s="4" t="str">
        <f>VLOOKUP(B1157,Customers!$A:$D,4,FALSE)</f>
        <v>Regular</v>
      </c>
      <c r="J1157" s="4" t="s">
        <v>35</v>
      </c>
      <c r="K1157" s="4" t="s">
        <v>36</v>
      </c>
    </row>
    <row r="1158" spans="1:11" x14ac:dyDescent="0.2">
      <c r="A1158" s="4">
        <v>6157</v>
      </c>
      <c r="B1158" s="4">
        <v>1045</v>
      </c>
      <c r="C1158" s="8">
        <v>46055</v>
      </c>
      <c r="D1158" s="8">
        <v>46064</v>
      </c>
      <c r="E1158" s="10">
        <f t="shared" si="18"/>
        <v>9</v>
      </c>
      <c r="F1158" s="4" t="s">
        <v>22</v>
      </c>
      <c r="G1158" s="4" t="s">
        <v>11</v>
      </c>
      <c r="H1158" s="4">
        <v>30892</v>
      </c>
      <c r="I1158" s="4" t="str">
        <f>VLOOKUP(B1158,Customers!$A:$D,4,FALSE)</f>
        <v>Premium</v>
      </c>
      <c r="J1158" s="4" t="s">
        <v>35</v>
      </c>
      <c r="K1158" s="4" t="s">
        <v>36</v>
      </c>
    </row>
    <row r="1159" spans="1:11" x14ac:dyDescent="0.2">
      <c r="A1159" s="4">
        <v>6158</v>
      </c>
      <c r="B1159" s="4">
        <v>1247</v>
      </c>
      <c r="C1159" s="8">
        <v>46137</v>
      </c>
      <c r="D1159" s="8">
        <v>46140</v>
      </c>
      <c r="E1159" s="10">
        <f t="shared" si="18"/>
        <v>3</v>
      </c>
      <c r="F1159" s="4" t="s">
        <v>24</v>
      </c>
      <c r="G1159" s="4" t="s">
        <v>13</v>
      </c>
      <c r="H1159" s="4">
        <v>14170</v>
      </c>
      <c r="I1159" s="4" t="str">
        <f>VLOOKUP(B1159,Customers!$A:$D,4,FALSE)</f>
        <v>Regular</v>
      </c>
      <c r="J1159" s="4" t="s">
        <v>35</v>
      </c>
      <c r="K1159" s="4" t="s">
        <v>36</v>
      </c>
    </row>
    <row r="1160" spans="1:11" x14ac:dyDescent="0.2">
      <c r="A1160" s="4">
        <v>6159</v>
      </c>
      <c r="B1160" s="4">
        <v>1223</v>
      </c>
      <c r="C1160" s="8">
        <v>46045</v>
      </c>
      <c r="D1160" s="8">
        <v>46048</v>
      </c>
      <c r="E1160" s="10">
        <f t="shared" si="18"/>
        <v>3</v>
      </c>
      <c r="F1160" s="4" t="s">
        <v>20</v>
      </c>
      <c r="G1160" s="4" t="s">
        <v>13</v>
      </c>
      <c r="H1160" s="4">
        <v>21697</v>
      </c>
      <c r="I1160" s="4" t="str">
        <f>VLOOKUP(B1160,Customers!$A:$D,4,FALSE)</f>
        <v>Regular</v>
      </c>
      <c r="J1160" s="4" t="s">
        <v>37</v>
      </c>
      <c r="K1160" s="4" t="s">
        <v>36</v>
      </c>
    </row>
    <row r="1161" spans="1:11" x14ac:dyDescent="0.2">
      <c r="A1161" s="4">
        <v>6160</v>
      </c>
      <c r="B1161" s="4">
        <v>1132</v>
      </c>
      <c r="C1161" s="8">
        <v>46094</v>
      </c>
      <c r="D1161" s="8">
        <v>46099</v>
      </c>
      <c r="E1161" s="10">
        <f t="shared" si="18"/>
        <v>5</v>
      </c>
      <c r="F1161" s="4" t="s">
        <v>25</v>
      </c>
      <c r="G1161" s="4" t="s">
        <v>12</v>
      </c>
      <c r="H1161" s="4">
        <v>43912</v>
      </c>
      <c r="I1161" s="4" t="str">
        <f>VLOOKUP(B1161,Customers!$A:$D,4,FALSE)</f>
        <v>Premium</v>
      </c>
      <c r="J1161" s="4" t="s">
        <v>35</v>
      </c>
      <c r="K1161" s="4" t="s">
        <v>36</v>
      </c>
    </row>
    <row r="1162" spans="1:11" x14ac:dyDescent="0.2">
      <c r="A1162" s="4">
        <v>6161</v>
      </c>
      <c r="B1162" s="4">
        <v>1047</v>
      </c>
      <c r="C1162" s="8">
        <v>46159</v>
      </c>
      <c r="D1162" s="8">
        <v>46168</v>
      </c>
      <c r="E1162" s="10">
        <f t="shared" si="18"/>
        <v>9</v>
      </c>
      <c r="F1162" s="4" t="s">
        <v>19</v>
      </c>
      <c r="G1162" s="4" t="s">
        <v>13</v>
      </c>
      <c r="H1162" s="4">
        <v>38046</v>
      </c>
      <c r="I1162" s="4" t="str">
        <f>VLOOKUP(B1162,Customers!$A:$D,4,FALSE)</f>
        <v>Regular</v>
      </c>
      <c r="J1162" s="4" t="s">
        <v>35</v>
      </c>
      <c r="K1162" s="4" t="s">
        <v>36</v>
      </c>
    </row>
    <row r="1163" spans="1:11" x14ac:dyDescent="0.2">
      <c r="A1163" s="4">
        <v>6162</v>
      </c>
      <c r="B1163" s="4">
        <v>1196</v>
      </c>
      <c r="C1163" s="8">
        <v>46110</v>
      </c>
      <c r="D1163" s="8">
        <v>46118</v>
      </c>
      <c r="E1163" s="10">
        <f t="shared" si="18"/>
        <v>8</v>
      </c>
      <c r="F1163" s="4" t="s">
        <v>21</v>
      </c>
      <c r="G1163" s="4" t="s">
        <v>13</v>
      </c>
      <c r="H1163" s="4">
        <v>14950</v>
      </c>
      <c r="I1163" s="4" t="str">
        <f>VLOOKUP(B1163,Customers!$A:$D,4,FALSE)</f>
        <v>Premium</v>
      </c>
      <c r="J1163" s="4" t="s">
        <v>37</v>
      </c>
      <c r="K1163" s="4" t="s">
        <v>36</v>
      </c>
    </row>
    <row r="1164" spans="1:11" x14ac:dyDescent="0.2">
      <c r="A1164" s="4">
        <v>6163</v>
      </c>
      <c r="B1164" s="4">
        <v>1045</v>
      </c>
      <c r="C1164" s="8">
        <v>46052</v>
      </c>
      <c r="D1164" s="8">
        <v>46058</v>
      </c>
      <c r="E1164" s="10">
        <f t="shared" si="18"/>
        <v>6</v>
      </c>
      <c r="F1164" s="4" t="s">
        <v>23</v>
      </c>
      <c r="G1164" s="4" t="s">
        <v>12</v>
      </c>
      <c r="H1164" s="4">
        <v>22597</v>
      </c>
      <c r="I1164" s="4" t="str">
        <f>VLOOKUP(B1164,Customers!$A:$D,4,FALSE)</f>
        <v>Premium</v>
      </c>
      <c r="J1164" s="4" t="s">
        <v>35</v>
      </c>
      <c r="K1164" s="4" t="s">
        <v>36</v>
      </c>
    </row>
    <row r="1165" spans="1:11" x14ac:dyDescent="0.2">
      <c r="A1165" s="4">
        <v>6164</v>
      </c>
      <c r="B1165" s="4">
        <v>1066</v>
      </c>
      <c r="C1165" s="8">
        <v>46052</v>
      </c>
      <c r="D1165" s="8">
        <v>46059</v>
      </c>
      <c r="E1165" s="10">
        <f t="shared" si="18"/>
        <v>7</v>
      </c>
      <c r="F1165" s="4" t="s">
        <v>19</v>
      </c>
      <c r="G1165" s="4" t="s">
        <v>15</v>
      </c>
      <c r="H1165" s="4">
        <v>38108</v>
      </c>
      <c r="I1165" s="4" t="str">
        <f>VLOOKUP(B1165,Customers!$A:$D,4,FALSE)</f>
        <v>Regular</v>
      </c>
      <c r="J1165" s="4" t="s">
        <v>35</v>
      </c>
      <c r="K1165" s="4" t="s">
        <v>36</v>
      </c>
    </row>
    <row r="1166" spans="1:11" x14ac:dyDescent="0.2">
      <c r="A1166" s="4">
        <v>6165</v>
      </c>
      <c r="B1166" s="4">
        <v>1275</v>
      </c>
      <c r="C1166" s="8">
        <v>46102</v>
      </c>
      <c r="D1166" s="8">
        <v>46104</v>
      </c>
      <c r="E1166" s="10">
        <f t="shared" si="18"/>
        <v>2</v>
      </c>
      <c r="F1166" s="4" t="s">
        <v>24</v>
      </c>
      <c r="G1166" s="4" t="s">
        <v>15</v>
      </c>
      <c r="H1166" s="4">
        <v>28067</v>
      </c>
      <c r="I1166" s="4" t="str">
        <f>VLOOKUP(B1166,Customers!$A:$D,4,FALSE)</f>
        <v>Regular</v>
      </c>
      <c r="J1166" s="4" t="s">
        <v>37</v>
      </c>
      <c r="K1166" s="4" t="s">
        <v>36</v>
      </c>
    </row>
    <row r="1167" spans="1:11" x14ac:dyDescent="0.2">
      <c r="A1167" s="4">
        <v>6166</v>
      </c>
      <c r="B1167" s="4">
        <v>1267</v>
      </c>
      <c r="C1167" s="8">
        <v>46116</v>
      </c>
      <c r="D1167" s="8">
        <v>46120</v>
      </c>
      <c r="E1167" s="10">
        <f t="shared" si="18"/>
        <v>4</v>
      </c>
      <c r="F1167" s="4" t="s">
        <v>24</v>
      </c>
      <c r="G1167" s="4" t="s">
        <v>12</v>
      </c>
      <c r="H1167" s="4">
        <v>26207</v>
      </c>
      <c r="I1167" s="4" t="str">
        <f>VLOOKUP(B1167,Customers!$A:$D,4,FALSE)</f>
        <v>Premium</v>
      </c>
      <c r="J1167" s="4" t="s">
        <v>35</v>
      </c>
      <c r="K1167" s="4" t="s">
        <v>36</v>
      </c>
    </row>
    <row r="1168" spans="1:11" x14ac:dyDescent="0.2">
      <c r="A1168" s="4">
        <v>6167</v>
      </c>
      <c r="B1168" s="4">
        <v>1162</v>
      </c>
      <c r="C1168" s="8">
        <v>46160</v>
      </c>
      <c r="D1168" s="8">
        <v>46169</v>
      </c>
      <c r="E1168" s="10">
        <f t="shared" si="18"/>
        <v>9</v>
      </c>
      <c r="F1168" s="4" t="s">
        <v>18</v>
      </c>
      <c r="G1168" s="4" t="s">
        <v>14</v>
      </c>
      <c r="H1168" s="4">
        <v>14646</v>
      </c>
      <c r="I1168" s="4" t="str">
        <f>VLOOKUP(B1168,Customers!$A:$D,4,FALSE)</f>
        <v>Premium</v>
      </c>
      <c r="J1168" s="4" t="s">
        <v>37</v>
      </c>
      <c r="K1168" s="4" t="s">
        <v>36</v>
      </c>
    </row>
    <row r="1169" spans="1:11" x14ac:dyDescent="0.2">
      <c r="A1169" s="4">
        <v>6168</v>
      </c>
      <c r="B1169" s="4">
        <v>1146</v>
      </c>
      <c r="C1169" s="8">
        <v>46139</v>
      </c>
      <c r="D1169" s="8">
        <v>46143</v>
      </c>
      <c r="E1169" s="10">
        <f t="shared" si="18"/>
        <v>4</v>
      </c>
      <c r="F1169" s="4" t="s">
        <v>18</v>
      </c>
      <c r="G1169" s="4" t="s">
        <v>12</v>
      </c>
      <c r="H1169" s="4">
        <v>39548</v>
      </c>
      <c r="I1169" s="4" t="str">
        <f>VLOOKUP(B1169,Customers!$A:$D,4,FALSE)</f>
        <v>Regular</v>
      </c>
      <c r="J1169" s="4" t="s">
        <v>37</v>
      </c>
      <c r="K1169" s="4" t="s">
        <v>36</v>
      </c>
    </row>
    <row r="1170" spans="1:11" x14ac:dyDescent="0.2">
      <c r="A1170" s="4">
        <v>6169</v>
      </c>
      <c r="B1170" s="4">
        <v>1064</v>
      </c>
      <c r="C1170" s="8">
        <v>46102</v>
      </c>
      <c r="D1170" s="8">
        <v>46112</v>
      </c>
      <c r="E1170" s="10">
        <f t="shared" si="18"/>
        <v>10</v>
      </c>
      <c r="F1170" s="4" t="s">
        <v>22</v>
      </c>
      <c r="G1170" s="4" t="s">
        <v>11</v>
      </c>
      <c r="H1170" s="4">
        <v>31644</v>
      </c>
      <c r="I1170" s="4" t="str">
        <f>VLOOKUP(B1170,Customers!$A:$D,4,FALSE)</f>
        <v>Premium</v>
      </c>
      <c r="J1170" s="4" t="s">
        <v>35</v>
      </c>
      <c r="K1170" s="4" t="s">
        <v>36</v>
      </c>
    </row>
    <row r="1171" spans="1:11" x14ac:dyDescent="0.2">
      <c r="A1171" s="4">
        <v>6170</v>
      </c>
      <c r="B1171" s="4">
        <v>1193</v>
      </c>
      <c r="C1171" s="8">
        <v>46149</v>
      </c>
      <c r="D1171" s="8">
        <v>46155</v>
      </c>
      <c r="E1171" s="10">
        <f t="shared" si="18"/>
        <v>6</v>
      </c>
      <c r="F1171" s="4" t="s">
        <v>20</v>
      </c>
      <c r="G1171" s="4" t="s">
        <v>14</v>
      </c>
      <c r="H1171" s="4">
        <v>10307</v>
      </c>
      <c r="I1171" s="4" t="str">
        <f>VLOOKUP(B1171,Customers!$A:$D,4,FALSE)</f>
        <v>Regular</v>
      </c>
      <c r="J1171" s="4" t="s">
        <v>35</v>
      </c>
      <c r="K1171" s="4" t="s">
        <v>36</v>
      </c>
    </row>
    <row r="1172" spans="1:11" x14ac:dyDescent="0.2">
      <c r="A1172" s="4">
        <v>6171</v>
      </c>
      <c r="B1172" s="4">
        <v>1092</v>
      </c>
      <c r="C1172" s="8">
        <v>46080</v>
      </c>
      <c r="D1172" s="8">
        <v>46082</v>
      </c>
      <c r="E1172" s="10">
        <f t="shared" si="18"/>
        <v>2</v>
      </c>
      <c r="F1172" s="4" t="s">
        <v>25</v>
      </c>
      <c r="G1172" s="4" t="s">
        <v>15</v>
      </c>
      <c r="H1172" s="4">
        <v>19901</v>
      </c>
      <c r="I1172" s="4" t="str">
        <f>VLOOKUP(B1172,Customers!$A:$D,4,FALSE)</f>
        <v>Premium</v>
      </c>
      <c r="J1172" s="4" t="s">
        <v>35</v>
      </c>
      <c r="K1172" s="4" t="s">
        <v>36</v>
      </c>
    </row>
    <row r="1173" spans="1:11" x14ac:dyDescent="0.2">
      <c r="A1173" s="4">
        <v>6172</v>
      </c>
      <c r="B1173" s="4">
        <v>1201</v>
      </c>
      <c r="C1173" s="8">
        <v>46028</v>
      </c>
      <c r="D1173" s="8">
        <v>46038</v>
      </c>
      <c r="E1173" s="10">
        <f t="shared" si="18"/>
        <v>10</v>
      </c>
      <c r="F1173" s="4" t="s">
        <v>19</v>
      </c>
      <c r="G1173" s="4" t="s">
        <v>15</v>
      </c>
      <c r="H1173" s="4">
        <v>44726</v>
      </c>
      <c r="I1173" s="4" t="str">
        <f>VLOOKUP(B1173,Customers!$A:$D,4,FALSE)</f>
        <v>Premium</v>
      </c>
      <c r="J1173" s="4" t="s">
        <v>37</v>
      </c>
      <c r="K1173" s="4" t="s">
        <v>36</v>
      </c>
    </row>
    <row r="1174" spans="1:11" x14ac:dyDescent="0.2">
      <c r="A1174" s="4">
        <v>6173</v>
      </c>
      <c r="B1174" s="4">
        <v>1201</v>
      </c>
      <c r="C1174" s="8">
        <v>46112</v>
      </c>
      <c r="D1174" s="8">
        <v>46120</v>
      </c>
      <c r="E1174" s="10">
        <f t="shared" si="18"/>
        <v>8</v>
      </c>
      <c r="F1174" s="4" t="s">
        <v>23</v>
      </c>
      <c r="G1174" s="4" t="s">
        <v>11</v>
      </c>
      <c r="H1174" s="4">
        <v>47928</v>
      </c>
      <c r="I1174" s="4" t="str">
        <f>VLOOKUP(B1174,Customers!$A:$D,4,FALSE)</f>
        <v>Premium</v>
      </c>
      <c r="J1174" s="4" t="s">
        <v>37</v>
      </c>
      <c r="K1174" s="4" t="s">
        <v>36</v>
      </c>
    </row>
    <row r="1175" spans="1:11" x14ac:dyDescent="0.2">
      <c r="A1175" s="4">
        <v>6174</v>
      </c>
      <c r="B1175" s="4">
        <v>1281</v>
      </c>
      <c r="C1175" s="8">
        <v>46095</v>
      </c>
      <c r="D1175" s="8">
        <v>46100</v>
      </c>
      <c r="E1175" s="10">
        <f t="shared" si="18"/>
        <v>5</v>
      </c>
      <c r="F1175" s="4" t="s">
        <v>21</v>
      </c>
      <c r="G1175" s="4" t="s">
        <v>12</v>
      </c>
      <c r="H1175" s="4">
        <v>8878</v>
      </c>
      <c r="I1175" s="4" t="str">
        <f>VLOOKUP(B1175,Customers!$A:$D,4,FALSE)</f>
        <v>Premium</v>
      </c>
      <c r="J1175" s="4" t="s">
        <v>37</v>
      </c>
      <c r="K1175" s="4" t="s">
        <v>36</v>
      </c>
    </row>
    <row r="1176" spans="1:11" x14ac:dyDescent="0.2">
      <c r="A1176" s="4">
        <v>6175</v>
      </c>
      <c r="B1176" s="4">
        <v>1156</v>
      </c>
      <c r="C1176" s="8">
        <v>46171</v>
      </c>
      <c r="D1176" s="8">
        <v>46173</v>
      </c>
      <c r="E1176" s="10">
        <f t="shared" si="18"/>
        <v>2</v>
      </c>
      <c r="F1176" s="4" t="s">
        <v>25</v>
      </c>
      <c r="G1176" s="4" t="s">
        <v>13</v>
      </c>
      <c r="H1176" s="4">
        <v>38124</v>
      </c>
      <c r="I1176" s="4" t="str">
        <f>VLOOKUP(B1176,Customers!$A:$D,4,FALSE)</f>
        <v>Premium</v>
      </c>
      <c r="J1176" s="4" t="s">
        <v>35</v>
      </c>
      <c r="K1176" s="4" t="s">
        <v>36</v>
      </c>
    </row>
    <row r="1177" spans="1:11" x14ac:dyDescent="0.2">
      <c r="A1177" s="4">
        <v>6176</v>
      </c>
      <c r="B1177" s="4">
        <v>1150</v>
      </c>
      <c r="C1177" s="8">
        <v>46136</v>
      </c>
      <c r="D1177" s="8">
        <v>46145</v>
      </c>
      <c r="E1177" s="10">
        <f t="shared" si="18"/>
        <v>9</v>
      </c>
      <c r="F1177" s="4" t="s">
        <v>18</v>
      </c>
      <c r="G1177" s="4" t="s">
        <v>13</v>
      </c>
      <c r="H1177" s="4">
        <v>14595</v>
      </c>
      <c r="I1177" s="4" t="str">
        <f>VLOOKUP(B1177,Customers!$A:$D,4,FALSE)</f>
        <v>Premium</v>
      </c>
      <c r="J1177" s="4" t="s">
        <v>35</v>
      </c>
      <c r="K1177" s="4" t="s">
        <v>36</v>
      </c>
    </row>
    <row r="1178" spans="1:11" x14ac:dyDescent="0.2">
      <c r="A1178" s="4">
        <v>6177</v>
      </c>
      <c r="B1178" s="4">
        <v>1295</v>
      </c>
      <c r="C1178" s="8">
        <v>46025</v>
      </c>
      <c r="D1178" s="8">
        <v>46032</v>
      </c>
      <c r="E1178" s="10">
        <f t="shared" si="18"/>
        <v>7</v>
      </c>
      <c r="F1178" s="4" t="s">
        <v>23</v>
      </c>
      <c r="G1178" s="4" t="s">
        <v>13</v>
      </c>
      <c r="H1178" s="4">
        <v>24977</v>
      </c>
      <c r="I1178" s="4" t="str">
        <f>VLOOKUP(B1178,Customers!$A:$D,4,FALSE)</f>
        <v>Regular</v>
      </c>
      <c r="J1178" s="4" t="s">
        <v>37</v>
      </c>
      <c r="K1178" s="4" t="s">
        <v>36</v>
      </c>
    </row>
    <row r="1179" spans="1:11" x14ac:dyDescent="0.2">
      <c r="A1179" s="4">
        <v>6178</v>
      </c>
      <c r="B1179" s="4">
        <v>1050</v>
      </c>
      <c r="C1179" s="8">
        <v>46066</v>
      </c>
      <c r="D1179" s="8">
        <v>46068</v>
      </c>
      <c r="E1179" s="10">
        <f t="shared" si="18"/>
        <v>2</v>
      </c>
      <c r="F1179" s="4" t="s">
        <v>19</v>
      </c>
      <c r="G1179" s="4" t="s">
        <v>15</v>
      </c>
      <c r="H1179" s="4">
        <v>12072</v>
      </c>
      <c r="I1179" s="4" t="str">
        <f>VLOOKUP(B1179,Customers!$A:$D,4,FALSE)</f>
        <v>Regular</v>
      </c>
      <c r="J1179" s="4" t="s">
        <v>35</v>
      </c>
      <c r="K1179" s="4" t="s">
        <v>36</v>
      </c>
    </row>
    <row r="1180" spans="1:11" x14ac:dyDescent="0.2">
      <c r="A1180" s="4">
        <v>6179</v>
      </c>
      <c r="B1180" s="4">
        <v>1174</v>
      </c>
      <c r="C1180" s="8">
        <v>46053</v>
      </c>
      <c r="D1180" s="8">
        <v>46063</v>
      </c>
      <c r="E1180" s="10">
        <f t="shared" si="18"/>
        <v>10</v>
      </c>
      <c r="F1180" s="4" t="s">
        <v>21</v>
      </c>
      <c r="G1180" s="4" t="s">
        <v>13</v>
      </c>
      <c r="H1180" s="4">
        <v>41389</v>
      </c>
      <c r="I1180" s="4" t="str">
        <f>VLOOKUP(B1180,Customers!$A:$D,4,FALSE)</f>
        <v>Premium</v>
      </c>
      <c r="J1180" s="4" t="s">
        <v>37</v>
      </c>
      <c r="K1180" s="4" t="s">
        <v>36</v>
      </c>
    </row>
    <row r="1181" spans="1:11" x14ac:dyDescent="0.2">
      <c r="A1181" s="4">
        <v>6180</v>
      </c>
      <c r="B1181" s="4">
        <v>1061</v>
      </c>
      <c r="C1181" s="8">
        <v>46085</v>
      </c>
      <c r="D1181" s="8">
        <v>46087</v>
      </c>
      <c r="E1181" s="10">
        <f t="shared" si="18"/>
        <v>2</v>
      </c>
      <c r="F1181" s="4" t="s">
        <v>24</v>
      </c>
      <c r="G1181" s="4" t="s">
        <v>15</v>
      </c>
      <c r="H1181" s="4">
        <v>32322</v>
      </c>
      <c r="I1181" s="4" t="str">
        <f>VLOOKUP(B1181,Customers!$A:$D,4,FALSE)</f>
        <v>Regular</v>
      </c>
      <c r="J1181" s="4" t="s">
        <v>37</v>
      </c>
      <c r="K1181" s="4" t="s">
        <v>36</v>
      </c>
    </row>
    <row r="1182" spans="1:11" x14ac:dyDescent="0.2">
      <c r="A1182" s="4">
        <v>6181</v>
      </c>
      <c r="B1182" s="4">
        <v>1046</v>
      </c>
      <c r="C1182" s="8">
        <v>46067</v>
      </c>
      <c r="D1182" s="8">
        <v>46075</v>
      </c>
      <c r="E1182" s="10">
        <f t="shared" si="18"/>
        <v>8</v>
      </c>
      <c r="F1182" s="4" t="s">
        <v>25</v>
      </c>
      <c r="G1182" s="4" t="s">
        <v>15</v>
      </c>
      <c r="H1182" s="4">
        <v>18336</v>
      </c>
      <c r="I1182" s="4" t="str">
        <f>VLOOKUP(B1182,Customers!$A:$D,4,FALSE)</f>
        <v>Regular</v>
      </c>
      <c r="J1182" s="4" t="s">
        <v>37</v>
      </c>
      <c r="K1182" s="4" t="s">
        <v>36</v>
      </c>
    </row>
    <row r="1183" spans="1:11" x14ac:dyDescent="0.2">
      <c r="A1183" s="4">
        <v>6182</v>
      </c>
      <c r="B1183" s="4">
        <v>1062</v>
      </c>
      <c r="C1183" s="8">
        <v>46117</v>
      </c>
      <c r="D1183" s="8">
        <v>46119</v>
      </c>
      <c r="E1183" s="10">
        <f t="shared" si="18"/>
        <v>2</v>
      </c>
      <c r="F1183" s="4" t="s">
        <v>23</v>
      </c>
      <c r="G1183" s="4" t="s">
        <v>12</v>
      </c>
      <c r="H1183" s="4">
        <v>8298</v>
      </c>
      <c r="I1183" s="4" t="str">
        <f>VLOOKUP(B1183,Customers!$A:$D,4,FALSE)</f>
        <v>Premium</v>
      </c>
      <c r="J1183" s="4" t="s">
        <v>37</v>
      </c>
      <c r="K1183" s="4" t="s">
        <v>36</v>
      </c>
    </row>
    <row r="1184" spans="1:11" x14ac:dyDescent="0.2">
      <c r="A1184" s="4">
        <v>6183</v>
      </c>
      <c r="B1184" s="4">
        <v>1012</v>
      </c>
      <c r="C1184" s="8">
        <v>46153</v>
      </c>
      <c r="D1184" s="8">
        <v>46158</v>
      </c>
      <c r="E1184" s="10">
        <f t="shared" si="18"/>
        <v>5</v>
      </c>
      <c r="F1184" s="4" t="s">
        <v>25</v>
      </c>
      <c r="G1184" s="4" t="s">
        <v>14</v>
      </c>
      <c r="H1184" s="4">
        <v>45764</v>
      </c>
      <c r="I1184" s="4" t="str">
        <f>VLOOKUP(B1184,Customers!$A:$D,4,FALSE)</f>
        <v>Premium</v>
      </c>
      <c r="J1184" s="4" t="s">
        <v>35</v>
      </c>
      <c r="K1184" s="4" t="s">
        <v>36</v>
      </c>
    </row>
    <row r="1185" spans="1:11" x14ac:dyDescent="0.2">
      <c r="A1185" s="4">
        <v>6184</v>
      </c>
      <c r="B1185" s="4">
        <v>1248</v>
      </c>
      <c r="C1185" s="8">
        <v>46069</v>
      </c>
      <c r="D1185" s="8">
        <v>46077</v>
      </c>
      <c r="E1185" s="10">
        <f t="shared" si="18"/>
        <v>8</v>
      </c>
      <c r="F1185" s="4" t="s">
        <v>21</v>
      </c>
      <c r="G1185" s="4" t="s">
        <v>14</v>
      </c>
      <c r="H1185" s="4">
        <v>37748</v>
      </c>
      <c r="I1185" s="4" t="str">
        <f>VLOOKUP(B1185,Customers!$A:$D,4,FALSE)</f>
        <v>Regular</v>
      </c>
      <c r="J1185" s="4" t="s">
        <v>35</v>
      </c>
      <c r="K1185" s="4" t="s">
        <v>36</v>
      </c>
    </row>
    <row r="1186" spans="1:11" x14ac:dyDescent="0.2">
      <c r="A1186" s="4">
        <v>6185</v>
      </c>
      <c r="B1186" s="4">
        <v>1033</v>
      </c>
      <c r="C1186" s="8">
        <v>46048</v>
      </c>
      <c r="D1186" s="8">
        <v>46055</v>
      </c>
      <c r="E1186" s="10">
        <f t="shared" si="18"/>
        <v>7</v>
      </c>
      <c r="F1186" s="4" t="s">
        <v>18</v>
      </c>
      <c r="G1186" s="4" t="s">
        <v>15</v>
      </c>
      <c r="H1186" s="4">
        <v>46223</v>
      </c>
      <c r="I1186" s="4" t="str">
        <f>VLOOKUP(B1186,Customers!$A:$D,4,FALSE)</f>
        <v>Premium</v>
      </c>
      <c r="J1186" s="4" t="s">
        <v>35</v>
      </c>
      <c r="K1186" s="4" t="s">
        <v>36</v>
      </c>
    </row>
    <row r="1187" spans="1:11" x14ac:dyDescent="0.2">
      <c r="A1187" s="4">
        <v>6186</v>
      </c>
      <c r="B1187" s="4">
        <v>1275</v>
      </c>
      <c r="C1187" s="8">
        <v>46123</v>
      </c>
      <c r="D1187" s="8">
        <v>46133</v>
      </c>
      <c r="E1187" s="10">
        <f t="shared" si="18"/>
        <v>10</v>
      </c>
      <c r="F1187" s="4" t="s">
        <v>25</v>
      </c>
      <c r="G1187" s="4" t="s">
        <v>12</v>
      </c>
      <c r="H1187" s="4">
        <v>34306</v>
      </c>
      <c r="I1187" s="4" t="str">
        <f>VLOOKUP(B1187,Customers!$A:$D,4,FALSE)</f>
        <v>Regular</v>
      </c>
      <c r="J1187" s="4" t="s">
        <v>35</v>
      </c>
      <c r="K1187" s="4" t="s">
        <v>36</v>
      </c>
    </row>
    <row r="1188" spans="1:11" x14ac:dyDescent="0.2">
      <c r="A1188" s="4">
        <v>6187</v>
      </c>
      <c r="B1188" s="4">
        <v>1093</v>
      </c>
      <c r="C1188" s="8">
        <v>46076</v>
      </c>
      <c r="D1188" s="8">
        <v>46079</v>
      </c>
      <c r="E1188" s="10">
        <f t="shared" si="18"/>
        <v>3</v>
      </c>
      <c r="F1188" s="4" t="s">
        <v>18</v>
      </c>
      <c r="G1188" s="4" t="s">
        <v>12</v>
      </c>
      <c r="H1188" s="4">
        <v>36654</v>
      </c>
      <c r="I1188" s="4" t="str">
        <f>VLOOKUP(B1188,Customers!$A:$D,4,FALSE)</f>
        <v>Regular</v>
      </c>
      <c r="J1188" s="4" t="s">
        <v>37</v>
      </c>
      <c r="K1188" s="4" t="s">
        <v>36</v>
      </c>
    </row>
    <row r="1189" spans="1:11" x14ac:dyDescent="0.2">
      <c r="A1189" s="4">
        <v>6188</v>
      </c>
      <c r="B1189" s="4">
        <v>1021</v>
      </c>
      <c r="C1189" s="8">
        <v>46103</v>
      </c>
      <c r="D1189" s="8">
        <v>46106</v>
      </c>
      <c r="E1189" s="10">
        <f t="shared" si="18"/>
        <v>3</v>
      </c>
      <c r="F1189" s="4" t="s">
        <v>18</v>
      </c>
      <c r="G1189" s="4" t="s">
        <v>11</v>
      </c>
      <c r="H1189" s="4">
        <v>13815</v>
      </c>
      <c r="I1189" s="4" t="str">
        <f>VLOOKUP(B1189,Customers!$A:$D,4,FALSE)</f>
        <v>Premium</v>
      </c>
      <c r="J1189" s="4" t="s">
        <v>35</v>
      </c>
      <c r="K1189" s="4" t="s">
        <v>36</v>
      </c>
    </row>
    <row r="1190" spans="1:11" x14ac:dyDescent="0.2">
      <c r="A1190" s="4">
        <v>6189</v>
      </c>
      <c r="B1190" s="4">
        <v>1132</v>
      </c>
      <c r="C1190" s="8">
        <v>46045</v>
      </c>
      <c r="D1190" s="8">
        <v>46055</v>
      </c>
      <c r="E1190" s="10">
        <f t="shared" si="18"/>
        <v>10</v>
      </c>
      <c r="F1190" s="4" t="s">
        <v>20</v>
      </c>
      <c r="G1190" s="4" t="s">
        <v>12</v>
      </c>
      <c r="H1190" s="4">
        <v>8473</v>
      </c>
      <c r="I1190" s="4" t="str">
        <f>VLOOKUP(B1190,Customers!$A:$D,4,FALSE)</f>
        <v>Premium</v>
      </c>
      <c r="J1190" s="4" t="s">
        <v>37</v>
      </c>
      <c r="K1190" s="4" t="s">
        <v>36</v>
      </c>
    </row>
    <row r="1191" spans="1:11" x14ac:dyDescent="0.2">
      <c r="A1191" s="4">
        <v>6190</v>
      </c>
      <c r="B1191" s="4">
        <v>1088</v>
      </c>
      <c r="C1191" s="8">
        <v>46116</v>
      </c>
      <c r="D1191" s="8">
        <v>46126</v>
      </c>
      <c r="E1191" s="10">
        <f t="shared" si="18"/>
        <v>10</v>
      </c>
      <c r="F1191" s="4" t="s">
        <v>21</v>
      </c>
      <c r="G1191" s="4" t="s">
        <v>12</v>
      </c>
      <c r="H1191" s="4">
        <v>16575</v>
      </c>
      <c r="I1191" s="4" t="str">
        <f>VLOOKUP(B1191,Customers!$A:$D,4,FALSE)</f>
        <v>Regular</v>
      </c>
      <c r="J1191" s="4" t="s">
        <v>37</v>
      </c>
      <c r="K1191" s="4" t="s">
        <v>36</v>
      </c>
    </row>
    <row r="1192" spans="1:11" x14ac:dyDescent="0.2">
      <c r="A1192" s="4">
        <v>6191</v>
      </c>
      <c r="B1192" s="4">
        <v>1151</v>
      </c>
      <c r="C1192" s="8">
        <v>46034</v>
      </c>
      <c r="D1192" s="8">
        <v>46044</v>
      </c>
      <c r="E1192" s="10">
        <f t="shared" si="18"/>
        <v>10</v>
      </c>
      <c r="F1192" s="4" t="s">
        <v>25</v>
      </c>
      <c r="G1192" s="4" t="s">
        <v>13</v>
      </c>
      <c r="H1192" s="4">
        <v>38118</v>
      </c>
      <c r="I1192" s="4" t="str">
        <f>VLOOKUP(B1192,Customers!$A:$D,4,FALSE)</f>
        <v>Regular</v>
      </c>
      <c r="J1192" s="4" t="s">
        <v>37</v>
      </c>
      <c r="K1192" s="4" t="s">
        <v>36</v>
      </c>
    </row>
    <row r="1193" spans="1:11" x14ac:dyDescent="0.2">
      <c r="A1193" s="4">
        <v>6192</v>
      </c>
      <c r="B1193" s="4">
        <v>1181</v>
      </c>
      <c r="C1193" s="8">
        <v>46103</v>
      </c>
      <c r="D1193" s="8">
        <v>46113</v>
      </c>
      <c r="E1193" s="10">
        <f t="shared" si="18"/>
        <v>10</v>
      </c>
      <c r="F1193" s="4" t="s">
        <v>24</v>
      </c>
      <c r="G1193" s="4" t="s">
        <v>12</v>
      </c>
      <c r="H1193" s="4">
        <v>43725</v>
      </c>
      <c r="I1193" s="4" t="str">
        <f>VLOOKUP(B1193,Customers!$A:$D,4,FALSE)</f>
        <v>Regular</v>
      </c>
      <c r="J1193" s="4" t="s">
        <v>35</v>
      </c>
      <c r="K1193" s="4" t="s">
        <v>36</v>
      </c>
    </row>
    <row r="1194" spans="1:11" x14ac:dyDescent="0.2">
      <c r="A1194" s="4">
        <v>6193</v>
      </c>
      <c r="B1194" s="4">
        <v>1097</v>
      </c>
      <c r="C1194" s="8">
        <v>46083</v>
      </c>
      <c r="D1194" s="8">
        <v>46085</v>
      </c>
      <c r="E1194" s="10">
        <f t="shared" si="18"/>
        <v>2</v>
      </c>
      <c r="F1194" s="4" t="s">
        <v>18</v>
      </c>
      <c r="G1194" s="4" t="s">
        <v>14</v>
      </c>
      <c r="H1194" s="4">
        <v>14404</v>
      </c>
      <c r="I1194" s="4" t="str">
        <f>VLOOKUP(B1194,Customers!$A:$D,4,FALSE)</f>
        <v>Premium</v>
      </c>
      <c r="J1194" s="4" t="s">
        <v>35</v>
      </c>
      <c r="K1194" s="4" t="s">
        <v>36</v>
      </c>
    </row>
    <row r="1195" spans="1:11" x14ac:dyDescent="0.2">
      <c r="A1195" s="4">
        <v>6194</v>
      </c>
      <c r="B1195" s="4">
        <v>1184</v>
      </c>
      <c r="C1195" s="8">
        <v>46164</v>
      </c>
      <c r="D1195" s="8">
        <v>46169</v>
      </c>
      <c r="E1195" s="10">
        <f t="shared" si="18"/>
        <v>5</v>
      </c>
      <c r="F1195" s="4" t="s">
        <v>22</v>
      </c>
      <c r="G1195" s="4" t="s">
        <v>13</v>
      </c>
      <c r="H1195" s="4">
        <v>48082</v>
      </c>
      <c r="I1195" s="4" t="str">
        <f>VLOOKUP(B1195,Customers!$A:$D,4,FALSE)</f>
        <v>Premium</v>
      </c>
      <c r="J1195" s="4" t="s">
        <v>37</v>
      </c>
      <c r="K1195" s="4" t="s">
        <v>36</v>
      </c>
    </row>
    <row r="1196" spans="1:11" x14ac:dyDescent="0.2">
      <c r="A1196" s="4">
        <v>6195</v>
      </c>
      <c r="B1196" s="4">
        <v>1131</v>
      </c>
      <c r="C1196" s="8">
        <v>46042</v>
      </c>
      <c r="D1196" s="8">
        <v>46052</v>
      </c>
      <c r="E1196" s="10">
        <f t="shared" si="18"/>
        <v>10</v>
      </c>
      <c r="F1196" s="4" t="s">
        <v>22</v>
      </c>
      <c r="G1196" s="4" t="s">
        <v>15</v>
      </c>
      <c r="H1196" s="4">
        <v>42883</v>
      </c>
      <c r="I1196" s="4" t="str">
        <f>VLOOKUP(B1196,Customers!$A:$D,4,FALSE)</f>
        <v>Premium</v>
      </c>
      <c r="J1196" s="4" t="s">
        <v>35</v>
      </c>
      <c r="K1196" s="4" t="s">
        <v>36</v>
      </c>
    </row>
    <row r="1197" spans="1:11" x14ac:dyDescent="0.2">
      <c r="A1197" s="4">
        <v>6196</v>
      </c>
      <c r="B1197" s="4">
        <v>1043</v>
      </c>
      <c r="C1197" s="8">
        <v>46125</v>
      </c>
      <c r="D1197" s="8">
        <v>46134</v>
      </c>
      <c r="E1197" s="10">
        <f t="shared" si="18"/>
        <v>9</v>
      </c>
      <c r="F1197" s="4" t="s">
        <v>22</v>
      </c>
      <c r="G1197" s="4" t="s">
        <v>15</v>
      </c>
      <c r="H1197" s="4">
        <v>45815</v>
      </c>
      <c r="I1197" s="4" t="str">
        <f>VLOOKUP(B1197,Customers!$A:$D,4,FALSE)</f>
        <v>Regular</v>
      </c>
      <c r="J1197" s="4" t="s">
        <v>35</v>
      </c>
      <c r="K1197" s="4" t="s">
        <v>36</v>
      </c>
    </row>
    <row r="1198" spans="1:11" x14ac:dyDescent="0.2">
      <c r="A1198" s="4">
        <v>6197</v>
      </c>
      <c r="B1198" s="4">
        <v>1037</v>
      </c>
      <c r="C1198" s="8">
        <v>46160</v>
      </c>
      <c r="D1198" s="8">
        <v>46165</v>
      </c>
      <c r="E1198" s="10">
        <f t="shared" si="18"/>
        <v>5</v>
      </c>
      <c r="F1198" s="4" t="s">
        <v>22</v>
      </c>
      <c r="G1198" s="4" t="s">
        <v>13</v>
      </c>
      <c r="H1198" s="4">
        <v>47121</v>
      </c>
      <c r="I1198" s="4" t="str">
        <f>VLOOKUP(B1198,Customers!$A:$D,4,FALSE)</f>
        <v>Premium</v>
      </c>
      <c r="J1198" s="4" t="s">
        <v>37</v>
      </c>
      <c r="K1198" s="4" t="s">
        <v>36</v>
      </c>
    </row>
    <row r="1199" spans="1:11" x14ac:dyDescent="0.2">
      <c r="A1199" s="4">
        <v>6198</v>
      </c>
      <c r="B1199" s="4">
        <v>1084</v>
      </c>
      <c r="C1199" s="8">
        <v>46167</v>
      </c>
      <c r="D1199" s="8">
        <v>46177</v>
      </c>
      <c r="E1199" s="10">
        <f t="shared" si="18"/>
        <v>10</v>
      </c>
      <c r="F1199" s="4" t="s">
        <v>21</v>
      </c>
      <c r="G1199" s="4" t="s">
        <v>13</v>
      </c>
      <c r="H1199" s="4">
        <v>21032</v>
      </c>
      <c r="I1199" s="4" t="str">
        <f>VLOOKUP(B1199,Customers!$A:$D,4,FALSE)</f>
        <v>Premium</v>
      </c>
      <c r="J1199" s="4" t="s">
        <v>37</v>
      </c>
      <c r="K1199" s="4" t="s">
        <v>36</v>
      </c>
    </row>
    <row r="1200" spans="1:11" x14ac:dyDescent="0.2">
      <c r="A1200" s="4">
        <v>6199</v>
      </c>
      <c r="B1200" s="4">
        <v>1127</v>
      </c>
      <c r="C1200" s="8">
        <v>46120</v>
      </c>
      <c r="D1200" s="8">
        <v>46122</v>
      </c>
      <c r="E1200" s="10">
        <f t="shared" si="18"/>
        <v>2</v>
      </c>
      <c r="F1200" s="4" t="s">
        <v>23</v>
      </c>
      <c r="G1200" s="4" t="s">
        <v>14</v>
      </c>
      <c r="H1200" s="4">
        <v>8467</v>
      </c>
      <c r="I1200" s="4" t="str">
        <f>VLOOKUP(B1200,Customers!$A:$D,4,FALSE)</f>
        <v>Regular</v>
      </c>
      <c r="J1200" s="4" t="s">
        <v>35</v>
      </c>
      <c r="K1200" s="4" t="s">
        <v>36</v>
      </c>
    </row>
    <row r="1201" spans="1:11" x14ac:dyDescent="0.2">
      <c r="A1201" s="4">
        <v>6200</v>
      </c>
      <c r="B1201" s="4">
        <v>1034</v>
      </c>
      <c r="C1201" s="8">
        <v>46163</v>
      </c>
      <c r="D1201" s="8">
        <v>46171</v>
      </c>
      <c r="E1201" s="10">
        <f t="shared" si="18"/>
        <v>8</v>
      </c>
      <c r="F1201" s="4" t="s">
        <v>19</v>
      </c>
      <c r="G1201" s="4" t="s">
        <v>12</v>
      </c>
      <c r="H1201" s="4">
        <v>24077</v>
      </c>
      <c r="I1201" s="4" t="str">
        <f>VLOOKUP(B1201,Customers!$A:$D,4,FALSE)</f>
        <v>Regular</v>
      </c>
      <c r="J1201" s="4" t="s">
        <v>37</v>
      </c>
      <c r="K1201" s="4" t="s">
        <v>36</v>
      </c>
    </row>
    <row r="1202" spans="1:11" x14ac:dyDescent="0.2">
      <c r="A1202" s="4">
        <v>6201</v>
      </c>
      <c r="B1202" s="4">
        <v>1116</v>
      </c>
      <c r="C1202" s="8">
        <v>46092</v>
      </c>
      <c r="D1202" s="8">
        <v>46096</v>
      </c>
      <c r="E1202" s="10">
        <f t="shared" si="18"/>
        <v>4</v>
      </c>
      <c r="F1202" s="4" t="s">
        <v>22</v>
      </c>
      <c r="G1202" s="4" t="s">
        <v>12</v>
      </c>
      <c r="H1202" s="4">
        <v>6719</v>
      </c>
      <c r="I1202" s="4" t="str">
        <f>VLOOKUP(B1202,Customers!$A:$D,4,FALSE)</f>
        <v>Premium</v>
      </c>
      <c r="J1202" s="4" t="s">
        <v>37</v>
      </c>
      <c r="K1202" s="4" t="s">
        <v>36</v>
      </c>
    </row>
    <row r="1203" spans="1:11" x14ac:dyDescent="0.2">
      <c r="A1203" s="4">
        <v>6202</v>
      </c>
      <c r="B1203" s="4">
        <v>1054</v>
      </c>
      <c r="C1203" s="8">
        <v>46079</v>
      </c>
      <c r="D1203" s="8">
        <v>46087</v>
      </c>
      <c r="E1203" s="10">
        <f t="shared" si="18"/>
        <v>8</v>
      </c>
      <c r="F1203" s="4" t="s">
        <v>23</v>
      </c>
      <c r="G1203" s="4" t="s">
        <v>13</v>
      </c>
      <c r="H1203" s="4">
        <v>34803</v>
      </c>
      <c r="I1203" s="4" t="str">
        <f>VLOOKUP(B1203,Customers!$A:$D,4,FALSE)</f>
        <v>Premium</v>
      </c>
      <c r="J1203" s="4" t="s">
        <v>37</v>
      </c>
      <c r="K1203" s="4" t="s">
        <v>36</v>
      </c>
    </row>
    <row r="1204" spans="1:11" x14ac:dyDescent="0.2">
      <c r="A1204" s="4">
        <v>6203</v>
      </c>
      <c r="B1204" s="4">
        <v>1049</v>
      </c>
      <c r="C1204" s="8">
        <v>46173</v>
      </c>
      <c r="D1204" s="8">
        <v>46182</v>
      </c>
      <c r="E1204" s="10">
        <f t="shared" si="18"/>
        <v>9</v>
      </c>
      <c r="F1204" s="4" t="s">
        <v>19</v>
      </c>
      <c r="G1204" s="4" t="s">
        <v>11</v>
      </c>
      <c r="H1204" s="4">
        <v>18780</v>
      </c>
      <c r="I1204" s="4" t="str">
        <f>VLOOKUP(B1204,Customers!$A:$D,4,FALSE)</f>
        <v>Regular</v>
      </c>
      <c r="J1204" s="4" t="s">
        <v>37</v>
      </c>
      <c r="K1204" s="4" t="s">
        <v>36</v>
      </c>
    </row>
    <row r="1205" spans="1:11" x14ac:dyDescent="0.2">
      <c r="A1205" s="4">
        <v>6204</v>
      </c>
      <c r="B1205" s="4">
        <v>1088</v>
      </c>
      <c r="C1205" s="8">
        <v>46048</v>
      </c>
      <c r="D1205" s="8">
        <v>46050</v>
      </c>
      <c r="E1205" s="10">
        <f t="shared" si="18"/>
        <v>2</v>
      </c>
      <c r="F1205" s="4" t="s">
        <v>19</v>
      </c>
      <c r="G1205" s="4" t="s">
        <v>15</v>
      </c>
      <c r="H1205" s="4">
        <v>12140</v>
      </c>
      <c r="I1205" s="4" t="str">
        <f>VLOOKUP(B1205,Customers!$A:$D,4,FALSE)</f>
        <v>Regular</v>
      </c>
      <c r="J1205" s="4" t="s">
        <v>37</v>
      </c>
      <c r="K1205" s="4" t="s">
        <v>36</v>
      </c>
    </row>
    <row r="1206" spans="1:11" x14ac:dyDescent="0.2">
      <c r="A1206" s="4">
        <v>6205</v>
      </c>
      <c r="B1206" s="4">
        <v>1207</v>
      </c>
      <c r="C1206" s="8">
        <v>46159</v>
      </c>
      <c r="D1206" s="8">
        <v>46169</v>
      </c>
      <c r="E1206" s="10">
        <f t="shared" si="18"/>
        <v>10</v>
      </c>
      <c r="F1206" s="4" t="s">
        <v>25</v>
      </c>
      <c r="G1206" s="4" t="s">
        <v>11</v>
      </c>
      <c r="H1206" s="4">
        <v>8660</v>
      </c>
      <c r="I1206" s="4" t="str">
        <f>VLOOKUP(B1206,Customers!$A:$D,4,FALSE)</f>
        <v>Premium</v>
      </c>
      <c r="J1206" s="4" t="s">
        <v>37</v>
      </c>
      <c r="K1206" s="4" t="s">
        <v>36</v>
      </c>
    </row>
    <row r="1207" spans="1:11" x14ac:dyDescent="0.2">
      <c r="A1207" s="4">
        <v>6206</v>
      </c>
      <c r="B1207" s="4">
        <v>1080</v>
      </c>
      <c r="C1207" s="8">
        <v>46025</v>
      </c>
      <c r="D1207" s="8">
        <v>46035</v>
      </c>
      <c r="E1207" s="10">
        <f t="shared" si="18"/>
        <v>10</v>
      </c>
      <c r="F1207" s="4" t="s">
        <v>18</v>
      </c>
      <c r="G1207" s="4" t="s">
        <v>13</v>
      </c>
      <c r="H1207" s="4">
        <v>25125</v>
      </c>
      <c r="I1207" s="4" t="str">
        <f>VLOOKUP(B1207,Customers!$A:$D,4,FALSE)</f>
        <v>Premium</v>
      </c>
      <c r="J1207" s="4" t="s">
        <v>37</v>
      </c>
      <c r="K1207" s="4" t="s">
        <v>36</v>
      </c>
    </row>
    <row r="1208" spans="1:11" x14ac:dyDescent="0.2">
      <c r="A1208" s="4">
        <v>6207</v>
      </c>
      <c r="B1208" s="4">
        <v>1128</v>
      </c>
      <c r="C1208" s="8">
        <v>46036</v>
      </c>
      <c r="D1208" s="8">
        <v>46043</v>
      </c>
      <c r="E1208" s="10">
        <f t="shared" si="18"/>
        <v>7</v>
      </c>
      <c r="F1208" s="4" t="s">
        <v>21</v>
      </c>
      <c r="G1208" s="4" t="s">
        <v>15</v>
      </c>
      <c r="H1208" s="4">
        <v>12299</v>
      </c>
      <c r="I1208" s="4" t="str">
        <f>VLOOKUP(B1208,Customers!$A:$D,4,FALSE)</f>
        <v>Premium</v>
      </c>
      <c r="J1208" s="4" t="s">
        <v>37</v>
      </c>
      <c r="K1208" s="4" t="s">
        <v>36</v>
      </c>
    </row>
    <row r="1209" spans="1:11" x14ac:dyDescent="0.2">
      <c r="A1209" s="4">
        <v>6208</v>
      </c>
      <c r="B1209" s="4">
        <v>1258</v>
      </c>
      <c r="C1209" s="8">
        <v>46113</v>
      </c>
      <c r="D1209" s="8">
        <v>46122</v>
      </c>
      <c r="E1209" s="10">
        <f t="shared" si="18"/>
        <v>9</v>
      </c>
      <c r="F1209" s="4" t="s">
        <v>22</v>
      </c>
      <c r="G1209" s="4" t="s">
        <v>14</v>
      </c>
      <c r="H1209" s="4">
        <v>28334</v>
      </c>
      <c r="I1209" s="4" t="str">
        <f>VLOOKUP(B1209,Customers!$A:$D,4,FALSE)</f>
        <v>Regular</v>
      </c>
      <c r="J1209" s="4" t="s">
        <v>35</v>
      </c>
      <c r="K1209" s="4" t="s">
        <v>36</v>
      </c>
    </row>
    <row r="1210" spans="1:11" x14ac:dyDescent="0.2">
      <c r="A1210" s="4">
        <v>6209</v>
      </c>
      <c r="B1210" s="4">
        <v>1157</v>
      </c>
      <c r="C1210" s="8">
        <v>46101</v>
      </c>
      <c r="D1210" s="8">
        <v>46104</v>
      </c>
      <c r="E1210" s="10">
        <f t="shared" si="18"/>
        <v>3</v>
      </c>
      <c r="F1210" s="4" t="s">
        <v>21</v>
      </c>
      <c r="G1210" s="4" t="s">
        <v>14</v>
      </c>
      <c r="H1210" s="4">
        <v>6207</v>
      </c>
      <c r="I1210" s="4" t="str">
        <f>VLOOKUP(B1210,Customers!$A:$D,4,FALSE)</f>
        <v>Regular</v>
      </c>
      <c r="J1210" s="4" t="s">
        <v>35</v>
      </c>
      <c r="K1210" s="4" t="s">
        <v>36</v>
      </c>
    </row>
    <row r="1211" spans="1:11" x14ac:dyDescent="0.2">
      <c r="A1211" s="4">
        <v>6210</v>
      </c>
      <c r="B1211" s="4">
        <v>1048</v>
      </c>
      <c r="C1211" s="8">
        <v>46042</v>
      </c>
      <c r="D1211" s="8">
        <v>46047</v>
      </c>
      <c r="E1211" s="10">
        <f t="shared" si="18"/>
        <v>5</v>
      </c>
      <c r="F1211" s="4" t="s">
        <v>18</v>
      </c>
      <c r="G1211" s="4" t="s">
        <v>11</v>
      </c>
      <c r="H1211" s="4">
        <v>4062</v>
      </c>
      <c r="I1211" s="4" t="str">
        <f>VLOOKUP(B1211,Customers!$A:$D,4,FALSE)</f>
        <v>Regular</v>
      </c>
      <c r="J1211" s="4" t="s">
        <v>35</v>
      </c>
      <c r="K1211" s="4" t="s">
        <v>36</v>
      </c>
    </row>
    <row r="1212" spans="1:11" x14ac:dyDescent="0.2">
      <c r="A1212" s="4">
        <v>6211</v>
      </c>
      <c r="B1212" s="4">
        <v>1253</v>
      </c>
      <c r="C1212" s="8">
        <v>46096</v>
      </c>
      <c r="D1212" s="8">
        <v>46106</v>
      </c>
      <c r="E1212" s="10">
        <f t="shared" si="18"/>
        <v>10</v>
      </c>
      <c r="F1212" s="4" t="s">
        <v>20</v>
      </c>
      <c r="G1212" s="4" t="s">
        <v>15</v>
      </c>
      <c r="H1212" s="4">
        <v>44670</v>
      </c>
      <c r="I1212" s="4" t="str">
        <f>VLOOKUP(B1212,Customers!$A:$D,4,FALSE)</f>
        <v>Regular</v>
      </c>
      <c r="J1212" s="4" t="s">
        <v>35</v>
      </c>
      <c r="K1212" s="4" t="s">
        <v>36</v>
      </c>
    </row>
    <row r="1213" spans="1:11" x14ac:dyDescent="0.2">
      <c r="A1213" s="4">
        <v>6212</v>
      </c>
      <c r="B1213" s="4">
        <v>1264</v>
      </c>
      <c r="C1213" s="8">
        <v>46145</v>
      </c>
      <c r="D1213" s="8">
        <v>46154</v>
      </c>
      <c r="E1213" s="10">
        <f t="shared" si="18"/>
        <v>9</v>
      </c>
      <c r="F1213" s="4" t="s">
        <v>23</v>
      </c>
      <c r="G1213" s="4" t="s">
        <v>15</v>
      </c>
      <c r="H1213" s="4">
        <v>1210</v>
      </c>
      <c r="I1213" s="4" t="str">
        <f>VLOOKUP(B1213,Customers!$A:$D,4,FALSE)</f>
        <v>Premium</v>
      </c>
      <c r="J1213" s="4" t="s">
        <v>35</v>
      </c>
      <c r="K1213" s="4" t="s">
        <v>36</v>
      </c>
    </row>
    <row r="1214" spans="1:11" x14ac:dyDescent="0.2">
      <c r="A1214" s="4">
        <v>6213</v>
      </c>
      <c r="B1214" s="4">
        <v>1274</v>
      </c>
      <c r="C1214" s="8">
        <v>46024</v>
      </c>
      <c r="D1214" s="8">
        <v>46032</v>
      </c>
      <c r="E1214" s="10">
        <f t="shared" si="18"/>
        <v>8</v>
      </c>
      <c r="F1214" s="4" t="s">
        <v>19</v>
      </c>
      <c r="G1214" s="4" t="s">
        <v>13</v>
      </c>
      <c r="H1214" s="4">
        <v>48729</v>
      </c>
      <c r="I1214" s="4" t="str">
        <f>VLOOKUP(B1214,Customers!$A:$D,4,FALSE)</f>
        <v>Regular</v>
      </c>
      <c r="J1214" s="4" t="s">
        <v>35</v>
      </c>
      <c r="K1214" s="4" t="s">
        <v>36</v>
      </c>
    </row>
    <row r="1215" spans="1:11" x14ac:dyDescent="0.2">
      <c r="A1215" s="4">
        <v>6214</v>
      </c>
      <c r="B1215" s="4">
        <v>1269</v>
      </c>
      <c r="C1215" s="8">
        <v>46137</v>
      </c>
      <c r="D1215" s="8">
        <v>46141</v>
      </c>
      <c r="E1215" s="10">
        <f t="shared" si="18"/>
        <v>4</v>
      </c>
      <c r="F1215" s="4" t="s">
        <v>24</v>
      </c>
      <c r="G1215" s="4" t="s">
        <v>13</v>
      </c>
      <c r="H1215" s="4">
        <v>5223</v>
      </c>
      <c r="I1215" s="4" t="str">
        <f>VLOOKUP(B1215,Customers!$A:$D,4,FALSE)</f>
        <v>Premium</v>
      </c>
      <c r="J1215" s="4" t="s">
        <v>37</v>
      </c>
      <c r="K1215" s="4" t="s">
        <v>36</v>
      </c>
    </row>
    <row r="1216" spans="1:11" x14ac:dyDescent="0.2">
      <c r="A1216" s="4">
        <v>6215</v>
      </c>
      <c r="B1216" s="4">
        <v>1181</v>
      </c>
      <c r="C1216" s="8">
        <v>46057</v>
      </c>
      <c r="D1216" s="8">
        <v>46067</v>
      </c>
      <c r="E1216" s="10">
        <f t="shared" si="18"/>
        <v>10</v>
      </c>
      <c r="F1216" s="4" t="s">
        <v>20</v>
      </c>
      <c r="G1216" s="4" t="s">
        <v>15</v>
      </c>
      <c r="H1216" s="4">
        <v>32773</v>
      </c>
      <c r="I1216" s="4" t="str">
        <f>VLOOKUP(B1216,Customers!$A:$D,4,FALSE)</f>
        <v>Regular</v>
      </c>
      <c r="J1216" s="4" t="s">
        <v>37</v>
      </c>
      <c r="K1216" s="4" t="s">
        <v>36</v>
      </c>
    </row>
    <row r="1217" spans="1:11" x14ac:dyDescent="0.2">
      <c r="A1217" s="4">
        <v>6216</v>
      </c>
      <c r="B1217" s="4">
        <v>1058</v>
      </c>
      <c r="C1217" s="8">
        <v>46066</v>
      </c>
      <c r="D1217" s="8">
        <v>46073</v>
      </c>
      <c r="E1217" s="10">
        <f t="shared" si="18"/>
        <v>7</v>
      </c>
      <c r="F1217" s="4" t="s">
        <v>19</v>
      </c>
      <c r="G1217" s="4" t="s">
        <v>13</v>
      </c>
      <c r="H1217" s="4">
        <v>35631</v>
      </c>
      <c r="I1217" s="4" t="str">
        <f>VLOOKUP(B1217,Customers!$A:$D,4,FALSE)</f>
        <v>Regular</v>
      </c>
      <c r="J1217" s="4" t="s">
        <v>35</v>
      </c>
      <c r="K1217" s="4" t="s">
        <v>36</v>
      </c>
    </row>
    <row r="1218" spans="1:11" x14ac:dyDescent="0.2">
      <c r="A1218" s="4">
        <v>6217</v>
      </c>
      <c r="B1218" s="4">
        <v>1248</v>
      </c>
      <c r="C1218" s="8">
        <v>46097</v>
      </c>
      <c r="D1218" s="8">
        <v>46103</v>
      </c>
      <c r="E1218" s="10">
        <f t="shared" si="18"/>
        <v>6</v>
      </c>
      <c r="F1218" s="4" t="s">
        <v>22</v>
      </c>
      <c r="G1218" s="4" t="s">
        <v>14</v>
      </c>
      <c r="H1218" s="4">
        <v>14263</v>
      </c>
      <c r="I1218" s="4" t="str">
        <f>VLOOKUP(B1218,Customers!$A:$D,4,FALSE)</f>
        <v>Regular</v>
      </c>
      <c r="J1218" s="4" t="s">
        <v>35</v>
      </c>
      <c r="K1218" s="4" t="s">
        <v>36</v>
      </c>
    </row>
    <row r="1219" spans="1:11" x14ac:dyDescent="0.2">
      <c r="A1219" s="4">
        <v>6218</v>
      </c>
      <c r="B1219" s="4">
        <v>1112</v>
      </c>
      <c r="C1219" s="8">
        <v>46168</v>
      </c>
      <c r="D1219" s="8">
        <v>46176</v>
      </c>
      <c r="E1219" s="10">
        <f t="shared" ref="E1219:E1282" si="19">D1219-C1219</f>
        <v>8</v>
      </c>
      <c r="F1219" s="4" t="s">
        <v>22</v>
      </c>
      <c r="G1219" s="4" t="s">
        <v>11</v>
      </c>
      <c r="H1219" s="4">
        <v>2621</v>
      </c>
      <c r="I1219" s="4" t="str">
        <f>VLOOKUP(B1219,Customers!$A:$D,4,FALSE)</f>
        <v>Premium</v>
      </c>
      <c r="J1219" s="4" t="s">
        <v>37</v>
      </c>
      <c r="K1219" s="4" t="s">
        <v>36</v>
      </c>
    </row>
    <row r="1220" spans="1:11" x14ac:dyDescent="0.2">
      <c r="A1220" s="4">
        <v>6219</v>
      </c>
      <c r="B1220" s="4">
        <v>1183</v>
      </c>
      <c r="C1220" s="8">
        <v>46147</v>
      </c>
      <c r="D1220" s="8">
        <v>46149</v>
      </c>
      <c r="E1220" s="10">
        <f t="shared" si="19"/>
        <v>2</v>
      </c>
      <c r="F1220" s="4" t="s">
        <v>20</v>
      </c>
      <c r="G1220" s="4" t="s">
        <v>11</v>
      </c>
      <c r="H1220" s="4">
        <v>30469</v>
      </c>
      <c r="I1220" s="4" t="str">
        <f>VLOOKUP(B1220,Customers!$A:$D,4,FALSE)</f>
        <v>Regular</v>
      </c>
      <c r="J1220" s="4" t="s">
        <v>37</v>
      </c>
      <c r="K1220" s="4" t="s">
        <v>36</v>
      </c>
    </row>
    <row r="1221" spans="1:11" x14ac:dyDescent="0.2">
      <c r="A1221" s="4">
        <v>6220</v>
      </c>
      <c r="B1221" s="4">
        <v>1055</v>
      </c>
      <c r="C1221" s="8">
        <v>46099</v>
      </c>
      <c r="D1221" s="8">
        <v>46106</v>
      </c>
      <c r="E1221" s="10">
        <f t="shared" si="19"/>
        <v>7</v>
      </c>
      <c r="F1221" s="4" t="s">
        <v>20</v>
      </c>
      <c r="G1221" s="4" t="s">
        <v>14</v>
      </c>
      <c r="H1221" s="4">
        <v>47645</v>
      </c>
      <c r="I1221" s="4" t="str">
        <f>VLOOKUP(B1221,Customers!$A:$D,4,FALSE)</f>
        <v>Regular</v>
      </c>
      <c r="J1221" s="4" t="s">
        <v>35</v>
      </c>
      <c r="K1221" s="4" t="s">
        <v>36</v>
      </c>
    </row>
    <row r="1222" spans="1:11" x14ac:dyDescent="0.2">
      <c r="A1222" s="4">
        <v>6221</v>
      </c>
      <c r="B1222" s="4">
        <v>1005</v>
      </c>
      <c r="C1222" s="8">
        <v>46125</v>
      </c>
      <c r="D1222" s="8">
        <v>46132</v>
      </c>
      <c r="E1222" s="10">
        <f t="shared" si="19"/>
        <v>7</v>
      </c>
      <c r="F1222" s="4" t="s">
        <v>23</v>
      </c>
      <c r="G1222" s="4" t="s">
        <v>15</v>
      </c>
      <c r="H1222" s="4">
        <v>32546</v>
      </c>
      <c r="I1222" s="4" t="str">
        <f>VLOOKUP(B1222,Customers!$A:$D,4,FALSE)</f>
        <v>Regular</v>
      </c>
      <c r="J1222" s="4" t="s">
        <v>35</v>
      </c>
      <c r="K1222" s="4" t="s">
        <v>36</v>
      </c>
    </row>
    <row r="1223" spans="1:11" x14ac:dyDescent="0.2">
      <c r="A1223" s="4">
        <v>6222</v>
      </c>
      <c r="B1223" s="4">
        <v>1264</v>
      </c>
      <c r="C1223" s="8">
        <v>46044</v>
      </c>
      <c r="D1223" s="8">
        <v>46054</v>
      </c>
      <c r="E1223" s="10">
        <f t="shared" si="19"/>
        <v>10</v>
      </c>
      <c r="F1223" s="4" t="s">
        <v>18</v>
      </c>
      <c r="G1223" s="4" t="s">
        <v>15</v>
      </c>
      <c r="H1223" s="4">
        <v>8416</v>
      </c>
      <c r="I1223" s="4" t="str">
        <f>VLOOKUP(B1223,Customers!$A:$D,4,FALSE)</f>
        <v>Premium</v>
      </c>
      <c r="J1223" s="4" t="s">
        <v>37</v>
      </c>
      <c r="K1223" s="4" t="s">
        <v>36</v>
      </c>
    </row>
    <row r="1224" spans="1:11" x14ac:dyDescent="0.2">
      <c r="A1224" s="4">
        <v>6223</v>
      </c>
      <c r="B1224" s="4">
        <v>1129</v>
      </c>
      <c r="C1224" s="8">
        <v>46024</v>
      </c>
      <c r="D1224" s="8">
        <v>46028</v>
      </c>
      <c r="E1224" s="10">
        <f t="shared" si="19"/>
        <v>4</v>
      </c>
      <c r="F1224" s="4" t="s">
        <v>24</v>
      </c>
      <c r="G1224" s="4" t="s">
        <v>15</v>
      </c>
      <c r="H1224" s="4">
        <v>26210</v>
      </c>
      <c r="I1224" s="4" t="str">
        <f>VLOOKUP(B1224,Customers!$A:$D,4,FALSE)</f>
        <v>Premium</v>
      </c>
      <c r="J1224" s="4" t="s">
        <v>37</v>
      </c>
      <c r="K1224" s="4" t="s">
        <v>36</v>
      </c>
    </row>
    <row r="1225" spans="1:11" x14ac:dyDescent="0.2">
      <c r="A1225" s="4">
        <v>6224</v>
      </c>
      <c r="B1225" s="4">
        <v>1220</v>
      </c>
      <c r="C1225" s="8">
        <v>46099</v>
      </c>
      <c r="D1225" s="8">
        <v>46106</v>
      </c>
      <c r="E1225" s="10">
        <f t="shared" si="19"/>
        <v>7</v>
      </c>
      <c r="F1225" s="4" t="s">
        <v>18</v>
      </c>
      <c r="G1225" s="4" t="s">
        <v>11</v>
      </c>
      <c r="H1225" s="4">
        <v>17960</v>
      </c>
      <c r="I1225" s="4" t="str">
        <f>VLOOKUP(B1225,Customers!$A:$D,4,FALSE)</f>
        <v>Premium</v>
      </c>
      <c r="J1225" s="4" t="s">
        <v>35</v>
      </c>
      <c r="K1225" s="4" t="s">
        <v>36</v>
      </c>
    </row>
    <row r="1226" spans="1:11" x14ac:dyDescent="0.2">
      <c r="A1226" s="4">
        <v>6225</v>
      </c>
      <c r="B1226" s="4">
        <v>1083</v>
      </c>
      <c r="C1226" s="8">
        <v>46135</v>
      </c>
      <c r="D1226" s="8">
        <v>46144</v>
      </c>
      <c r="E1226" s="10">
        <f t="shared" si="19"/>
        <v>9</v>
      </c>
      <c r="F1226" s="4" t="s">
        <v>18</v>
      </c>
      <c r="G1226" s="4" t="s">
        <v>14</v>
      </c>
      <c r="H1226" s="4">
        <v>49261</v>
      </c>
      <c r="I1226" s="4" t="str">
        <f>VLOOKUP(B1226,Customers!$A:$D,4,FALSE)</f>
        <v>Premium</v>
      </c>
      <c r="J1226" s="4" t="s">
        <v>37</v>
      </c>
      <c r="K1226" s="4" t="s">
        <v>36</v>
      </c>
    </row>
    <row r="1227" spans="1:11" x14ac:dyDescent="0.2">
      <c r="A1227" s="4">
        <v>6226</v>
      </c>
      <c r="B1227" s="4">
        <v>1102</v>
      </c>
      <c r="C1227" s="8">
        <v>46024</v>
      </c>
      <c r="D1227" s="8">
        <v>46031</v>
      </c>
      <c r="E1227" s="10">
        <f t="shared" si="19"/>
        <v>7</v>
      </c>
      <c r="F1227" s="4" t="s">
        <v>23</v>
      </c>
      <c r="G1227" s="4" t="s">
        <v>13</v>
      </c>
      <c r="H1227" s="4">
        <v>18971</v>
      </c>
      <c r="I1227" s="4" t="str">
        <f>VLOOKUP(B1227,Customers!$A:$D,4,FALSE)</f>
        <v>Premium</v>
      </c>
      <c r="J1227" s="4" t="s">
        <v>35</v>
      </c>
      <c r="K1227" s="4" t="s">
        <v>36</v>
      </c>
    </row>
    <row r="1228" spans="1:11" x14ac:dyDescent="0.2">
      <c r="A1228" s="4">
        <v>6227</v>
      </c>
      <c r="B1228" s="4">
        <v>1216</v>
      </c>
      <c r="C1228" s="8">
        <v>46057</v>
      </c>
      <c r="D1228" s="8">
        <v>46065</v>
      </c>
      <c r="E1228" s="10">
        <f t="shared" si="19"/>
        <v>8</v>
      </c>
      <c r="F1228" s="4" t="s">
        <v>19</v>
      </c>
      <c r="G1228" s="4" t="s">
        <v>12</v>
      </c>
      <c r="H1228" s="4">
        <v>10806</v>
      </c>
      <c r="I1228" s="4" t="str">
        <f>VLOOKUP(B1228,Customers!$A:$D,4,FALSE)</f>
        <v>Premium</v>
      </c>
      <c r="J1228" s="4" t="s">
        <v>35</v>
      </c>
      <c r="K1228" s="4" t="s">
        <v>36</v>
      </c>
    </row>
    <row r="1229" spans="1:11" x14ac:dyDescent="0.2">
      <c r="A1229" s="4">
        <v>6228</v>
      </c>
      <c r="B1229" s="4">
        <v>1061</v>
      </c>
      <c r="C1229" s="8">
        <v>46145</v>
      </c>
      <c r="D1229" s="8">
        <v>46151</v>
      </c>
      <c r="E1229" s="10">
        <f t="shared" si="19"/>
        <v>6</v>
      </c>
      <c r="F1229" s="4" t="s">
        <v>21</v>
      </c>
      <c r="G1229" s="4" t="s">
        <v>15</v>
      </c>
      <c r="H1229" s="4">
        <v>36352</v>
      </c>
      <c r="I1229" s="4" t="str">
        <f>VLOOKUP(B1229,Customers!$A:$D,4,FALSE)</f>
        <v>Regular</v>
      </c>
      <c r="J1229" s="4" t="s">
        <v>37</v>
      </c>
      <c r="K1229" s="4" t="s">
        <v>36</v>
      </c>
    </row>
    <row r="1230" spans="1:11" x14ac:dyDescent="0.2">
      <c r="A1230" s="4">
        <v>6229</v>
      </c>
      <c r="B1230" s="4">
        <v>1205</v>
      </c>
      <c r="C1230" s="8">
        <v>46055</v>
      </c>
      <c r="D1230" s="8">
        <v>46062</v>
      </c>
      <c r="E1230" s="10">
        <f t="shared" si="19"/>
        <v>7</v>
      </c>
      <c r="F1230" s="4" t="s">
        <v>21</v>
      </c>
      <c r="G1230" s="4" t="s">
        <v>13</v>
      </c>
      <c r="H1230" s="4">
        <v>7491</v>
      </c>
      <c r="I1230" s="4" t="str">
        <f>VLOOKUP(B1230,Customers!$A:$D,4,FALSE)</f>
        <v>Regular</v>
      </c>
      <c r="J1230" s="4" t="s">
        <v>35</v>
      </c>
      <c r="K1230" s="4" t="s">
        <v>36</v>
      </c>
    </row>
    <row r="1231" spans="1:11" x14ac:dyDescent="0.2">
      <c r="A1231" s="4">
        <v>6230</v>
      </c>
      <c r="B1231" s="4">
        <v>1080</v>
      </c>
      <c r="C1231" s="8">
        <v>46028</v>
      </c>
      <c r="D1231" s="8">
        <v>46032</v>
      </c>
      <c r="E1231" s="10">
        <f t="shared" si="19"/>
        <v>4</v>
      </c>
      <c r="F1231" s="4" t="s">
        <v>19</v>
      </c>
      <c r="G1231" s="4" t="s">
        <v>11</v>
      </c>
      <c r="H1231" s="4">
        <v>1194</v>
      </c>
      <c r="I1231" s="4" t="str">
        <f>VLOOKUP(B1231,Customers!$A:$D,4,FALSE)</f>
        <v>Premium</v>
      </c>
      <c r="J1231" s="4" t="s">
        <v>35</v>
      </c>
      <c r="K1231" s="4" t="s">
        <v>36</v>
      </c>
    </row>
    <row r="1232" spans="1:11" x14ac:dyDescent="0.2">
      <c r="A1232" s="4">
        <v>6231</v>
      </c>
      <c r="B1232" s="4">
        <v>1220</v>
      </c>
      <c r="C1232" s="8">
        <v>46036</v>
      </c>
      <c r="D1232" s="8">
        <v>46043</v>
      </c>
      <c r="E1232" s="10">
        <f t="shared" si="19"/>
        <v>7</v>
      </c>
      <c r="F1232" s="4" t="s">
        <v>20</v>
      </c>
      <c r="G1232" s="4" t="s">
        <v>15</v>
      </c>
      <c r="H1232" s="4">
        <v>31769</v>
      </c>
      <c r="I1232" s="4" t="str">
        <f>VLOOKUP(B1232,Customers!$A:$D,4,FALSE)</f>
        <v>Premium</v>
      </c>
      <c r="J1232" s="4" t="s">
        <v>37</v>
      </c>
      <c r="K1232" s="4" t="s">
        <v>36</v>
      </c>
    </row>
    <row r="1233" spans="1:11" x14ac:dyDescent="0.2">
      <c r="A1233" s="4">
        <v>6232</v>
      </c>
      <c r="B1233" s="4">
        <v>1043</v>
      </c>
      <c r="C1233" s="8">
        <v>46095</v>
      </c>
      <c r="D1233" s="8">
        <v>46104</v>
      </c>
      <c r="E1233" s="10">
        <f t="shared" si="19"/>
        <v>9</v>
      </c>
      <c r="F1233" s="4" t="s">
        <v>21</v>
      </c>
      <c r="G1233" s="4" t="s">
        <v>13</v>
      </c>
      <c r="H1233" s="4">
        <v>40775</v>
      </c>
      <c r="I1233" s="4" t="str">
        <f>VLOOKUP(B1233,Customers!$A:$D,4,FALSE)</f>
        <v>Regular</v>
      </c>
      <c r="J1233" s="4" t="s">
        <v>35</v>
      </c>
      <c r="K1233" s="4" t="s">
        <v>36</v>
      </c>
    </row>
    <row r="1234" spans="1:11" x14ac:dyDescent="0.2">
      <c r="A1234" s="4">
        <v>6233</v>
      </c>
      <c r="B1234" s="4">
        <v>1128</v>
      </c>
      <c r="C1234" s="8">
        <v>46153</v>
      </c>
      <c r="D1234" s="8">
        <v>46157</v>
      </c>
      <c r="E1234" s="10">
        <f t="shared" si="19"/>
        <v>4</v>
      </c>
      <c r="F1234" s="4" t="s">
        <v>22</v>
      </c>
      <c r="G1234" s="4" t="s">
        <v>12</v>
      </c>
      <c r="H1234" s="4">
        <v>17570</v>
      </c>
      <c r="I1234" s="4" t="str">
        <f>VLOOKUP(B1234,Customers!$A:$D,4,FALSE)</f>
        <v>Premium</v>
      </c>
      <c r="J1234" s="4" t="s">
        <v>35</v>
      </c>
      <c r="K1234" s="4" t="s">
        <v>36</v>
      </c>
    </row>
    <row r="1235" spans="1:11" x14ac:dyDescent="0.2">
      <c r="A1235" s="4">
        <v>6234</v>
      </c>
      <c r="B1235" s="4">
        <v>1243</v>
      </c>
      <c r="C1235" s="8">
        <v>46132</v>
      </c>
      <c r="D1235" s="8">
        <v>46137</v>
      </c>
      <c r="E1235" s="10">
        <f t="shared" si="19"/>
        <v>5</v>
      </c>
      <c r="F1235" s="4" t="s">
        <v>23</v>
      </c>
      <c r="G1235" s="4" t="s">
        <v>11</v>
      </c>
      <c r="H1235" s="4">
        <v>40349</v>
      </c>
      <c r="I1235" s="4" t="str">
        <f>VLOOKUP(B1235,Customers!$A:$D,4,FALSE)</f>
        <v>Regular</v>
      </c>
      <c r="J1235" s="4" t="s">
        <v>35</v>
      </c>
      <c r="K1235" s="4" t="s">
        <v>36</v>
      </c>
    </row>
    <row r="1236" spans="1:11" x14ac:dyDescent="0.2">
      <c r="A1236" s="4">
        <v>6235</v>
      </c>
      <c r="B1236" s="4">
        <v>1118</v>
      </c>
      <c r="C1236" s="8">
        <v>46071</v>
      </c>
      <c r="D1236" s="8">
        <v>46075</v>
      </c>
      <c r="E1236" s="10">
        <f t="shared" si="19"/>
        <v>4</v>
      </c>
      <c r="F1236" s="4" t="s">
        <v>23</v>
      </c>
      <c r="G1236" s="4" t="s">
        <v>13</v>
      </c>
      <c r="H1236" s="4">
        <v>26598</v>
      </c>
      <c r="I1236" s="4" t="str">
        <f>VLOOKUP(B1236,Customers!$A:$D,4,FALSE)</f>
        <v>Premium</v>
      </c>
      <c r="J1236" s="4" t="s">
        <v>35</v>
      </c>
      <c r="K1236" s="4" t="s">
        <v>36</v>
      </c>
    </row>
    <row r="1237" spans="1:11" x14ac:dyDescent="0.2">
      <c r="A1237" s="4">
        <v>6236</v>
      </c>
      <c r="B1237" s="4">
        <v>1075</v>
      </c>
      <c r="C1237" s="8">
        <v>46093</v>
      </c>
      <c r="D1237" s="8">
        <v>46098</v>
      </c>
      <c r="E1237" s="10">
        <f t="shared" si="19"/>
        <v>5</v>
      </c>
      <c r="F1237" s="4" t="s">
        <v>21</v>
      </c>
      <c r="G1237" s="4" t="s">
        <v>12</v>
      </c>
      <c r="H1237" s="4">
        <v>40700</v>
      </c>
      <c r="I1237" s="4" t="str">
        <f>VLOOKUP(B1237,Customers!$A:$D,4,FALSE)</f>
        <v>Premium</v>
      </c>
      <c r="J1237" s="4" t="s">
        <v>35</v>
      </c>
      <c r="K1237" s="4" t="s">
        <v>36</v>
      </c>
    </row>
    <row r="1238" spans="1:11" x14ac:dyDescent="0.2">
      <c r="A1238" s="4">
        <v>6237</v>
      </c>
      <c r="B1238" s="4">
        <v>1195</v>
      </c>
      <c r="C1238" s="8">
        <v>46046</v>
      </c>
      <c r="D1238" s="8">
        <v>46048</v>
      </c>
      <c r="E1238" s="10">
        <f t="shared" si="19"/>
        <v>2</v>
      </c>
      <c r="F1238" s="4" t="s">
        <v>21</v>
      </c>
      <c r="G1238" s="4" t="s">
        <v>11</v>
      </c>
      <c r="H1238" s="4">
        <v>20383</v>
      </c>
      <c r="I1238" s="4" t="str">
        <f>VLOOKUP(B1238,Customers!$A:$D,4,FALSE)</f>
        <v>Premium</v>
      </c>
      <c r="J1238" s="4" t="s">
        <v>35</v>
      </c>
      <c r="K1238" s="4" t="s">
        <v>36</v>
      </c>
    </row>
    <row r="1239" spans="1:11" x14ac:dyDescent="0.2">
      <c r="A1239" s="4">
        <v>6238</v>
      </c>
      <c r="B1239" s="4">
        <v>1219</v>
      </c>
      <c r="C1239" s="8">
        <v>46079</v>
      </c>
      <c r="D1239" s="8">
        <v>46086</v>
      </c>
      <c r="E1239" s="10">
        <f t="shared" si="19"/>
        <v>7</v>
      </c>
      <c r="F1239" s="4" t="s">
        <v>25</v>
      </c>
      <c r="G1239" s="4" t="s">
        <v>12</v>
      </c>
      <c r="H1239" s="4">
        <v>33714</v>
      </c>
      <c r="I1239" s="4" t="str">
        <f>VLOOKUP(B1239,Customers!$A:$D,4,FALSE)</f>
        <v>Premium</v>
      </c>
      <c r="J1239" s="4" t="s">
        <v>37</v>
      </c>
      <c r="K1239" s="4" t="s">
        <v>36</v>
      </c>
    </row>
    <row r="1240" spans="1:11" x14ac:dyDescent="0.2">
      <c r="A1240" s="4">
        <v>6239</v>
      </c>
      <c r="B1240" s="4">
        <v>1057</v>
      </c>
      <c r="C1240" s="8">
        <v>46036</v>
      </c>
      <c r="D1240" s="8">
        <v>46042</v>
      </c>
      <c r="E1240" s="10">
        <f t="shared" si="19"/>
        <v>6</v>
      </c>
      <c r="F1240" s="4" t="s">
        <v>22</v>
      </c>
      <c r="G1240" s="4" t="s">
        <v>14</v>
      </c>
      <c r="H1240" s="4">
        <v>18686</v>
      </c>
      <c r="I1240" s="4" t="str">
        <f>VLOOKUP(B1240,Customers!$A:$D,4,FALSE)</f>
        <v>Regular</v>
      </c>
      <c r="J1240" s="4" t="s">
        <v>37</v>
      </c>
      <c r="K1240" s="4" t="s">
        <v>36</v>
      </c>
    </row>
    <row r="1241" spans="1:11" x14ac:dyDescent="0.2">
      <c r="A1241" s="4">
        <v>6240</v>
      </c>
      <c r="B1241" s="4">
        <v>1164</v>
      </c>
      <c r="C1241" s="8">
        <v>46130</v>
      </c>
      <c r="D1241" s="8">
        <v>46135</v>
      </c>
      <c r="E1241" s="10">
        <f t="shared" si="19"/>
        <v>5</v>
      </c>
      <c r="F1241" s="4" t="s">
        <v>20</v>
      </c>
      <c r="G1241" s="4" t="s">
        <v>13</v>
      </c>
      <c r="H1241" s="4">
        <v>2979</v>
      </c>
      <c r="I1241" s="4" t="str">
        <f>VLOOKUP(B1241,Customers!$A:$D,4,FALSE)</f>
        <v>Premium</v>
      </c>
      <c r="J1241" s="4" t="s">
        <v>35</v>
      </c>
      <c r="K1241" s="4" t="s">
        <v>36</v>
      </c>
    </row>
    <row r="1242" spans="1:11" x14ac:dyDescent="0.2">
      <c r="A1242" s="4">
        <v>6241</v>
      </c>
      <c r="B1242" s="4">
        <v>1109</v>
      </c>
      <c r="C1242" s="8">
        <v>46036</v>
      </c>
      <c r="D1242" s="8">
        <v>46043</v>
      </c>
      <c r="E1242" s="10">
        <f t="shared" si="19"/>
        <v>7</v>
      </c>
      <c r="F1242" s="4" t="s">
        <v>22</v>
      </c>
      <c r="G1242" s="4" t="s">
        <v>15</v>
      </c>
      <c r="H1242" s="4">
        <v>18660</v>
      </c>
      <c r="I1242" s="4" t="str">
        <f>VLOOKUP(B1242,Customers!$A:$D,4,FALSE)</f>
        <v>Premium</v>
      </c>
      <c r="J1242" s="4" t="s">
        <v>35</v>
      </c>
      <c r="K1242" s="4" t="s">
        <v>36</v>
      </c>
    </row>
    <row r="1243" spans="1:11" x14ac:dyDescent="0.2">
      <c r="A1243" s="4">
        <v>6242</v>
      </c>
      <c r="B1243" s="4">
        <v>1130</v>
      </c>
      <c r="C1243" s="8">
        <v>46133</v>
      </c>
      <c r="D1243" s="8">
        <v>46137</v>
      </c>
      <c r="E1243" s="10">
        <f t="shared" si="19"/>
        <v>4</v>
      </c>
      <c r="F1243" s="4" t="s">
        <v>25</v>
      </c>
      <c r="G1243" s="4" t="s">
        <v>14</v>
      </c>
      <c r="H1243" s="4">
        <v>22207</v>
      </c>
      <c r="I1243" s="4" t="str">
        <f>VLOOKUP(B1243,Customers!$A:$D,4,FALSE)</f>
        <v>Premium</v>
      </c>
      <c r="J1243" s="4" t="s">
        <v>37</v>
      </c>
      <c r="K1243" s="4" t="s">
        <v>36</v>
      </c>
    </row>
    <row r="1244" spans="1:11" x14ac:dyDescent="0.2">
      <c r="A1244" s="4">
        <v>6243</v>
      </c>
      <c r="B1244" s="4">
        <v>1007</v>
      </c>
      <c r="C1244" s="8">
        <v>46051</v>
      </c>
      <c r="D1244" s="8">
        <v>46054</v>
      </c>
      <c r="E1244" s="10">
        <f t="shared" si="19"/>
        <v>3</v>
      </c>
      <c r="F1244" s="4" t="s">
        <v>18</v>
      </c>
      <c r="G1244" s="4" t="s">
        <v>14</v>
      </c>
      <c r="H1244" s="4">
        <v>23930</v>
      </c>
      <c r="I1244" s="4" t="str">
        <f>VLOOKUP(B1244,Customers!$A:$D,4,FALSE)</f>
        <v>Regular</v>
      </c>
      <c r="J1244" s="4" t="s">
        <v>37</v>
      </c>
      <c r="K1244" s="4" t="s">
        <v>36</v>
      </c>
    </row>
    <row r="1245" spans="1:11" x14ac:dyDescent="0.2">
      <c r="A1245" s="4">
        <v>6244</v>
      </c>
      <c r="B1245" s="4">
        <v>1191</v>
      </c>
      <c r="C1245" s="8">
        <v>46173</v>
      </c>
      <c r="D1245" s="8">
        <v>46183</v>
      </c>
      <c r="E1245" s="10">
        <f t="shared" si="19"/>
        <v>10</v>
      </c>
      <c r="F1245" s="4" t="s">
        <v>24</v>
      </c>
      <c r="G1245" s="4" t="s">
        <v>14</v>
      </c>
      <c r="H1245" s="4">
        <v>14064</v>
      </c>
      <c r="I1245" s="4" t="str">
        <f>VLOOKUP(B1245,Customers!$A:$D,4,FALSE)</f>
        <v>Regular</v>
      </c>
      <c r="J1245" s="4" t="s">
        <v>37</v>
      </c>
      <c r="K1245" s="4" t="s">
        <v>36</v>
      </c>
    </row>
    <row r="1246" spans="1:11" x14ac:dyDescent="0.2">
      <c r="A1246" s="4">
        <v>6245</v>
      </c>
      <c r="B1246" s="4">
        <v>1067</v>
      </c>
      <c r="C1246" s="8">
        <v>46045</v>
      </c>
      <c r="D1246" s="8">
        <v>46048</v>
      </c>
      <c r="E1246" s="10">
        <f t="shared" si="19"/>
        <v>3</v>
      </c>
      <c r="F1246" s="4" t="s">
        <v>23</v>
      </c>
      <c r="G1246" s="4" t="s">
        <v>12</v>
      </c>
      <c r="H1246" s="4">
        <v>38740</v>
      </c>
      <c r="I1246" s="4" t="str">
        <f>VLOOKUP(B1246,Customers!$A:$D,4,FALSE)</f>
        <v>Regular</v>
      </c>
      <c r="J1246" s="4" t="s">
        <v>35</v>
      </c>
      <c r="K1246" s="4" t="s">
        <v>36</v>
      </c>
    </row>
    <row r="1247" spans="1:11" x14ac:dyDescent="0.2">
      <c r="A1247" s="4">
        <v>6246</v>
      </c>
      <c r="B1247" s="4">
        <v>1051</v>
      </c>
      <c r="C1247" s="8">
        <v>46072</v>
      </c>
      <c r="D1247" s="8">
        <v>46081</v>
      </c>
      <c r="E1247" s="10">
        <f t="shared" si="19"/>
        <v>9</v>
      </c>
      <c r="F1247" s="4" t="s">
        <v>23</v>
      </c>
      <c r="G1247" s="4" t="s">
        <v>11</v>
      </c>
      <c r="H1247" s="4">
        <v>40867</v>
      </c>
      <c r="I1247" s="4" t="str">
        <f>VLOOKUP(B1247,Customers!$A:$D,4,FALSE)</f>
        <v>Premium</v>
      </c>
      <c r="J1247" s="4" t="s">
        <v>37</v>
      </c>
      <c r="K1247" s="4" t="s">
        <v>36</v>
      </c>
    </row>
    <row r="1248" spans="1:11" x14ac:dyDescent="0.2">
      <c r="A1248" s="4">
        <v>6247</v>
      </c>
      <c r="B1248" s="4">
        <v>1104</v>
      </c>
      <c r="C1248" s="8">
        <v>46100</v>
      </c>
      <c r="D1248" s="8">
        <v>46109</v>
      </c>
      <c r="E1248" s="10">
        <f t="shared" si="19"/>
        <v>9</v>
      </c>
      <c r="F1248" s="4" t="s">
        <v>18</v>
      </c>
      <c r="G1248" s="4" t="s">
        <v>12</v>
      </c>
      <c r="H1248" s="4">
        <v>8677</v>
      </c>
      <c r="I1248" s="4" t="str">
        <f>VLOOKUP(B1248,Customers!$A:$D,4,FALSE)</f>
        <v>Regular</v>
      </c>
      <c r="J1248" s="4" t="s">
        <v>35</v>
      </c>
      <c r="K1248" s="4" t="s">
        <v>36</v>
      </c>
    </row>
    <row r="1249" spans="1:11" x14ac:dyDescent="0.2">
      <c r="A1249" s="4">
        <v>6248</v>
      </c>
      <c r="B1249" s="4">
        <v>1130</v>
      </c>
      <c r="C1249" s="8">
        <v>46130</v>
      </c>
      <c r="D1249" s="8">
        <v>46140</v>
      </c>
      <c r="E1249" s="10">
        <f t="shared" si="19"/>
        <v>10</v>
      </c>
      <c r="F1249" s="4" t="s">
        <v>19</v>
      </c>
      <c r="G1249" s="4" t="s">
        <v>14</v>
      </c>
      <c r="H1249" s="4">
        <v>29691</v>
      </c>
      <c r="I1249" s="4" t="str">
        <f>VLOOKUP(B1249,Customers!$A:$D,4,FALSE)</f>
        <v>Premium</v>
      </c>
      <c r="J1249" s="4" t="s">
        <v>35</v>
      </c>
      <c r="K1249" s="4" t="s">
        <v>36</v>
      </c>
    </row>
    <row r="1250" spans="1:11" x14ac:dyDescent="0.2">
      <c r="A1250" s="4">
        <v>6249</v>
      </c>
      <c r="B1250" s="4">
        <v>1248</v>
      </c>
      <c r="C1250" s="8">
        <v>46134</v>
      </c>
      <c r="D1250" s="8">
        <v>46137</v>
      </c>
      <c r="E1250" s="10">
        <f t="shared" si="19"/>
        <v>3</v>
      </c>
      <c r="F1250" s="4" t="s">
        <v>21</v>
      </c>
      <c r="G1250" s="4" t="s">
        <v>11</v>
      </c>
      <c r="H1250" s="4">
        <v>33321</v>
      </c>
      <c r="I1250" s="4" t="str">
        <f>VLOOKUP(B1250,Customers!$A:$D,4,FALSE)</f>
        <v>Regular</v>
      </c>
      <c r="J1250" s="4" t="s">
        <v>35</v>
      </c>
      <c r="K1250" s="4" t="s">
        <v>36</v>
      </c>
    </row>
    <row r="1251" spans="1:11" x14ac:dyDescent="0.2">
      <c r="A1251" s="4">
        <v>6250</v>
      </c>
      <c r="B1251" s="4">
        <v>1067</v>
      </c>
      <c r="C1251" s="8">
        <v>46065</v>
      </c>
      <c r="D1251" s="8">
        <v>46071</v>
      </c>
      <c r="E1251" s="10">
        <f t="shared" si="19"/>
        <v>6</v>
      </c>
      <c r="F1251" s="4" t="s">
        <v>22</v>
      </c>
      <c r="G1251" s="4" t="s">
        <v>12</v>
      </c>
      <c r="H1251" s="4">
        <v>37404</v>
      </c>
      <c r="I1251" s="4" t="str">
        <f>VLOOKUP(B1251,Customers!$A:$D,4,FALSE)</f>
        <v>Regular</v>
      </c>
      <c r="J1251" s="4" t="s">
        <v>35</v>
      </c>
      <c r="K1251" s="4" t="s">
        <v>36</v>
      </c>
    </row>
    <row r="1252" spans="1:11" x14ac:dyDescent="0.2">
      <c r="A1252" s="4">
        <v>6251</v>
      </c>
      <c r="B1252" s="4">
        <v>1254</v>
      </c>
      <c r="C1252" s="8">
        <v>46071</v>
      </c>
      <c r="D1252" s="8">
        <v>46079</v>
      </c>
      <c r="E1252" s="10">
        <f t="shared" si="19"/>
        <v>8</v>
      </c>
      <c r="F1252" s="4" t="s">
        <v>23</v>
      </c>
      <c r="G1252" s="4" t="s">
        <v>13</v>
      </c>
      <c r="H1252" s="4">
        <v>28988</v>
      </c>
      <c r="I1252" s="4" t="str">
        <f>VLOOKUP(B1252,Customers!$A:$D,4,FALSE)</f>
        <v>Premium</v>
      </c>
      <c r="J1252" s="4" t="s">
        <v>37</v>
      </c>
      <c r="K1252" s="4" t="s">
        <v>36</v>
      </c>
    </row>
    <row r="1253" spans="1:11" x14ac:dyDescent="0.2">
      <c r="A1253" s="4">
        <v>6252</v>
      </c>
      <c r="B1253" s="4">
        <v>1206</v>
      </c>
      <c r="C1253" s="8">
        <v>46166</v>
      </c>
      <c r="D1253" s="8">
        <v>46174</v>
      </c>
      <c r="E1253" s="10">
        <f t="shared" si="19"/>
        <v>8</v>
      </c>
      <c r="F1253" s="4" t="s">
        <v>22</v>
      </c>
      <c r="G1253" s="4" t="s">
        <v>13</v>
      </c>
      <c r="H1253" s="4">
        <v>12362</v>
      </c>
      <c r="I1253" s="4" t="str">
        <f>VLOOKUP(B1253,Customers!$A:$D,4,FALSE)</f>
        <v>Regular</v>
      </c>
      <c r="J1253" s="4" t="s">
        <v>35</v>
      </c>
      <c r="K1253" s="4" t="s">
        <v>36</v>
      </c>
    </row>
    <row r="1254" spans="1:11" x14ac:dyDescent="0.2">
      <c r="A1254" s="4">
        <v>6253</v>
      </c>
      <c r="B1254" s="4">
        <v>1005</v>
      </c>
      <c r="C1254" s="8">
        <v>46063</v>
      </c>
      <c r="D1254" s="8">
        <v>46068</v>
      </c>
      <c r="E1254" s="10">
        <f t="shared" si="19"/>
        <v>5</v>
      </c>
      <c r="F1254" s="4" t="s">
        <v>25</v>
      </c>
      <c r="G1254" s="4" t="s">
        <v>11</v>
      </c>
      <c r="H1254" s="4">
        <v>46683</v>
      </c>
      <c r="I1254" s="4" t="str">
        <f>VLOOKUP(B1254,Customers!$A:$D,4,FALSE)</f>
        <v>Regular</v>
      </c>
      <c r="J1254" s="4" t="s">
        <v>37</v>
      </c>
      <c r="K1254" s="4" t="s">
        <v>36</v>
      </c>
    </row>
    <row r="1255" spans="1:11" x14ac:dyDescent="0.2">
      <c r="A1255" s="4">
        <v>6254</v>
      </c>
      <c r="B1255" s="4">
        <v>1152</v>
      </c>
      <c r="C1255" s="8">
        <v>46100</v>
      </c>
      <c r="D1255" s="8">
        <v>46105</v>
      </c>
      <c r="E1255" s="10">
        <f t="shared" si="19"/>
        <v>5</v>
      </c>
      <c r="F1255" s="4" t="s">
        <v>22</v>
      </c>
      <c r="G1255" s="4" t="s">
        <v>11</v>
      </c>
      <c r="H1255" s="4">
        <v>8105</v>
      </c>
      <c r="I1255" s="4" t="str">
        <f>VLOOKUP(B1255,Customers!$A:$D,4,FALSE)</f>
        <v>Regular</v>
      </c>
      <c r="J1255" s="4" t="s">
        <v>35</v>
      </c>
      <c r="K1255" s="4" t="s">
        <v>36</v>
      </c>
    </row>
    <row r="1256" spans="1:11" x14ac:dyDescent="0.2">
      <c r="A1256" s="4">
        <v>6255</v>
      </c>
      <c r="B1256" s="4">
        <v>1274</v>
      </c>
      <c r="C1256" s="8">
        <v>46080</v>
      </c>
      <c r="D1256" s="8">
        <v>46082</v>
      </c>
      <c r="E1256" s="10">
        <f t="shared" si="19"/>
        <v>2</v>
      </c>
      <c r="F1256" s="4" t="s">
        <v>24</v>
      </c>
      <c r="G1256" s="4" t="s">
        <v>14</v>
      </c>
      <c r="H1256" s="4">
        <v>2861</v>
      </c>
      <c r="I1256" s="4" t="str">
        <f>VLOOKUP(B1256,Customers!$A:$D,4,FALSE)</f>
        <v>Regular</v>
      </c>
      <c r="J1256" s="4" t="s">
        <v>35</v>
      </c>
      <c r="K1256" s="4" t="s">
        <v>36</v>
      </c>
    </row>
    <row r="1257" spans="1:11" x14ac:dyDescent="0.2">
      <c r="A1257" s="4">
        <v>6256</v>
      </c>
      <c r="B1257" s="4">
        <v>1139</v>
      </c>
      <c r="C1257" s="8">
        <v>46094</v>
      </c>
      <c r="D1257" s="8">
        <v>46098</v>
      </c>
      <c r="E1257" s="10">
        <f t="shared" si="19"/>
        <v>4</v>
      </c>
      <c r="F1257" s="4" t="s">
        <v>20</v>
      </c>
      <c r="G1257" s="4" t="s">
        <v>13</v>
      </c>
      <c r="H1257" s="4">
        <v>14060</v>
      </c>
      <c r="I1257" s="4" t="str">
        <f>VLOOKUP(B1257,Customers!$A:$D,4,FALSE)</f>
        <v>Premium</v>
      </c>
      <c r="J1257" s="4" t="s">
        <v>35</v>
      </c>
      <c r="K1257" s="4" t="s">
        <v>36</v>
      </c>
    </row>
    <row r="1258" spans="1:11" x14ac:dyDescent="0.2">
      <c r="A1258" s="4">
        <v>6257</v>
      </c>
      <c r="B1258" s="4">
        <v>1189</v>
      </c>
      <c r="C1258" s="8">
        <v>46023</v>
      </c>
      <c r="D1258" s="8">
        <v>46030</v>
      </c>
      <c r="E1258" s="10">
        <f t="shared" si="19"/>
        <v>7</v>
      </c>
      <c r="F1258" s="4" t="s">
        <v>19</v>
      </c>
      <c r="G1258" s="4" t="s">
        <v>12</v>
      </c>
      <c r="H1258" s="4">
        <v>46533</v>
      </c>
      <c r="I1258" s="4" t="str">
        <f>VLOOKUP(B1258,Customers!$A:$D,4,FALSE)</f>
        <v>Regular</v>
      </c>
      <c r="J1258" s="4" t="s">
        <v>37</v>
      </c>
      <c r="K1258" s="4" t="s">
        <v>36</v>
      </c>
    </row>
    <row r="1259" spans="1:11" x14ac:dyDescent="0.2">
      <c r="A1259" s="4">
        <v>6258</v>
      </c>
      <c r="B1259" s="4">
        <v>1151</v>
      </c>
      <c r="C1259" s="8">
        <v>46057</v>
      </c>
      <c r="D1259" s="8">
        <v>46065</v>
      </c>
      <c r="E1259" s="10">
        <f t="shared" si="19"/>
        <v>8</v>
      </c>
      <c r="F1259" s="4" t="s">
        <v>19</v>
      </c>
      <c r="G1259" s="4" t="s">
        <v>12</v>
      </c>
      <c r="H1259" s="4">
        <v>41322</v>
      </c>
      <c r="I1259" s="4" t="str">
        <f>VLOOKUP(B1259,Customers!$A:$D,4,FALSE)</f>
        <v>Regular</v>
      </c>
      <c r="J1259" s="4" t="s">
        <v>35</v>
      </c>
      <c r="K1259" s="4" t="s">
        <v>36</v>
      </c>
    </row>
    <row r="1260" spans="1:11" x14ac:dyDescent="0.2">
      <c r="A1260" s="4">
        <v>6259</v>
      </c>
      <c r="B1260" s="4">
        <v>1144</v>
      </c>
      <c r="C1260" s="8">
        <v>46114</v>
      </c>
      <c r="D1260" s="8">
        <v>46119</v>
      </c>
      <c r="E1260" s="10">
        <f t="shared" si="19"/>
        <v>5</v>
      </c>
      <c r="F1260" s="4" t="s">
        <v>18</v>
      </c>
      <c r="G1260" s="4" t="s">
        <v>14</v>
      </c>
      <c r="H1260" s="4">
        <v>1324</v>
      </c>
      <c r="I1260" s="4" t="str">
        <f>VLOOKUP(B1260,Customers!$A:$D,4,FALSE)</f>
        <v>Premium</v>
      </c>
      <c r="J1260" s="4" t="s">
        <v>35</v>
      </c>
      <c r="K1260" s="4" t="s">
        <v>36</v>
      </c>
    </row>
    <row r="1261" spans="1:11" x14ac:dyDescent="0.2">
      <c r="A1261" s="4">
        <v>6260</v>
      </c>
      <c r="B1261" s="4">
        <v>1283</v>
      </c>
      <c r="C1261" s="8">
        <v>46120</v>
      </c>
      <c r="D1261" s="8">
        <v>46126</v>
      </c>
      <c r="E1261" s="10">
        <f t="shared" si="19"/>
        <v>6</v>
      </c>
      <c r="F1261" s="4" t="s">
        <v>24</v>
      </c>
      <c r="G1261" s="4" t="s">
        <v>15</v>
      </c>
      <c r="H1261" s="4">
        <v>14759</v>
      </c>
      <c r="I1261" s="4" t="str">
        <f>VLOOKUP(B1261,Customers!$A:$D,4,FALSE)</f>
        <v>Premium</v>
      </c>
      <c r="J1261" s="4" t="s">
        <v>37</v>
      </c>
      <c r="K1261" s="4" t="s">
        <v>36</v>
      </c>
    </row>
    <row r="1262" spans="1:11" x14ac:dyDescent="0.2">
      <c r="A1262" s="4">
        <v>6261</v>
      </c>
      <c r="B1262" s="4">
        <v>1298</v>
      </c>
      <c r="C1262" s="8">
        <v>46091</v>
      </c>
      <c r="D1262" s="8">
        <v>46096</v>
      </c>
      <c r="E1262" s="10">
        <f t="shared" si="19"/>
        <v>5</v>
      </c>
      <c r="F1262" s="4" t="s">
        <v>21</v>
      </c>
      <c r="G1262" s="4" t="s">
        <v>13</v>
      </c>
      <c r="H1262" s="4">
        <v>29532</v>
      </c>
      <c r="I1262" s="4" t="str">
        <f>VLOOKUP(B1262,Customers!$A:$D,4,FALSE)</f>
        <v>Regular</v>
      </c>
      <c r="J1262" s="4" t="s">
        <v>35</v>
      </c>
      <c r="K1262" s="4" t="s">
        <v>36</v>
      </c>
    </row>
    <row r="1263" spans="1:11" x14ac:dyDescent="0.2">
      <c r="A1263" s="4">
        <v>6262</v>
      </c>
      <c r="B1263" s="4">
        <v>1076</v>
      </c>
      <c r="C1263" s="8">
        <v>46134</v>
      </c>
      <c r="D1263" s="8">
        <v>46141</v>
      </c>
      <c r="E1263" s="10">
        <f t="shared" si="19"/>
        <v>7</v>
      </c>
      <c r="F1263" s="4" t="s">
        <v>25</v>
      </c>
      <c r="G1263" s="4" t="s">
        <v>12</v>
      </c>
      <c r="H1263" s="4">
        <v>32803</v>
      </c>
      <c r="I1263" s="4" t="str">
        <f>VLOOKUP(B1263,Customers!$A:$D,4,FALSE)</f>
        <v>Regular</v>
      </c>
      <c r="J1263" s="4" t="s">
        <v>35</v>
      </c>
      <c r="K1263" s="4" t="s">
        <v>36</v>
      </c>
    </row>
    <row r="1264" spans="1:11" x14ac:dyDescent="0.2">
      <c r="A1264" s="4">
        <v>6263</v>
      </c>
      <c r="B1264" s="4">
        <v>1091</v>
      </c>
      <c r="C1264" s="8">
        <v>46140</v>
      </c>
      <c r="D1264" s="8">
        <v>46144</v>
      </c>
      <c r="E1264" s="10">
        <f t="shared" si="19"/>
        <v>4</v>
      </c>
      <c r="F1264" s="4" t="s">
        <v>24</v>
      </c>
      <c r="G1264" s="4" t="s">
        <v>11</v>
      </c>
      <c r="H1264" s="4">
        <v>32446</v>
      </c>
      <c r="I1264" s="4" t="str">
        <f>VLOOKUP(B1264,Customers!$A:$D,4,FALSE)</f>
        <v>Premium</v>
      </c>
      <c r="J1264" s="4" t="s">
        <v>35</v>
      </c>
      <c r="K1264" s="4" t="s">
        <v>36</v>
      </c>
    </row>
    <row r="1265" spans="1:11" x14ac:dyDescent="0.2">
      <c r="A1265" s="4">
        <v>6264</v>
      </c>
      <c r="B1265" s="4">
        <v>1159</v>
      </c>
      <c r="C1265" s="8">
        <v>46095</v>
      </c>
      <c r="D1265" s="8">
        <v>46097</v>
      </c>
      <c r="E1265" s="10">
        <f t="shared" si="19"/>
        <v>2</v>
      </c>
      <c r="F1265" s="4" t="s">
        <v>18</v>
      </c>
      <c r="G1265" s="4" t="s">
        <v>13</v>
      </c>
      <c r="H1265" s="4">
        <v>26134</v>
      </c>
      <c r="I1265" s="4" t="str">
        <f>VLOOKUP(B1265,Customers!$A:$D,4,FALSE)</f>
        <v>Regular</v>
      </c>
      <c r="J1265" s="4" t="s">
        <v>35</v>
      </c>
      <c r="K1265" s="4" t="s">
        <v>36</v>
      </c>
    </row>
    <row r="1266" spans="1:11" x14ac:dyDescent="0.2">
      <c r="A1266" s="4">
        <v>6265</v>
      </c>
      <c r="B1266" s="4">
        <v>1037</v>
      </c>
      <c r="C1266" s="8">
        <v>46040</v>
      </c>
      <c r="D1266" s="8">
        <v>46044</v>
      </c>
      <c r="E1266" s="10">
        <f t="shared" si="19"/>
        <v>4</v>
      </c>
      <c r="F1266" s="4" t="s">
        <v>21</v>
      </c>
      <c r="G1266" s="4" t="s">
        <v>13</v>
      </c>
      <c r="H1266" s="4">
        <v>30120</v>
      </c>
      <c r="I1266" s="4" t="str">
        <f>VLOOKUP(B1266,Customers!$A:$D,4,FALSE)</f>
        <v>Premium</v>
      </c>
      <c r="J1266" s="4" t="s">
        <v>37</v>
      </c>
      <c r="K1266" s="4" t="s">
        <v>36</v>
      </c>
    </row>
    <row r="1267" spans="1:11" x14ac:dyDescent="0.2">
      <c r="A1267" s="4">
        <v>6266</v>
      </c>
      <c r="B1267" s="4">
        <v>1071</v>
      </c>
      <c r="C1267" s="8">
        <v>46048</v>
      </c>
      <c r="D1267" s="8">
        <v>46058</v>
      </c>
      <c r="E1267" s="10">
        <f t="shared" si="19"/>
        <v>10</v>
      </c>
      <c r="F1267" s="4" t="s">
        <v>20</v>
      </c>
      <c r="G1267" s="4" t="s">
        <v>11</v>
      </c>
      <c r="H1267" s="4">
        <v>6835</v>
      </c>
      <c r="I1267" s="4" t="str">
        <f>VLOOKUP(B1267,Customers!$A:$D,4,FALSE)</f>
        <v>Regular</v>
      </c>
      <c r="J1267" s="4" t="s">
        <v>37</v>
      </c>
      <c r="K1267" s="4" t="s">
        <v>36</v>
      </c>
    </row>
    <row r="1268" spans="1:11" x14ac:dyDescent="0.2">
      <c r="A1268" s="4">
        <v>6267</v>
      </c>
      <c r="B1268" s="4">
        <v>1057</v>
      </c>
      <c r="C1268" s="8">
        <v>46121</v>
      </c>
      <c r="D1268" s="8">
        <v>46123</v>
      </c>
      <c r="E1268" s="10">
        <f t="shared" si="19"/>
        <v>2</v>
      </c>
      <c r="F1268" s="4" t="s">
        <v>20</v>
      </c>
      <c r="G1268" s="4" t="s">
        <v>12</v>
      </c>
      <c r="H1268" s="4">
        <v>8962</v>
      </c>
      <c r="I1268" s="4" t="str">
        <f>VLOOKUP(B1268,Customers!$A:$D,4,FALSE)</f>
        <v>Regular</v>
      </c>
      <c r="J1268" s="4" t="s">
        <v>35</v>
      </c>
      <c r="K1268" s="4" t="s">
        <v>36</v>
      </c>
    </row>
    <row r="1269" spans="1:11" x14ac:dyDescent="0.2">
      <c r="A1269" s="4">
        <v>6268</v>
      </c>
      <c r="B1269" s="4">
        <v>1074</v>
      </c>
      <c r="C1269" s="8">
        <v>46044</v>
      </c>
      <c r="D1269" s="8">
        <v>46050</v>
      </c>
      <c r="E1269" s="10">
        <f t="shared" si="19"/>
        <v>6</v>
      </c>
      <c r="F1269" s="4" t="s">
        <v>20</v>
      </c>
      <c r="G1269" s="4" t="s">
        <v>12</v>
      </c>
      <c r="H1269" s="4">
        <v>7269</v>
      </c>
      <c r="I1269" s="4" t="str">
        <f>VLOOKUP(B1269,Customers!$A:$D,4,FALSE)</f>
        <v>Regular</v>
      </c>
      <c r="J1269" s="4" t="s">
        <v>37</v>
      </c>
      <c r="K1269" s="4" t="s">
        <v>36</v>
      </c>
    </row>
    <row r="1270" spans="1:11" x14ac:dyDescent="0.2">
      <c r="A1270" s="4">
        <v>6269</v>
      </c>
      <c r="B1270" s="4">
        <v>1072</v>
      </c>
      <c r="C1270" s="8">
        <v>46044</v>
      </c>
      <c r="D1270" s="8">
        <v>46049</v>
      </c>
      <c r="E1270" s="10">
        <f t="shared" si="19"/>
        <v>5</v>
      </c>
      <c r="F1270" s="4" t="s">
        <v>25</v>
      </c>
      <c r="G1270" s="4" t="s">
        <v>11</v>
      </c>
      <c r="H1270" s="4">
        <v>29419</v>
      </c>
      <c r="I1270" s="4" t="str">
        <f>VLOOKUP(B1270,Customers!$A:$D,4,FALSE)</f>
        <v>Regular</v>
      </c>
      <c r="J1270" s="4" t="s">
        <v>35</v>
      </c>
      <c r="K1270" s="4" t="s">
        <v>36</v>
      </c>
    </row>
    <row r="1271" spans="1:11" x14ac:dyDescent="0.2">
      <c r="A1271" s="4">
        <v>6270</v>
      </c>
      <c r="B1271" s="4">
        <v>1246</v>
      </c>
      <c r="C1271" s="8">
        <v>46101</v>
      </c>
      <c r="D1271" s="8">
        <v>46108</v>
      </c>
      <c r="E1271" s="10">
        <f t="shared" si="19"/>
        <v>7</v>
      </c>
      <c r="F1271" s="4" t="s">
        <v>18</v>
      </c>
      <c r="G1271" s="4" t="s">
        <v>13</v>
      </c>
      <c r="H1271" s="4">
        <v>3961</v>
      </c>
      <c r="I1271" s="4" t="str">
        <f>VLOOKUP(B1271,Customers!$A:$D,4,FALSE)</f>
        <v>Premium</v>
      </c>
      <c r="J1271" s="4" t="s">
        <v>37</v>
      </c>
      <c r="K1271" s="4" t="s">
        <v>36</v>
      </c>
    </row>
    <row r="1272" spans="1:11" x14ac:dyDescent="0.2">
      <c r="A1272" s="4">
        <v>6271</v>
      </c>
      <c r="B1272" s="4">
        <v>1011</v>
      </c>
      <c r="C1272" s="8">
        <v>46162</v>
      </c>
      <c r="D1272" s="8">
        <v>46165</v>
      </c>
      <c r="E1272" s="10">
        <f t="shared" si="19"/>
        <v>3</v>
      </c>
      <c r="F1272" s="4" t="s">
        <v>20</v>
      </c>
      <c r="G1272" s="4" t="s">
        <v>12</v>
      </c>
      <c r="H1272" s="4">
        <v>35993</v>
      </c>
      <c r="I1272" s="4" t="str">
        <f>VLOOKUP(B1272,Customers!$A:$D,4,FALSE)</f>
        <v>Regular</v>
      </c>
      <c r="J1272" s="4" t="s">
        <v>37</v>
      </c>
      <c r="K1272" s="4" t="s">
        <v>36</v>
      </c>
    </row>
    <row r="1273" spans="1:11" x14ac:dyDescent="0.2">
      <c r="A1273" s="4">
        <v>6272</v>
      </c>
      <c r="B1273" s="4">
        <v>1213</v>
      </c>
      <c r="C1273" s="8">
        <v>46049</v>
      </c>
      <c r="D1273" s="8">
        <v>46059</v>
      </c>
      <c r="E1273" s="10">
        <f t="shared" si="19"/>
        <v>10</v>
      </c>
      <c r="F1273" s="4" t="s">
        <v>18</v>
      </c>
      <c r="G1273" s="4" t="s">
        <v>12</v>
      </c>
      <c r="H1273" s="4">
        <v>15000</v>
      </c>
      <c r="I1273" s="4" t="str">
        <f>VLOOKUP(B1273,Customers!$A:$D,4,FALSE)</f>
        <v>Premium</v>
      </c>
      <c r="J1273" s="4" t="s">
        <v>35</v>
      </c>
      <c r="K1273" s="4" t="s">
        <v>36</v>
      </c>
    </row>
    <row r="1274" spans="1:11" x14ac:dyDescent="0.2">
      <c r="A1274" s="4">
        <v>6273</v>
      </c>
      <c r="B1274" s="4">
        <v>1198</v>
      </c>
      <c r="C1274" s="8">
        <v>46081</v>
      </c>
      <c r="D1274" s="8">
        <v>46089</v>
      </c>
      <c r="E1274" s="10">
        <f t="shared" si="19"/>
        <v>8</v>
      </c>
      <c r="F1274" s="4" t="s">
        <v>18</v>
      </c>
      <c r="G1274" s="4" t="s">
        <v>14</v>
      </c>
      <c r="H1274" s="4">
        <v>43249</v>
      </c>
      <c r="I1274" s="4" t="str">
        <f>VLOOKUP(B1274,Customers!$A:$D,4,FALSE)</f>
        <v>Premium</v>
      </c>
      <c r="J1274" s="4" t="s">
        <v>37</v>
      </c>
      <c r="K1274" s="4" t="s">
        <v>36</v>
      </c>
    </row>
    <row r="1275" spans="1:11" x14ac:dyDescent="0.2">
      <c r="A1275" s="4">
        <v>6274</v>
      </c>
      <c r="B1275" s="4">
        <v>1058</v>
      </c>
      <c r="C1275" s="8">
        <v>46080</v>
      </c>
      <c r="D1275" s="8">
        <v>46088</v>
      </c>
      <c r="E1275" s="10">
        <f t="shared" si="19"/>
        <v>8</v>
      </c>
      <c r="F1275" s="4" t="s">
        <v>25</v>
      </c>
      <c r="G1275" s="4" t="s">
        <v>13</v>
      </c>
      <c r="H1275" s="4">
        <v>7517</v>
      </c>
      <c r="I1275" s="4" t="str">
        <f>VLOOKUP(B1275,Customers!$A:$D,4,FALSE)</f>
        <v>Regular</v>
      </c>
      <c r="J1275" s="4" t="s">
        <v>35</v>
      </c>
      <c r="K1275" s="4" t="s">
        <v>36</v>
      </c>
    </row>
    <row r="1276" spans="1:11" x14ac:dyDescent="0.2">
      <c r="A1276" s="4">
        <v>6275</v>
      </c>
      <c r="B1276" s="4">
        <v>1183</v>
      </c>
      <c r="C1276" s="8">
        <v>46049</v>
      </c>
      <c r="D1276" s="8">
        <v>46055</v>
      </c>
      <c r="E1276" s="10">
        <f t="shared" si="19"/>
        <v>6</v>
      </c>
      <c r="F1276" s="4" t="s">
        <v>23</v>
      </c>
      <c r="G1276" s="4" t="s">
        <v>11</v>
      </c>
      <c r="H1276" s="4">
        <v>22170</v>
      </c>
      <c r="I1276" s="4" t="str">
        <f>VLOOKUP(B1276,Customers!$A:$D,4,FALSE)</f>
        <v>Regular</v>
      </c>
      <c r="J1276" s="4" t="s">
        <v>35</v>
      </c>
      <c r="K1276" s="4" t="s">
        <v>36</v>
      </c>
    </row>
    <row r="1277" spans="1:11" x14ac:dyDescent="0.2">
      <c r="A1277" s="4">
        <v>6276</v>
      </c>
      <c r="B1277" s="4">
        <v>1023</v>
      </c>
      <c r="C1277" s="8">
        <v>46115</v>
      </c>
      <c r="D1277" s="8">
        <v>46118</v>
      </c>
      <c r="E1277" s="10">
        <f t="shared" si="19"/>
        <v>3</v>
      </c>
      <c r="F1277" s="4" t="s">
        <v>18</v>
      </c>
      <c r="G1277" s="4" t="s">
        <v>13</v>
      </c>
      <c r="H1277" s="4">
        <v>28390</v>
      </c>
      <c r="I1277" s="4" t="str">
        <f>VLOOKUP(B1277,Customers!$A:$D,4,FALSE)</f>
        <v>Regular</v>
      </c>
      <c r="J1277" s="4" t="s">
        <v>37</v>
      </c>
      <c r="K1277" s="4" t="s">
        <v>36</v>
      </c>
    </row>
    <row r="1278" spans="1:11" x14ac:dyDescent="0.2">
      <c r="A1278" s="4">
        <v>6277</v>
      </c>
      <c r="B1278" s="4">
        <v>1077</v>
      </c>
      <c r="C1278" s="8">
        <v>46069</v>
      </c>
      <c r="D1278" s="8">
        <v>46077</v>
      </c>
      <c r="E1278" s="10">
        <f t="shared" si="19"/>
        <v>8</v>
      </c>
      <c r="F1278" s="4" t="s">
        <v>22</v>
      </c>
      <c r="G1278" s="4" t="s">
        <v>11</v>
      </c>
      <c r="H1278" s="4">
        <v>19109</v>
      </c>
      <c r="I1278" s="4" t="str">
        <f>VLOOKUP(B1278,Customers!$A:$D,4,FALSE)</f>
        <v>Regular</v>
      </c>
      <c r="J1278" s="4" t="s">
        <v>37</v>
      </c>
      <c r="K1278" s="4" t="s">
        <v>36</v>
      </c>
    </row>
    <row r="1279" spans="1:11" x14ac:dyDescent="0.2">
      <c r="A1279" s="4">
        <v>6278</v>
      </c>
      <c r="B1279" s="4">
        <v>1256</v>
      </c>
      <c r="C1279" s="8">
        <v>46049</v>
      </c>
      <c r="D1279" s="8">
        <v>46055</v>
      </c>
      <c r="E1279" s="10">
        <f t="shared" si="19"/>
        <v>6</v>
      </c>
      <c r="F1279" s="4" t="s">
        <v>19</v>
      </c>
      <c r="G1279" s="4" t="s">
        <v>14</v>
      </c>
      <c r="H1279" s="4">
        <v>46916</v>
      </c>
      <c r="I1279" s="4" t="str">
        <f>VLOOKUP(B1279,Customers!$A:$D,4,FALSE)</f>
        <v>Premium</v>
      </c>
      <c r="J1279" s="4" t="s">
        <v>35</v>
      </c>
      <c r="K1279" s="4" t="s">
        <v>36</v>
      </c>
    </row>
    <row r="1280" spans="1:11" x14ac:dyDescent="0.2">
      <c r="A1280" s="4">
        <v>6279</v>
      </c>
      <c r="B1280" s="4">
        <v>1076</v>
      </c>
      <c r="C1280" s="8">
        <v>46023</v>
      </c>
      <c r="D1280" s="8">
        <v>46027</v>
      </c>
      <c r="E1280" s="10">
        <f t="shared" si="19"/>
        <v>4</v>
      </c>
      <c r="F1280" s="4" t="s">
        <v>19</v>
      </c>
      <c r="G1280" s="4" t="s">
        <v>13</v>
      </c>
      <c r="H1280" s="4">
        <v>25898</v>
      </c>
      <c r="I1280" s="4" t="str">
        <f>VLOOKUP(B1280,Customers!$A:$D,4,FALSE)</f>
        <v>Regular</v>
      </c>
      <c r="J1280" s="4" t="s">
        <v>37</v>
      </c>
      <c r="K1280" s="4" t="s">
        <v>36</v>
      </c>
    </row>
    <row r="1281" spans="1:11" x14ac:dyDescent="0.2">
      <c r="A1281" s="4">
        <v>6280</v>
      </c>
      <c r="B1281" s="4">
        <v>1058</v>
      </c>
      <c r="C1281" s="8">
        <v>46145</v>
      </c>
      <c r="D1281" s="8">
        <v>46148</v>
      </c>
      <c r="E1281" s="10">
        <f t="shared" si="19"/>
        <v>3</v>
      </c>
      <c r="F1281" s="4" t="s">
        <v>21</v>
      </c>
      <c r="G1281" s="4" t="s">
        <v>14</v>
      </c>
      <c r="H1281" s="4">
        <v>9780</v>
      </c>
      <c r="I1281" s="4" t="str">
        <f>VLOOKUP(B1281,Customers!$A:$D,4,FALSE)</f>
        <v>Regular</v>
      </c>
      <c r="J1281" s="4" t="s">
        <v>35</v>
      </c>
      <c r="K1281" s="4" t="s">
        <v>36</v>
      </c>
    </row>
    <row r="1282" spans="1:11" x14ac:dyDescent="0.2">
      <c r="A1282" s="4">
        <v>6281</v>
      </c>
      <c r="B1282" s="4">
        <v>1094</v>
      </c>
      <c r="C1282" s="8">
        <v>46105</v>
      </c>
      <c r="D1282" s="8">
        <v>46109</v>
      </c>
      <c r="E1282" s="10">
        <f t="shared" si="19"/>
        <v>4</v>
      </c>
      <c r="F1282" s="4" t="s">
        <v>21</v>
      </c>
      <c r="G1282" s="4" t="s">
        <v>14</v>
      </c>
      <c r="H1282" s="4">
        <v>21226</v>
      </c>
      <c r="I1282" s="4" t="str">
        <f>VLOOKUP(B1282,Customers!$A:$D,4,FALSE)</f>
        <v>Premium</v>
      </c>
      <c r="J1282" s="4" t="s">
        <v>37</v>
      </c>
      <c r="K1282" s="4" t="s">
        <v>36</v>
      </c>
    </row>
    <row r="1283" spans="1:11" x14ac:dyDescent="0.2">
      <c r="A1283" s="4">
        <v>6282</v>
      </c>
      <c r="B1283" s="4">
        <v>1212</v>
      </c>
      <c r="C1283" s="8">
        <v>46131</v>
      </c>
      <c r="D1283" s="8">
        <v>46140</v>
      </c>
      <c r="E1283" s="10">
        <f t="shared" ref="E1283:E1346" si="20">D1283-C1283</f>
        <v>9</v>
      </c>
      <c r="F1283" s="4" t="s">
        <v>19</v>
      </c>
      <c r="G1283" s="4" t="s">
        <v>13</v>
      </c>
      <c r="H1283" s="4">
        <v>43157</v>
      </c>
      <c r="I1283" s="4" t="str">
        <f>VLOOKUP(B1283,Customers!$A:$D,4,FALSE)</f>
        <v>Premium</v>
      </c>
      <c r="J1283" s="4" t="s">
        <v>35</v>
      </c>
      <c r="K1283" s="4" t="s">
        <v>36</v>
      </c>
    </row>
    <row r="1284" spans="1:11" x14ac:dyDescent="0.2">
      <c r="A1284" s="4">
        <v>6283</v>
      </c>
      <c r="B1284" s="4">
        <v>1282</v>
      </c>
      <c r="C1284" s="8">
        <v>46121</v>
      </c>
      <c r="D1284" s="8">
        <v>46129</v>
      </c>
      <c r="E1284" s="10">
        <f t="shared" si="20"/>
        <v>8</v>
      </c>
      <c r="F1284" s="4" t="s">
        <v>25</v>
      </c>
      <c r="G1284" s="4" t="s">
        <v>11</v>
      </c>
      <c r="H1284" s="4">
        <v>35281</v>
      </c>
      <c r="I1284" s="4" t="str">
        <f>VLOOKUP(B1284,Customers!$A:$D,4,FALSE)</f>
        <v>Regular</v>
      </c>
      <c r="J1284" s="4" t="s">
        <v>37</v>
      </c>
      <c r="K1284" s="4" t="s">
        <v>36</v>
      </c>
    </row>
    <row r="1285" spans="1:11" x14ac:dyDescent="0.2">
      <c r="A1285" s="4">
        <v>6284</v>
      </c>
      <c r="B1285" s="4">
        <v>1118</v>
      </c>
      <c r="C1285" s="8">
        <v>46159</v>
      </c>
      <c r="D1285" s="8">
        <v>46169</v>
      </c>
      <c r="E1285" s="10">
        <f t="shared" si="20"/>
        <v>10</v>
      </c>
      <c r="F1285" s="4" t="s">
        <v>21</v>
      </c>
      <c r="G1285" s="4" t="s">
        <v>12</v>
      </c>
      <c r="H1285" s="4">
        <v>38374</v>
      </c>
      <c r="I1285" s="4" t="str">
        <f>VLOOKUP(B1285,Customers!$A:$D,4,FALSE)</f>
        <v>Premium</v>
      </c>
      <c r="J1285" s="4" t="s">
        <v>37</v>
      </c>
      <c r="K1285" s="4" t="s">
        <v>36</v>
      </c>
    </row>
    <row r="1286" spans="1:11" x14ac:dyDescent="0.2">
      <c r="A1286" s="4">
        <v>6285</v>
      </c>
      <c r="B1286" s="4">
        <v>1045</v>
      </c>
      <c r="C1286" s="8">
        <v>46157</v>
      </c>
      <c r="D1286" s="8">
        <v>46162</v>
      </c>
      <c r="E1286" s="10">
        <f t="shared" si="20"/>
        <v>5</v>
      </c>
      <c r="F1286" s="4" t="s">
        <v>24</v>
      </c>
      <c r="G1286" s="4" t="s">
        <v>14</v>
      </c>
      <c r="H1286" s="4">
        <v>487</v>
      </c>
      <c r="I1286" s="4" t="str">
        <f>VLOOKUP(B1286,Customers!$A:$D,4,FALSE)</f>
        <v>Premium</v>
      </c>
      <c r="J1286" s="4" t="s">
        <v>35</v>
      </c>
      <c r="K1286" s="4" t="s">
        <v>36</v>
      </c>
    </row>
    <row r="1287" spans="1:11" x14ac:dyDescent="0.2">
      <c r="A1287" s="4">
        <v>6286</v>
      </c>
      <c r="B1287" s="4">
        <v>1286</v>
      </c>
      <c r="C1287" s="8">
        <v>46027</v>
      </c>
      <c r="D1287" s="8">
        <v>46034</v>
      </c>
      <c r="E1287" s="10">
        <f t="shared" si="20"/>
        <v>7</v>
      </c>
      <c r="F1287" s="4" t="s">
        <v>25</v>
      </c>
      <c r="G1287" s="4" t="s">
        <v>13</v>
      </c>
      <c r="H1287" s="4">
        <v>7519</v>
      </c>
      <c r="I1287" s="4" t="str">
        <f>VLOOKUP(B1287,Customers!$A:$D,4,FALSE)</f>
        <v>Premium</v>
      </c>
      <c r="J1287" s="4" t="s">
        <v>35</v>
      </c>
      <c r="K1287" s="4" t="s">
        <v>36</v>
      </c>
    </row>
    <row r="1288" spans="1:11" x14ac:dyDescent="0.2">
      <c r="A1288" s="4">
        <v>6287</v>
      </c>
      <c r="B1288" s="4">
        <v>1072</v>
      </c>
      <c r="C1288" s="8">
        <v>46112</v>
      </c>
      <c r="D1288" s="8">
        <v>46119</v>
      </c>
      <c r="E1288" s="10">
        <f t="shared" si="20"/>
        <v>7</v>
      </c>
      <c r="F1288" s="4" t="s">
        <v>22</v>
      </c>
      <c r="G1288" s="4" t="s">
        <v>15</v>
      </c>
      <c r="H1288" s="4">
        <v>9746</v>
      </c>
      <c r="I1288" s="4" t="str">
        <f>VLOOKUP(B1288,Customers!$A:$D,4,FALSE)</f>
        <v>Regular</v>
      </c>
      <c r="J1288" s="4" t="s">
        <v>37</v>
      </c>
      <c r="K1288" s="4" t="s">
        <v>36</v>
      </c>
    </row>
    <row r="1289" spans="1:11" x14ac:dyDescent="0.2">
      <c r="A1289" s="4">
        <v>6288</v>
      </c>
      <c r="B1289" s="4">
        <v>1115</v>
      </c>
      <c r="C1289" s="8">
        <v>46085</v>
      </c>
      <c r="D1289" s="8">
        <v>46090</v>
      </c>
      <c r="E1289" s="10">
        <f t="shared" si="20"/>
        <v>5</v>
      </c>
      <c r="F1289" s="4" t="s">
        <v>20</v>
      </c>
      <c r="G1289" s="4" t="s">
        <v>13</v>
      </c>
      <c r="H1289" s="4">
        <v>7983</v>
      </c>
      <c r="I1289" s="4" t="str">
        <f>VLOOKUP(B1289,Customers!$A:$D,4,FALSE)</f>
        <v>Premium</v>
      </c>
      <c r="J1289" s="4" t="s">
        <v>35</v>
      </c>
      <c r="K1289" s="4" t="s">
        <v>36</v>
      </c>
    </row>
    <row r="1290" spans="1:11" x14ac:dyDescent="0.2">
      <c r="A1290" s="4">
        <v>6289</v>
      </c>
      <c r="B1290" s="4">
        <v>1218</v>
      </c>
      <c r="C1290" s="8">
        <v>46119</v>
      </c>
      <c r="D1290" s="8">
        <v>46121</v>
      </c>
      <c r="E1290" s="10">
        <f t="shared" si="20"/>
        <v>2</v>
      </c>
      <c r="F1290" s="4" t="s">
        <v>19</v>
      </c>
      <c r="G1290" s="4" t="s">
        <v>12</v>
      </c>
      <c r="H1290" s="4">
        <v>46267</v>
      </c>
      <c r="I1290" s="4" t="str">
        <f>VLOOKUP(B1290,Customers!$A:$D,4,FALSE)</f>
        <v>Premium</v>
      </c>
      <c r="J1290" s="4" t="s">
        <v>35</v>
      </c>
      <c r="K1290" s="4" t="s">
        <v>36</v>
      </c>
    </row>
    <row r="1291" spans="1:11" x14ac:dyDescent="0.2">
      <c r="A1291" s="4">
        <v>6290</v>
      </c>
      <c r="B1291" s="4">
        <v>1245</v>
      </c>
      <c r="C1291" s="8">
        <v>46171</v>
      </c>
      <c r="D1291" s="8">
        <v>46174</v>
      </c>
      <c r="E1291" s="10">
        <f t="shared" si="20"/>
        <v>3</v>
      </c>
      <c r="F1291" s="4" t="s">
        <v>18</v>
      </c>
      <c r="G1291" s="4" t="s">
        <v>12</v>
      </c>
      <c r="H1291" s="4">
        <v>9926</v>
      </c>
      <c r="I1291" s="4" t="str">
        <f>VLOOKUP(B1291,Customers!$A:$D,4,FALSE)</f>
        <v>Premium</v>
      </c>
      <c r="J1291" s="4" t="s">
        <v>37</v>
      </c>
      <c r="K1291" s="4" t="s">
        <v>36</v>
      </c>
    </row>
    <row r="1292" spans="1:11" x14ac:dyDescent="0.2">
      <c r="A1292" s="4">
        <v>6291</v>
      </c>
      <c r="B1292" s="4">
        <v>1126</v>
      </c>
      <c r="C1292" s="8">
        <v>46059</v>
      </c>
      <c r="D1292" s="8">
        <v>46062</v>
      </c>
      <c r="E1292" s="10">
        <f t="shared" si="20"/>
        <v>3</v>
      </c>
      <c r="F1292" s="4" t="s">
        <v>23</v>
      </c>
      <c r="G1292" s="4" t="s">
        <v>12</v>
      </c>
      <c r="H1292" s="4">
        <v>37601</v>
      </c>
      <c r="I1292" s="4" t="str">
        <f>VLOOKUP(B1292,Customers!$A:$D,4,FALSE)</f>
        <v>Premium</v>
      </c>
      <c r="J1292" s="4" t="s">
        <v>37</v>
      </c>
      <c r="K1292" s="4" t="s">
        <v>36</v>
      </c>
    </row>
    <row r="1293" spans="1:11" x14ac:dyDescent="0.2">
      <c r="A1293" s="4">
        <v>6292</v>
      </c>
      <c r="B1293" s="4">
        <v>1241</v>
      </c>
      <c r="C1293" s="8">
        <v>46061</v>
      </c>
      <c r="D1293" s="8">
        <v>46065</v>
      </c>
      <c r="E1293" s="10">
        <f t="shared" si="20"/>
        <v>4</v>
      </c>
      <c r="F1293" s="4" t="s">
        <v>18</v>
      </c>
      <c r="G1293" s="4" t="s">
        <v>11</v>
      </c>
      <c r="H1293" s="4">
        <v>46081</v>
      </c>
      <c r="I1293" s="4" t="str">
        <f>VLOOKUP(B1293,Customers!$A:$D,4,FALSE)</f>
        <v>Premium</v>
      </c>
      <c r="J1293" s="4" t="s">
        <v>37</v>
      </c>
      <c r="K1293" s="4" t="s">
        <v>36</v>
      </c>
    </row>
    <row r="1294" spans="1:11" x14ac:dyDescent="0.2">
      <c r="A1294" s="4">
        <v>6293</v>
      </c>
      <c r="B1294" s="4">
        <v>1173</v>
      </c>
      <c r="C1294" s="8">
        <v>46143</v>
      </c>
      <c r="D1294" s="8">
        <v>46151</v>
      </c>
      <c r="E1294" s="10">
        <f t="shared" si="20"/>
        <v>8</v>
      </c>
      <c r="F1294" s="4" t="s">
        <v>25</v>
      </c>
      <c r="G1294" s="4" t="s">
        <v>12</v>
      </c>
      <c r="H1294" s="4">
        <v>19093</v>
      </c>
      <c r="I1294" s="4" t="str">
        <f>VLOOKUP(B1294,Customers!$A:$D,4,FALSE)</f>
        <v>Regular</v>
      </c>
      <c r="J1294" s="4" t="s">
        <v>35</v>
      </c>
      <c r="K1294" s="4" t="s">
        <v>36</v>
      </c>
    </row>
    <row r="1295" spans="1:11" x14ac:dyDescent="0.2">
      <c r="A1295" s="4">
        <v>6294</v>
      </c>
      <c r="B1295" s="4">
        <v>1017</v>
      </c>
      <c r="C1295" s="8">
        <v>46062</v>
      </c>
      <c r="D1295" s="8">
        <v>46064</v>
      </c>
      <c r="E1295" s="10">
        <f t="shared" si="20"/>
        <v>2</v>
      </c>
      <c r="F1295" s="4" t="s">
        <v>18</v>
      </c>
      <c r="G1295" s="4" t="s">
        <v>11</v>
      </c>
      <c r="H1295" s="4">
        <v>10808</v>
      </c>
      <c r="I1295" s="4" t="str">
        <f>VLOOKUP(B1295,Customers!$A:$D,4,FALSE)</f>
        <v>Regular</v>
      </c>
      <c r="J1295" s="4" t="s">
        <v>35</v>
      </c>
      <c r="K1295" s="4" t="s">
        <v>36</v>
      </c>
    </row>
    <row r="1296" spans="1:11" x14ac:dyDescent="0.2">
      <c r="A1296" s="4">
        <v>6295</v>
      </c>
      <c r="B1296" s="4">
        <v>1233</v>
      </c>
      <c r="C1296" s="8">
        <v>46124</v>
      </c>
      <c r="D1296" s="8">
        <v>46132</v>
      </c>
      <c r="E1296" s="10">
        <f t="shared" si="20"/>
        <v>8</v>
      </c>
      <c r="F1296" s="4" t="s">
        <v>22</v>
      </c>
      <c r="G1296" s="4" t="s">
        <v>11</v>
      </c>
      <c r="H1296" s="4">
        <v>33190</v>
      </c>
      <c r="I1296" s="4" t="str">
        <f>VLOOKUP(B1296,Customers!$A:$D,4,FALSE)</f>
        <v>Regular</v>
      </c>
      <c r="J1296" s="4" t="s">
        <v>37</v>
      </c>
      <c r="K1296" s="4" t="s">
        <v>36</v>
      </c>
    </row>
    <row r="1297" spans="1:11" x14ac:dyDescent="0.2">
      <c r="A1297" s="4">
        <v>6296</v>
      </c>
      <c r="B1297" s="4">
        <v>1081</v>
      </c>
      <c r="C1297" s="8">
        <v>46081</v>
      </c>
      <c r="D1297" s="8">
        <v>46089</v>
      </c>
      <c r="E1297" s="10">
        <f t="shared" si="20"/>
        <v>8</v>
      </c>
      <c r="F1297" s="4" t="s">
        <v>22</v>
      </c>
      <c r="G1297" s="4" t="s">
        <v>12</v>
      </c>
      <c r="H1297" s="4">
        <v>34477</v>
      </c>
      <c r="I1297" s="4" t="str">
        <f>VLOOKUP(B1297,Customers!$A:$D,4,FALSE)</f>
        <v>Premium</v>
      </c>
      <c r="J1297" s="4" t="s">
        <v>37</v>
      </c>
      <c r="K1297" s="4" t="s">
        <v>36</v>
      </c>
    </row>
    <row r="1298" spans="1:11" x14ac:dyDescent="0.2">
      <c r="A1298" s="4">
        <v>6297</v>
      </c>
      <c r="B1298" s="4">
        <v>1206</v>
      </c>
      <c r="C1298" s="8">
        <v>46055</v>
      </c>
      <c r="D1298" s="8">
        <v>46060</v>
      </c>
      <c r="E1298" s="10">
        <f t="shared" si="20"/>
        <v>5</v>
      </c>
      <c r="F1298" s="4" t="s">
        <v>20</v>
      </c>
      <c r="G1298" s="4" t="s">
        <v>13</v>
      </c>
      <c r="H1298" s="4">
        <v>26009</v>
      </c>
      <c r="I1298" s="4" t="str">
        <f>VLOOKUP(B1298,Customers!$A:$D,4,FALSE)</f>
        <v>Regular</v>
      </c>
      <c r="J1298" s="4" t="s">
        <v>35</v>
      </c>
      <c r="K1298" s="4" t="s">
        <v>36</v>
      </c>
    </row>
    <row r="1299" spans="1:11" x14ac:dyDescent="0.2">
      <c r="A1299" s="4">
        <v>6298</v>
      </c>
      <c r="B1299" s="4">
        <v>1240</v>
      </c>
      <c r="C1299" s="8">
        <v>46166</v>
      </c>
      <c r="D1299" s="8">
        <v>46169</v>
      </c>
      <c r="E1299" s="10">
        <f t="shared" si="20"/>
        <v>3</v>
      </c>
      <c r="F1299" s="4" t="s">
        <v>25</v>
      </c>
      <c r="G1299" s="4" t="s">
        <v>14</v>
      </c>
      <c r="H1299" s="4">
        <v>43075</v>
      </c>
      <c r="I1299" s="4" t="str">
        <f>VLOOKUP(B1299,Customers!$A:$D,4,FALSE)</f>
        <v>Regular</v>
      </c>
      <c r="J1299" s="4" t="s">
        <v>37</v>
      </c>
      <c r="K1299" s="4" t="s">
        <v>36</v>
      </c>
    </row>
    <row r="1300" spans="1:11" x14ac:dyDescent="0.2">
      <c r="A1300" s="4">
        <v>6299</v>
      </c>
      <c r="B1300" s="4">
        <v>1028</v>
      </c>
      <c r="C1300" s="8">
        <v>46120</v>
      </c>
      <c r="D1300" s="8">
        <v>46124</v>
      </c>
      <c r="E1300" s="10">
        <f t="shared" si="20"/>
        <v>4</v>
      </c>
      <c r="F1300" s="4" t="s">
        <v>19</v>
      </c>
      <c r="G1300" s="4" t="s">
        <v>15</v>
      </c>
      <c r="H1300" s="4">
        <v>13061</v>
      </c>
      <c r="I1300" s="4" t="str">
        <f>VLOOKUP(B1300,Customers!$A:$D,4,FALSE)</f>
        <v>Regular</v>
      </c>
      <c r="J1300" s="4" t="s">
        <v>37</v>
      </c>
      <c r="K1300" s="4" t="s">
        <v>36</v>
      </c>
    </row>
    <row r="1301" spans="1:11" x14ac:dyDescent="0.2">
      <c r="A1301" s="4">
        <v>6300</v>
      </c>
      <c r="B1301" s="4">
        <v>1040</v>
      </c>
      <c r="C1301" s="8">
        <v>46050</v>
      </c>
      <c r="D1301" s="8">
        <v>46053</v>
      </c>
      <c r="E1301" s="10">
        <f t="shared" si="20"/>
        <v>3</v>
      </c>
      <c r="F1301" s="4" t="s">
        <v>19</v>
      </c>
      <c r="G1301" s="4" t="s">
        <v>11</v>
      </c>
      <c r="H1301" s="4">
        <v>22285</v>
      </c>
      <c r="I1301" s="4" t="str">
        <f>VLOOKUP(B1301,Customers!$A:$D,4,FALSE)</f>
        <v>Premium</v>
      </c>
      <c r="J1301" s="4" t="s">
        <v>35</v>
      </c>
      <c r="K1301" s="4" t="s">
        <v>36</v>
      </c>
    </row>
    <row r="1302" spans="1:11" x14ac:dyDescent="0.2">
      <c r="A1302" s="4">
        <v>6301</v>
      </c>
      <c r="B1302" s="4">
        <v>1084</v>
      </c>
      <c r="C1302" s="8">
        <v>46084</v>
      </c>
      <c r="D1302" s="8">
        <v>46090</v>
      </c>
      <c r="E1302" s="10">
        <f t="shared" si="20"/>
        <v>6</v>
      </c>
      <c r="F1302" s="4" t="s">
        <v>23</v>
      </c>
      <c r="G1302" s="4" t="s">
        <v>12</v>
      </c>
      <c r="H1302" s="4">
        <v>14187</v>
      </c>
      <c r="I1302" s="4" t="str">
        <f>VLOOKUP(B1302,Customers!$A:$D,4,FALSE)</f>
        <v>Premium</v>
      </c>
      <c r="J1302" s="4" t="s">
        <v>35</v>
      </c>
      <c r="K1302" s="4" t="s">
        <v>36</v>
      </c>
    </row>
    <row r="1303" spans="1:11" x14ac:dyDescent="0.2">
      <c r="A1303" s="4">
        <v>6302</v>
      </c>
      <c r="B1303" s="4">
        <v>1283</v>
      </c>
      <c r="C1303" s="8">
        <v>46102</v>
      </c>
      <c r="D1303" s="8">
        <v>46107</v>
      </c>
      <c r="E1303" s="10">
        <f t="shared" si="20"/>
        <v>5</v>
      </c>
      <c r="F1303" s="4" t="s">
        <v>24</v>
      </c>
      <c r="G1303" s="4" t="s">
        <v>12</v>
      </c>
      <c r="H1303" s="4">
        <v>16050</v>
      </c>
      <c r="I1303" s="4" t="str">
        <f>VLOOKUP(B1303,Customers!$A:$D,4,FALSE)</f>
        <v>Premium</v>
      </c>
      <c r="J1303" s="4" t="s">
        <v>37</v>
      </c>
      <c r="K1303" s="4" t="s">
        <v>36</v>
      </c>
    </row>
    <row r="1304" spans="1:11" x14ac:dyDescent="0.2">
      <c r="A1304" s="4">
        <v>6303</v>
      </c>
      <c r="B1304" s="4">
        <v>1289</v>
      </c>
      <c r="C1304" s="8">
        <v>46044</v>
      </c>
      <c r="D1304" s="8">
        <v>46046</v>
      </c>
      <c r="E1304" s="10">
        <f t="shared" si="20"/>
        <v>2</v>
      </c>
      <c r="F1304" s="4" t="s">
        <v>25</v>
      </c>
      <c r="G1304" s="4" t="s">
        <v>12</v>
      </c>
      <c r="H1304" s="4">
        <v>3448</v>
      </c>
      <c r="I1304" s="4" t="str">
        <f>VLOOKUP(B1304,Customers!$A:$D,4,FALSE)</f>
        <v>Regular</v>
      </c>
      <c r="J1304" s="4" t="s">
        <v>37</v>
      </c>
      <c r="K1304" s="4" t="s">
        <v>36</v>
      </c>
    </row>
    <row r="1305" spans="1:11" x14ac:dyDescent="0.2">
      <c r="A1305" s="4">
        <v>6304</v>
      </c>
      <c r="B1305" s="4">
        <v>1005</v>
      </c>
      <c r="C1305" s="8">
        <v>46046</v>
      </c>
      <c r="D1305" s="8">
        <v>46052</v>
      </c>
      <c r="E1305" s="10">
        <f t="shared" si="20"/>
        <v>6</v>
      </c>
      <c r="F1305" s="4" t="s">
        <v>19</v>
      </c>
      <c r="G1305" s="4" t="s">
        <v>14</v>
      </c>
      <c r="H1305" s="4">
        <v>26392</v>
      </c>
      <c r="I1305" s="4" t="str">
        <f>VLOOKUP(B1305,Customers!$A:$D,4,FALSE)</f>
        <v>Regular</v>
      </c>
      <c r="J1305" s="4" t="s">
        <v>35</v>
      </c>
      <c r="K1305" s="4" t="s">
        <v>36</v>
      </c>
    </row>
    <row r="1306" spans="1:11" x14ac:dyDescent="0.2">
      <c r="A1306" s="4">
        <v>6305</v>
      </c>
      <c r="B1306" s="4">
        <v>1183</v>
      </c>
      <c r="C1306" s="8">
        <v>46103</v>
      </c>
      <c r="D1306" s="8">
        <v>46111</v>
      </c>
      <c r="E1306" s="10">
        <f t="shared" si="20"/>
        <v>8</v>
      </c>
      <c r="F1306" s="4" t="s">
        <v>18</v>
      </c>
      <c r="G1306" s="4" t="s">
        <v>12</v>
      </c>
      <c r="H1306" s="4">
        <v>22013</v>
      </c>
      <c r="I1306" s="4" t="str">
        <f>VLOOKUP(B1306,Customers!$A:$D,4,FALSE)</f>
        <v>Regular</v>
      </c>
      <c r="J1306" s="4" t="s">
        <v>37</v>
      </c>
      <c r="K1306" s="4" t="s">
        <v>36</v>
      </c>
    </row>
    <row r="1307" spans="1:11" x14ac:dyDescent="0.2">
      <c r="A1307" s="4">
        <v>6306</v>
      </c>
      <c r="B1307" s="4">
        <v>1258</v>
      </c>
      <c r="C1307" s="8">
        <v>46151</v>
      </c>
      <c r="D1307" s="8">
        <v>46154</v>
      </c>
      <c r="E1307" s="10">
        <f t="shared" si="20"/>
        <v>3</v>
      </c>
      <c r="F1307" s="4" t="s">
        <v>18</v>
      </c>
      <c r="G1307" s="4" t="s">
        <v>12</v>
      </c>
      <c r="H1307" s="4">
        <v>38781</v>
      </c>
      <c r="I1307" s="4" t="str">
        <f>VLOOKUP(B1307,Customers!$A:$D,4,FALSE)</f>
        <v>Regular</v>
      </c>
      <c r="J1307" s="4" t="s">
        <v>37</v>
      </c>
      <c r="K1307" s="4" t="s">
        <v>36</v>
      </c>
    </row>
    <row r="1308" spans="1:11" x14ac:dyDescent="0.2">
      <c r="A1308" s="4">
        <v>6307</v>
      </c>
      <c r="B1308" s="4">
        <v>1149</v>
      </c>
      <c r="C1308" s="8">
        <v>46145</v>
      </c>
      <c r="D1308" s="8">
        <v>46147</v>
      </c>
      <c r="E1308" s="10">
        <f t="shared" si="20"/>
        <v>2</v>
      </c>
      <c r="F1308" s="4" t="s">
        <v>18</v>
      </c>
      <c r="G1308" s="4" t="s">
        <v>13</v>
      </c>
      <c r="H1308" s="4">
        <v>45020</v>
      </c>
      <c r="I1308" s="4" t="str">
        <f>VLOOKUP(B1308,Customers!$A:$D,4,FALSE)</f>
        <v>Premium</v>
      </c>
      <c r="J1308" s="4" t="s">
        <v>37</v>
      </c>
      <c r="K1308" s="4" t="s">
        <v>36</v>
      </c>
    </row>
    <row r="1309" spans="1:11" x14ac:dyDescent="0.2">
      <c r="A1309" s="4">
        <v>6308</v>
      </c>
      <c r="B1309" s="4">
        <v>1119</v>
      </c>
      <c r="C1309" s="8">
        <v>46043</v>
      </c>
      <c r="D1309" s="8">
        <v>46046</v>
      </c>
      <c r="E1309" s="10">
        <f t="shared" si="20"/>
        <v>3</v>
      </c>
      <c r="F1309" s="4" t="s">
        <v>24</v>
      </c>
      <c r="G1309" s="4" t="s">
        <v>13</v>
      </c>
      <c r="H1309" s="4">
        <v>47391</v>
      </c>
      <c r="I1309" s="4" t="str">
        <f>VLOOKUP(B1309,Customers!$A:$D,4,FALSE)</f>
        <v>Premium</v>
      </c>
      <c r="J1309" s="4" t="s">
        <v>35</v>
      </c>
      <c r="K1309" s="4" t="s">
        <v>36</v>
      </c>
    </row>
    <row r="1310" spans="1:11" x14ac:dyDescent="0.2">
      <c r="A1310" s="4">
        <v>6309</v>
      </c>
      <c r="B1310" s="4">
        <v>1268</v>
      </c>
      <c r="C1310" s="8">
        <v>46151</v>
      </c>
      <c r="D1310" s="8">
        <v>46161</v>
      </c>
      <c r="E1310" s="10">
        <f t="shared" si="20"/>
        <v>10</v>
      </c>
      <c r="F1310" s="4" t="s">
        <v>19</v>
      </c>
      <c r="G1310" s="4" t="s">
        <v>15</v>
      </c>
      <c r="H1310" s="4">
        <v>8898</v>
      </c>
      <c r="I1310" s="4" t="str">
        <f>VLOOKUP(B1310,Customers!$A:$D,4,FALSE)</f>
        <v>Regular</v>
      </c>
      <c r="J1310" s="4" t="s">
        <v>37</v>
      </c>
      <c r="K1310" s="4" t="s">
        <v>36</v>
      </c>
    </row>
    <row r="1311" spans="1:11" x14ac:dyDescent="0.2">
      <c r="A1311" s="4">
        <v>6310</v>
      </c>
      <c r="B1311" s="4">
        <v>1221</v>
      </c>
      <c r="C1311" s="8">
        <v>46097</v>
      </c>
      <c r="D1311" s="8">
        <v>46104</v>
      </c>
      <c r="E1311" s="10">
        <f t="shared" si="20"/>
        <v>7</v>
      </c>
      <c r="F1311" s="4" t="s">
        <v>20</v>
      </c>
      <c r="G1311" s="4" t="s">
        <v>15</v>
      </c>
      <c r="H1311" s="4">
        <v>15970</v>
      </c>
      <c r="I1311" s="4" t="str">
        <f>VLOOKUP(B1311,Customers!$A:$D,4,FALSE)</f>
        <v>Premium</v>
      </c>
      <c r="J1311" s="4" t="s">
        <v>35</v>
      </c>
      <c r="K1311" s="4" t="s">
        <v>36</v>
      </c>
    </row>
    <row r="1312" spans="1:11" x14ac:dyDescent="0.2">
      <c r="A1312" s="4">
        <v>6311</v>
      </c>
      <c r="B1312" s="4">
        <v>1291</v>
      </c>
      <c r="C1312" s="8">
        <v>46042</v>
      </c>
      <c r="D1312" s="8">
        <v>46046</v>
      </c>
      <c r="E1312" s="10">
        <f t="shared" si="20"/>
        <v>4</v>
      </c>
      <c r="F1312" s="4" t="s">
        <v>25</v>
      </c>
      <c r="G1312" s="4" t="s">
        <v>12</v>
      </c>
      <c r="H1312" s="4">
        <v>1279</v>
      </c>
      <c r="I1312" s="4" t="str">
        <f>VLOOKUP(B1312,Customers!$A:$D,4,FALSE)</f>
        <v>Regular</v>
      </c>
      <c r="J1312" s="4" t="s">
        <v>35</v>
      </c>
      <c r="K1312" s="4" t="s">
        <v>36</v>
      </c>
    </row>
    <row r="1313" spans="1:11" x14ac:dyDescent="0.2">
      <c r="A1313" s="4">
        <v>6312</v>
      </c>
      <c r="B1313" s="4">
        <v>1045</v>
      </c>
      <c r="C1313" s="8">
        <v>46102</v>
      </c>
      <c r="D1313" s="8">
        <v>46112</v>
      </c>
      <c r="E1313" s="10">
        <f t="shared" si="20"/>
        <v>10</v>
      </c>
      <c r="F1313" s="4" t="s">
        <v>25</v>
      </c>
      <c r="G1313" s="4" t="s">
        <v>12</v>
      </c>
      <c r="H1313" s="4">
        <v>30106</v>
      </c>
      <c r="I1313" s="4" t="str">
        <f>VLOOKUP(B1313,Customers!$A:$D,4,FALSE)</f>
        <v>Premium</v>
      </c>
      <c r="J1313" s="4" t="s">
        <v>37</v>
      </c>
      <c r="K1313" s="4" t="s">
        <v>36</v>
      </c>
    </row>
    <row r="1314" spans="1:11" x14ac:dyDescent="0.2">
      <c r="A1314" s="4">
        <v>6313</v>
      </c>
      <c r="B1314" s="4">
        <v>1083</v>
      </c>
      <c r="C1314" s="8">
        <v>46066</v>
      </c>
      <c r="D1314" s="8">
        <v>46072</v>
      </c>
      <c r="E1314" s="10">
        <f t="shared" si="20"/>
        <v>6</v>
      </c>
      <c r="F1314" s="4" t="s">
        <v>23</v>
      </c>
      <c r="G1314" s="4" t="s">
        <v>14</v>
      </c>
      <c r="H1314" s="4">
        <v>38082</v>
      </c>
      <c r="I1314" s="4" t="str">
        <f>VLOOKUP(B1314,Customers!$A:$D,4,FALSE)</f>
        <v>Premium</v>
      </c>
      <c r="J1314" s="4" t="s">
        <v>37</v>
      </c>
      <c r="K1314" s="4" t="s">
        <v>36</v>
      </c>
    </row>
    <row r="1315" spans="1:11" x14ac:dyDescent="0.2">
      <c r="A1315" s="4">
        <v>6314</v>
      </c>
      <c r="B1315" s="4">
        <v>1037</v>
      </c>
      <c r="C1315" s="8">
        <v>46113</v>
      </c>
      <c r="D1315" s="8">
        <v>46116</v>
      </c>
      <c r="E1315" s="10">
        <f t="shared" si="20"/>
        <v>3</v>
      </c>
      <c r="F1315" s="4" t="s">
        <v>18</v>
      </c>
      <c r="G1315" s="4" t="s">
        <v>15</v>
      </c>
      <c r="H1315" s="4">
        <v>17204</v>
      </c>
      <c r="I1315" s="4" t="str">
        <f>VLOOKUP(B1315,Customers!$A:$D,4,FALSE)</f>
        <v>Premium</v>
      </c>
      <c r="J1315" s="4" t="s">
        <v>37</v>
      </c>
      <c r="K1315" s="4" t="s">
        <v>36</v>
      </c>
    </row>
    <row r="1316" spans="1:11" x14ac:dyDescent="0.2">
      <c r="A1316" s="4">
        <v>6315</v>
      </c>
      <c r="B1316" s="4">
        <v>1072</v>
      </c>
      <c r="C1316" s="8">
        <v>46088</v>
      </c>
      <c r="D1316" s="8">
        <v>46097</v>
      </c>
      <c r="E1316" s="10">
        <f t="shared" si="20"/>
        <v>9</v>
      </c>
      <c r="F1316" s="4" t="s">
        <v>23</v>
      </c>
      <c r="G1316" s="4" t="s">
        <v>11</v>
      </c>
      <c r="H1316" s="4">
        <v>32298</v>
      </c>
      <c r="I1316" s="4" t="str">
        <f>VLOOKUP(B1316,Customers!$A:$D,4,FALSE)</f>
        <v>Regular</v>
      </c>
      <c r="J1316" s="4" t="s">
        <v>35</v>
      </c>
      <c r="K1316" s="4" t="s">
        <v>36</v>
      </c>
    </row>
    <row r="1317" spans="1:11" x14ac:dyDescent="0.2">
      <c r="A1317" s="4">
        <v>6316</v>
      </c>
      <c r="B1317" s="4">
        <v>1206</v>
      </c>
      <c r="C1317" s="8">
        <v>46116</v>
      </c>
      <c r="D1317" s="8">
        <v>46122</v>
      </c>
      <c r="E1317" s="10">
        <f t="shared" si="20"/>
        <v>6</v>
      </c>
      <c r="F1317" s="4" t="s">
        <v>21</v>
      </c>
      <c r="G1317" s="4" t="s">
        <v>11</v>
      </c>
      <c r="H1317" s="4">
        <v>44902</v>
      </c>
      <c r="I1317" s="4" t="str">
        <f>VLOOKUP(B1317,Customers!$A:$D,4,FALSE)</f>
        <v>Regular</v>
      </c>
      <c r="J1317" s="4" t="s">
        <v>35</v>
      </c>
      <c r="K1317" s="4" t="s">
        <v>36</v>
      </c>
    </row>
    <row r="1318" spans="1:11" x14ac:dyDescent="0.2">
      <c r="A1318" s="4">
        <v>6317</v>
      </c>
      <c r="B1318" s="4">
        <v>1263</v>
      </c>
      <c r="C1318" s="8">
        <v>46135</v>
      </c>
      <c r="D1318" s="8">
        <v>46142</v>
      </c>
      <c r="E1318" s="10">
        <f t="shared" si="20"/>
        <v>7</v>
      </c>
      <c r="F1318" s="4" t="s">
        <v>19</v>
      </c>
      <c r="G1318" s="4" t="s">
        <v>14</v>
      </c>
      <c r="H1318" s="4">
        <v>5771</v>
      </c>
      <c r="I1318" s="4" t="str">
        <f>VLOOKUP(B1318,Customers!$A:$D,4,FALSE)</f>
        <v>Premium</v>
      </c>
      <c r="J1318" s="4" t="s">
        <v>37</v>
      </c>
      <c r="K1318" s="4" t="s">
        <v>36</v>
      </c>
    </row>
    <row r="1319" spans="1:11" x14ac:dyDescent="0.2">
      <c r="A1319" s="4">
        <v>6318</v>
      </c>
      <c r="B1319" s="4">
        <v>1135</v>
      </c>
      <c r="C1319" s="8">
        <v>46152</v>
      </c>
      <c r="D1319" s="8">
        <v>46161</v>
      </c>
      <c r="E1319" s="10">
        <f t="shared" si="20"/>
        <v>9</v>
      </c>
      <c r="F1319" s="4" t="s">
        <v>20</v>
      </c>
      <c r="G1319" s="4" t="s">
        <v>11</v>
      </c>
      <c r="H1319" s="4">
        <v>42496</v>
      </c>
      <c r="I1319" s="4" t="str">
        <f>VLOOKUP(B1319,Customers!$A:$D,4,FALSE)</f>
        <v>Regular</v>
      </c>
      <c r="J1319" s="4" t="s">
        <v>35</v>
      </c>
      <c r="K1319" s="4" t="s">
        <v>36</v>
      </c>
    </row>
    <row r="1320" spans="1:11" x14ac:dyDescent="0.2">
      <c r="A1320" s="4">
        <v>6319</v>
      </c>
      <c r="B1320" s="4">
        <v>1005</v>
      </c>
      <c r="C1320" s="8">
        <v>46085</v>
      </c>
      <c r="D1320" s="8">
        <v>46095</v>
      </c>
      <c r="E1320" s="10">
        <f t="shared" si="20"/>
        <v>10</v>
      </c>
      <c r="F1320" s="4" t="s">
        <v>18</v>
      </c>
      <c r="G1320" s="4" t="s">
        <v>12</v>
      </c>
      <c r="H1320" s="4">
        <v>19348</v>
      </c>
      <c r="I1320" s="4" t="str">
        <f>VLOOKUP(B1320,Customers!$A:$D,4,FALSE)</f>
        <v>Regular</v>
      </c>
      <c r="J1320" s="4" t="s">
        <v>37</v>
      </c>
      <c r="K1320" s="4" t="s">
        <v>36</v>
      </c>
    </row>
    <row r="1321" spans="1:11" x14ac:dyDescent="0.2">
      <c r="A1321" s="4">
        <v>6320</v>
      </c>
      <c r="B1321" s="4">
        <v>1038</v>
      </c>
      <c r="C1321" s="8">
        <v>46063</v>
      </c>
      <c r="D1321" s="8">
        <v>46071</v>
      </c>
      <c r="E1321" s="10">
        <f t="shared" si="20"/>
        <v>8</v>
      </c>
      <c r="F1321" s="4" t="s">
        <v>24</v>
      </c>
      <c r="G1321" s="4" t="s">
        <v>15</v>
      </c>
      <c r="H1321" s="4">
        <v>30595</v>
      </c>
      <c r="I1321" s="4" t="str">
        <f>VLOOKUP(B1321,Customers!$A:$D,4,FALSE)</f>
        <v>Premium</v>
      </c>
      <c r="J1321" s="4" t="s">
        <v>35</v>
      </c>
      <c r="K1321" s="4" t="s">
        <v>36</v>
      </c>
    </row>
    <row r="1322" spans="1:11" x14ac:dyDescent="0.2">
      <c r="A1322" s="4">
        <v>6321</v>
      </c>
      <c r="B1322" s="4">
        <v>1240</v>
      </c>
      <c r="C1322" s="8">
        <v>46112</v>
      </c>
      <c r="D1322" s="8">
        <v>46121</v>
      </c>
      <c r="E1322" s="10">
        <f t="shared" si="20"/>
        <v>9</v>
      </c>
      <c r="F1322" s="4" t="s">
        <v>25</v>
      </c>
      <c r="G1322" s="4" t="s">
        <v>12</v>
      </c>
      <c r="H1322" s="4">
        <v>5924</v>
      </c>
      <c r="I1322" s="4" t="str">
        <f>VLOOKUP(B1322,Customers!$A:$D,4,FALSE)</f>
        <v>Regular</v>
      </c>
      <c r="J1322" s="4" t="s">
        <v>35</v>
      </c>
      <c r="K1322" s="4" t="s">
        <v>36</v>
      </c>
    </row>
    <row r="1323" spans="1:11" x14ac:dyDescent="0.2">
      <c r="A1323" s="4">
        <v>6322</v>
      </c>
      <c r="B1323" s="4">
        <v>1222</v>
      </c>
      <c r="C1323" s="8">
        <v>46050</v>
      </c>
      <c r="D1323" s="8">
        <v>46058</v>
      </c>
      <c r="E1323" s="10">
        <f t="shared" si="20"/>
        <v>8</v>
      </c>
      <c r="F1323" s="4" t="s">
        <v>24</v>
      </c>
      <c r="G1323" s="4" t="s">
        <v>15</v>
      </c>
      <c r="H1323" s="4">
        <v>21843</v>
      </c>
      <c r="I1323" s="4" t="str">
        <f>VLOOKUP(B1323,Customers!$A:$D,4,FALSE)</f>
        <v>Premium</v>
      </c>
      <c r="J1323" s="4" t="s">
        <v>35</v>
      </c>
      <c r="K1323" s="4" t="s">
        <v>36</v>
      </c>
    </row>
    <row r="1324" spans="1:11" x14ac:dyDescent="0.2">
      <c r="A1324" s="4">
        <v>6323</v>
      </c>
      <c r="B1324" s="4">
        <v>1249</v>
      </c>
      <c r="C1324" s="8">
        <v>46104</v>
      </c>
      <c r="D1324" s="8">
        <v>46111</v>
      </c>
      <c r="E1324" s="10">
        <f t="shared" si="20"/>
        <v>7</v>
      </c>
      <c r="F1324" s="4" t="s">
        <v>24</v>
      </c>
      <c r="G1324" s="4" t="s">
        <v>15</v>
      </c>
      <c r="H1324" s="4">
        <v>7792</v>
      </c>
      <c r="I1324" s="4" t="str">
        <f>VLOOKUP(B1324,Customers!$A:$D,4,FALSE)</f>
        <v>Regular</v>
      </c>
      <c r="J1324" s="4" t="s">
        <v>37</v>
      </c>
      <c r="K1324" s="4" t="s">
        <v>36</v>
      </c>
    </row>
    <row r="1325" spans="1:11" x14ac:dyDescent="0.2">
      <c r="A1325" s="4">
        <v>6324</v>
      </c>
      <c r="B1325" s="4">
        <v>1280</v>
      </c>
      <c r="C1325" s="8">
        <v>46139</v>
      </c>
      <c r="D1325" s="8">
        <v>46141</v>
      </c>
      <c r="E1325" s="10">
        <f t="shared" si="20"/>
        <v>2</v>
      </c>
      <c r="F1325" s="4" t="s">
        <v>18</v>
      </c>
      <c r="G1325" s="4" t="s">
        <v>15</v>
      </c>
      <c r="H1325" s="4">
        <v>9836</v>
      </c>
      <c r="I1325" s="4" t="str">
        <f>VLOOKUP(B1325,Customers!$A:$D,4,FALSE)</f>
        <v>Regular</v>
      </c>
      <c r="J1325" s="4" t="s">
        <v>35</v>
      </c>
      <c r="K1325" s="4" t="s">
        <v>36</v>
      </c>
    </row>
    <row r="1326" spans="1:11" x14ac:dyDescent="0.2">
      <c r="A1326" s="4">
        <v>6325</v>
      </c>
      <c r="B1326" s="4">
        <v>1195</v>
      </c>
      <c r="C1326" s="8">
        <v>46104</v>
      </c>
      <c r="D1326" s="8">
        <v>46106</v>
      </c>
      <c r="E1326" s="10">
        <f t="shared" si="20"/>
        <v>2</v>
      </c>
      <c r="F1326" s="4" t="s">
        <v>20</v>
      </c>
      <c r="G1326" s="4" t="s">
        <v>14</v>
      </c>
      <c r="H1326" s="4">
        <v>28487</v>
      </c>
      <c r="I1326" s="4" t="str">
        <f>VLOOKUP(B1326,Customers!$A:$D,4,FALSE)</f>
        <v>Premium</v>
      </c>
      <c r="J1326" s="4" t="s">
        <v>37</v>
      </c>
      <c r="K1326" s="4" t="s">
        <v>36</v>
      </c>
    </row>
    <row r="1327" spans="1:11" x14ac:dyDescent="0.2">
      <c r="A1327" s="4">
        <v>6326</v>
      </c>
      <c r="B1327" s="4">
        <v>1109</v>
      </c>
      <c r="C1327" s="8">
        <v>46077</v>
      </c>
      <c r="D1327" s="8">
        <v>46079</v>
      </c>
      <c r="E1327" s="10">
        <f t="shared" si="20"/>
        <v>2</v>
      </c>
      <c r="F1327" s="4" t="s">
        <v>20</v>
      </c>
      <c r="G1327" s="4" t="s">
        <v>15</v>
      </c>
      <c r="H1327" s="4">
        <v>17984</v>
      </c>
      <c r="I1327" s="4" t="str">
        <f>VLOOKUP(B1327,Customers!$A:$D,4,FALSE)</f>
        <v>Premium</v>
      </c>
      <c r="J1327" s="4" t="s">
        <v>37</v>
      </c>
      <c r="K1327" s="4" t="s">
        <v>36</v>
      </c>
    </row>
    <row r="1328" spans="1:11" x14ac:dyDescent="0.2">
      <c r="A1328" s="4">
        <v>6327</v>
      </c>
      <c r="B1328" s="4">
        <v>1073</v>
      </c>
      <c r="C1328" s="8">
        <v>46068</v>
      </c>
      <c r="D1328" s="8">
        <v>46071</v>
      </c>
      <c r="E1328" s="10">
        <f t="shared" si="20"/>
        <v>3</v>
      </c>
      <c r="F1328" s="4" t="s">
        <v>23</v>
      </c>
      <c r="G1328" s="4" t="s">
        <v>14</v>
      </c>
      <c r="H1328" s="4">
        <v>26846</v>
      </c>
      <c r="I1328" s="4" t="str">
        <f>VLOOKUP(B1328,Customers!$A:$D,4,FALSE)</f>
        <v>Premium</v>
      </c>
      <c r="J1328" s="4" t="s">
        <v>35</v>
      </c>
      <c r="K1328" s="4" t="s">
        <v>36</v>
      </c>
    </row>
    <row r="1329" spans="1:11" x14ac:dyDescent="0.2">
      <c r="A1329" s="4">
        <v>6328</v>
      </c>
      <c r="B1329" s="4">
        <v>1215</v>
      </c>
      <c r="C1329" s="8">
        <v>46099</v>
      </c>
      <c r="D1329" s="8">
        <v>46108</v>
      </c>
      <c r="E1329" s="10">
        <f t="shared" si="20"/>
        <v>9</v>
      </c>
      <c r="F1329" s="4" t="s">
        <v>24</v>
      </c>
      <c r="G1329" s="4" t="s">
        <v>14</v>
      </c>
      <c r="H1329" s="4">
        <v>12363</v>
      </c>
      <c r="I1329" s="4" t="str">
        <f>VLOOKUP(B1329,Customers!$A:$D,4,FALSE)</f>
        <v>Premium</v>
      </c>
      <c r="J1329" s="4" t="s">
        <v>35</v>
      </c>
      <c r="K1329" s="4" t="s">
        <v>36</v>
      </c>
    </row>
    <row r="1330" spans="1:11" x14ac:dyDescent="0.2">
      <c r="A1330" s="4">
        <v>6329</v>
      </c>
      <c r="B1330" s="4">
        <v>1176</v>
      </c>
      <c r="C1330" s="8">
        <v>46046</v>
      </c>
      <c r="D1330" s="8">
        <v>46054</v>
      </c>
      <c r="E1330" s="10">
        <f t="shared" si="20"/>
        <v>8</v>
      </c>
      <c r="F1330" s="4" t="s">
        <v>22</v>
      </c>
      <c r="G1330" s="4" t="s">
        <v>13</v>
      </c>
      <c r="H1330" s="4">
        <v>13315</v>
      </c>
      <c r="I1330" s="4" t="str">
        <f>VLOOKUP(B1330,Customers!$A:$D,4,FALSE)</f>
        <v>Premium</v>
      </c>
      <c r="J1330" s="4" t="s">
        <v>37</v>
      </c>
      <c r="K1330" s="4" t="s">
        <v>36</v>
      </c>
    </row>
    <row r="1331" spans="1:11" x14ac:dyDescent="0.2">
      <c r="A1331" s="4">
        <v>6330</v>
      </c>
      <c r="B1331" s="4">
        <v>1244</v>
      </c>
      <c r="C1331" s="8">
        <v>46130</v>
      </c>
      <c r="D1331" s="8">
        <v>46139</v>
      </c>
      <c r="E1331" s="10">
        <f t="shared" si="20"/>
        <v>9</v>
      </c>
      <c r="F1331" s="4" t="s">
        <v>18</v>
      </c>
      <c r="G1331" s="4" t="s">
        <v>15</v>
      </c>
      <c r="H1331" s="4">
        <v>23545</v>
      </c>
      <c r="I1331" s="4" t="str">
        <f>VLOOKUP(B1331,Customers!$A:$D,4,FALSE)</f>
        <v>Premium</v>
      </c>
      <c r="J1331" s="4" t="s">
        <v>37</v>
      </c>
      <c r="K1331" s="4" t="s">
        <v>36</v>
      </c>
    </row>
    <row r="1332" spans="1:11" x14ac:dyDescent="0.2">
      <c r="A1332" s="4">
        <v>6331</v>
      </c>
      <c r="B1332" s="4">
        <v>1102</v>
      </c>
      <c r="C1332" s="8">
        <v>46025</v>
      </c>
      <c r="D1332" s="8">
        <v>46035</v>
      </c>
      <c r="E1332" s="10">
        <f t="shared" si="20"/>
        <v>10</v>
      </c>
      <c r="F1332" s="4" t="s">
        <v>23</v>
      </c>
      <c r="G1332" s="4" t="s">
        <v>11</v>
      </c>
      <c r="H1332" s="4">
        <v>40703</v>
      </c>
      <c r="I1332" s="4" t="str">
        <f>VLOOKUP(B1332,Customers!$A:$D,4,FALSE)</f>
        <v>Premium</v>
      </c>
      <c r="J1332" s="4" t="s">
        <v>35</v>
      </c>
      <c r="K1332" s="4" t="s">
        <v>36</v>
      </c>
    </row>
    <row r="1333" spans="1:11" x14ac:dyDescent="0.2">
      <c r="A1333" s="4">
        <v>6332</v>
      </c>
      <c r="B1333" s="4">
        <v>1008</v>
      </c>
      <c r="C1333" s="8">
        <v>46105</v>
      </c>
      <c r="D1333" s="8">
        <v>46112</v>
      </c>
      <c r="E1333" s="10">
        <f t="shared" si="20"/>
        <v>7</v>
      </c>
      <c r="F1333" s="4" t="s">
        <v>18</v>
      </c>
      <c r="G1333" s="4" t="s">
        <v>15</v>
      </c>
      <c r="H1333" s="4">
        <v>9965</v>
      </c>
      <c r="I1333" s="4" t="str">
        <f>VLOOKUP(B1333,Customers!$A:$D,4,FALSE)</f>
        <v>Premium</v>
      </c>
      <c r="J1333" s="4" t="s">
        <v>37</v>
      </c>
      <c r="K1333" s="4" t="s">
        <v>36</v>
      </c>
    </row>
    <row r="1334" spans="1:11" x14ac:dyDescent="0.2">
      <c r="A1334" s="4">
        <v>6333</v>
      </c>
      <c r="B1334" s="4">
        <v>1209</v>
      </c>
      <c r="C1334" s="8">
        <v>46104</v>
      </c>
      <c r="D1334" s="8">
        <v>46107</v>
      </c>
      <c r="E1334" s="10">
        <f t="shared" si="20"/>
        <v>3</v>
      </c>
      <c r="F1334" s="4" t="s">
        <v>22</v>
      </c>
      <c r="G1334" s="4" t="s">
        <v>11</v>
      </c>
      <c r="H1334" s="4">
        <v>47635</v>
      </c>
      <c r="I1334" s="4" t="str">
        <f>VLOOKUP(B1334,Customers!$A:$D,4,FALSE)</f>
        <v>Premium</v>
      </c>
      <c r="J1334" s="4" t="s">
        <v>35</v>
      </c>
      <c r="K1334" s="4" t="s">
        <v>36</v>
      </c>
    </row>
    <row r="1335" spans="1:11" x14ac:dyDescent="0.2">
      <c r="A1335" s="4">
        <v>6334</v>
      </c>
      <c r="B1335" s="4">
        <v>1231</v>
      </c>
      <c r="C1335" s="8">
        <v>46138</v>
      </c>
      <c r="D1335" s="8">
        <v>46142</v>
      </c>
      <c r="E1335" s="10">
        <f t="shared" si="20"/>
        <v>4</v>
      </c>
      <c r="F1335" s="4" t="s">
        <v>23</v>
      </c>
      <c r="G1335" s="4" t="s">
        <v>12</v>
      </c>
      <c r="H1335" s="4">
        <v>14627</v>
      </c>
      <c r="I1335" s="4" t="str">
        <f>VLOOKUP(B1335,Customers!$A:$D,4,FALSE)</f>
        <v>Premium</v>
      </c>
      <c r="J1335" s="4" t="s">
        <v>35</v>
      </c>
      <c r="K1335" s="4" t="s">
        <v>36</v>
      </c>
    </row>
    <row r="1336" spans="1:11" x14ac:dyDescent="0.2">
      <c r="A1336" s="4">
        <v>6335</v>
      </c>
      <c r="B1336" s="4">
        <v>1086</v>
      </c>
      <c r="C1336" s="8">
        <v>46130</v>
      </c>
      <c r="D1336" s="8">
        <v>46140</v>
      </c>
      <c r="E1336" s="10">
        <f t="shared" si="20"/>
        <v>10</v>
      </c>
      <c r="F1336" s="4" t="s">
        <v>21</v>
      </c>
      <c r="G1336" s="4" t="s">
        <v>13</v>
      </c>
      <c r="H1336" s="4">
        <v>23112</v>
      </c>
      <c r="I1336" s="4" t="str">
        <f>VLOOKUP(B1336,Customers!$A:$D,4,FALSE)</f>
        <v>Premium</v>
      </c>
      <c r="J1336" s="4" t="s">
        <v>35</v>
      </c>
      <c r="K1336" s="4" t="s">
        <v>36</v>
      </c>
    </row>
    <row r="1337" spans="1:11" x14ac:dyDescent="0.2">
      <c r="A1337" s="4">
        <v>6336</v>
      </c>
      <c r="B1337" s="4">
        <v>1190</v>
      </c>
      <c r="C1337" s="8">
        <v>46071</v>
      </c>
      <c r="D1337" s="8">
        <v>46073</v>
      </c>
      <c r="E1337" s="10">
        <f t="shared" si="20"/>
        <v>2</v>
      </c>
      <c r="F1337" s="4" t="s">
        <v>19</v>
      </c>
      <c r="G1337" s="4" t="s">
        <v>12</v>
      </c>
      <c r="H1337" s="4">
        <v>20088</v>
      </c>
      <c r="I1337" s="4" t="str">
        <f>VLOOKUP(B1337,Customers!$A:$D,4,FALSE)</f>
        <v>Regular</v>
      </c>
      <c r="J1337" s="4" t="s">
        <v>37</v>
      </c>
      <c r="K1337" s="4" t="s">
        <v>36</v>
      </c>
    </row>
    <row r="1338" spans="1:11" x14ac:dyDescent="0.2">
      <c r="A1338" s="4">
        <v>6337</v>
      </c>
      <c r="B1338" s="4">
        <v>1256</v>
      </c>
      <c r="C1338" s="8">
        <v>46151</v>
      </c>
      <c r="D1338" s="8">
        <v>46154</v>
      </c>
      <c r="E1338" s="10">
        <f t="shared" si="20"/>
        <v>3</v>
      </c>
      <c r="F1338" s="4" t="s">
        <v>25</v>
      </c>
      <c r="G1338" s="4" t="s">
        <v>15</v>
      </c>
      <c r="H1338" s="4">
        <v>27195</v>
      </c>
      <c r="I1338" s="4" t="str">
        <f>VLOOKUP(B1338,Customers!$A:$D,4,FALSE)</f>
        <v>Premium</v>
      </c>
      <c r="J1338" s="4" t="s">
        <v>37</v>
      </c>
      <c r="K1338" s="4" t="s">
        <v>36</v>
      </c>
    </row>
    <row r="1339" spans="1:11" x14ac:dyDescent="0.2">
      <c r="A1339" s="4">
        <v>6338</v>
      </c>
      <c r="B1339" s="4">
        <v>1219</v>
      </c>
      <c r="C1339" s="8">
        <v>46113</v>
      </c>
      <c r="D1339" s="8">
        <v>46123</v>
      </c>
      <c r="E1339" s="10">
        <f t="shared" si="20"/>
        <v>10</v>
      </c>
      <c r="F1339" s="4" t="s">
        <v>19</v>
      </c>
      <c r="G1339" s="4" t="s">
        <v>12</v>
      </c>
      <c r="H1339" s="4">
        <v>11822</v>
      </c>
      <c r="I1339" s="4" t="str">
        <f>VLOOKUP(B1339,Customers!$A:$D,4,FALSE)</f>
        <v>Premium</v>
      </c>
      <c r="J1339" s="4" t="s">
        <v>37</v>
      </c>
      <c r="K1339" s="4" t="s">
        <v>36</v>
      </c>
    </row>
    <row r="1340" spans="1:11" x14ac:dyDescent="0.2">
      <c r="A1340" s="4">
        <v>6339</v>
      </c>
      <c r="B1340" s="4">
        <v>1091</v>
      </c>
      <c r="C1340" s="8">
        <v>46132</v>
      </c>
      <c r="D1340" s="8">
        <v>46139</v>
      </c>
      <c r="E1340" s="10">
        <f t="shared" si="20"/>
        <v>7</v>
      </c>
      <c r="F1340" s="4" t="s">
        <v>18</v>
      </c>
      <c r="G1340" s="4" t="s">
        <v>11</v>
      </c>
      <c r="H1340" s="4">
        <v>28865</v>
      </c>
      <c r="I1340" s="4" t="str">
        <f>VLOOKUP(B1340,Customers!$A:$D,4,FALSE)</f>
        <v>Premium</v>
      </c>
      <c r="J1340" s="4" t="s">
        <v>37</v>
      </c>
      <c r="K1340" s="4" t="s">
        <v>36</v>
      </c>
    </row>
    <row r="1341" spans="1:11" x14ac:dyDescent="0.2">
      <c r="A1341" s="4">
        <v>6340</v>
      </c>
      <c r="B1341" s="4">
        <v>1146</v>
      </c>
      <c r="C1341" s="8">
        <v>46095</v>
      </c>
      <c r="D1341" s="8">
        <v>46103</v>
      </c>
      <c r="E1341" s="10">
        <f t="shared" si="20"/>
        <v>8</v>
      </c>
      <c r="F1341" s="4" t="s">
        <v>23</v>
      </c>
      <c r="G1341" s="4" t="s">
        <v>12</v>
      </c>
      <c r="H1341" s="4">
        <v>7103</v>
      </c>
      <c r="I1341" s="4" t="str">
        <f>VLOOKUP(B1341,Customers!$A:$D,4,FALSE)</f>
        <v>Regular</v>
      </c>
      <c r="J1341" s="4" t="s">
        <v>35</v>
      </c>
      <c r="K1341" s="4" t="s">
        <v>36</v>
      </c>
    </row>
    <row r="1342" spans="1:11" x14ac:dyDescent="0.2">
      <c r="A1342" s="4">
        <v>6341</v>
      </c>
      <c r="B1342" s="4">
        <v>1054</v>
      </c>
      <c r="C1342" s="8">
        <v>46027</v>
      </c>
      <c r="D1342" s="8">
        <v>46035</v>
      </c>
      <c r="E1342" s="10">
        <f t="shared" si="20"/>
        <v>8</v>
      </c>
      <c r="F1342" s="4" t="s">
        <v>25</v>
      </c>
      <c r="G1342" s="4" t="s">
        <v>11</v>
      </c>
      <c r="H1342" s="4">
        <v>35999</v>
      </c>
      <c r="I1342" s="4" t="str">
        <f>VLOOKUP(B1342,Customers!$A:$D,4,FALSE)</f>
        <v>Premium</v>
      </c>
      <c r="J1342" s="4" t="s">
        <v>35</v>
      </c>
      <c r="K1342" s="4" t="s">
        <v>36</v>
      </c>
    </row>
    <row r="1343" spans="1:11" x14ac:dyDescent="0.2">
      <c r="A1343" s="4">
        <v>6342</v>
      </c>
      <c r="B1343" s="4">
        <v>1298</v>
      </c>
      <c r="C1343" s="8">
        <v>46136</v>
      </c>
      <c r="D1343" s="8">
        <v>46146</v>
      </c>
      <c r="E1343" s="10">
        <f t="shared" si="20"/>
        <v>10</v>
      </c>
      <c r="F1343" s="4" t="s">
        <v>20</v>
      </c>
      <c r="G1343" s="4" t="s">
        <v>14</v>
      </c>
      <c r="H1343" s="4">
        <v>27867</v>
      </c>
      <c r="I1343" s="4" t="str">
        <f>VLOOKUP(B1343,Customers!$A:$D,4,FALSE)</f>
        <v>Regular</v>
      </c>
      <c r="J1343" s="4" t="s">
        <v>35</v>
      </c>
      <c r="K1343" s="4" t="s">
        <v>36</v>
      </c>
    </row>
    <row r="1344" spans="1:11" x14ac:dyDescent="0.2">
      <c r="A1344" s="4">
        <v>6343</v>
      </c>
      <c r="B1344" s="4">
        <v>1283</v>
      </c>
      <c r="C1344" s="8">
        <v>46080</v>
      </c>
      <c r="D1344" s="8">
        <v>46089</v>
      </c>
      <c r="E1344" s="10">
        <f t="shared" si="20"/>
        <v>9</v>
      </c>
      <c r="F1344" s="4" t="s">
        <v>21</v>
      </c>
      <c r="G1344" s="4" t="s">
        <v>12</v>
      </c>
      <c r="H1344" s="4">
        <v>13116</v>
      </c>
      <c r="I1344" s="4" t="str">
        <f>VLOOKUP(B1344,Customers!$A:$D,4,FALSE)</f>
        <v>Premium</v>
      </c>
      <c r="J1344" s="4" t="s">
        <v>37</v>
      </c>
      <c r="K1344" s="4" t="s">
        <v>36</v>
      </c>
    </row>
    <row r="1345" spans="1:11" x14ac:dyDescent="0.2">
      <c r="A1345" s="4">
        <v>6344</v>
      </c>
      <c r="B1345" s="4">
        <v>1238</v>
      </c>
      <c r="C1345" s="8">
        <v>46054</v>
      </c>
      <c r="D1345" s="8">
        <v>46061</v>
      </c>
      <c r="E1345" s="10">
        <f t="shared" si="20"/>
        <v>7</v>
      </c>
      <c r="F1345" s="4" t="s">
        <v>21</v>
      </c>
      <c r="G1345" s="4" t="s">
        <v>15</v>
      </c>
      <c r="H1345" s="4">
        <v>798</v>
      </c>
      <c r="I1345" s="4" t="str">
        <f>VLOOKUP(B1345,Customers!$A:$D,4,FALSE)</f>
        <v>Premium</v>
      </c>
      <c r="J1345" s="4" t="s">
        <v>37</v>
      </c>
      <c r="K1345" s="4" t="s">
        <v>36</v>
      </c>
    </row>
    <row r="1346" spans="1:11" x14ac:dyDescent="0.2">
      <c r="A1346" s="4">
        <v>6345</v>
      </c>
      <c r="B1346" s="4">
        <v>1146</v>
      </c>
      <c r="C1346" s="8">
        <v>46080</v>
      </c>
      <c r="D1346" s="8">
        <v>46090</v>
      </c>
      <c r="E1346" s="10">
        <f t="shared" si="20"/>
        <v>10</v>
      </c>
      <c r="F1346" s="4" t="s">
        <v>22</v>
      </c>
      <c r="G1346" s="4" t="s">
        <v>14</v>
      </c>
      <c r="H1346" s="4">
        <v>20445</v>
      </c>
      <c r="I1346" s="4" t="str">
        <f>VLOOKUP(B1346,Customers!$A:$D,4,FALSE)</f>
        <v>Regular</v>
      </c>
      <c r="J1346" s="4" t="s">
        <v>37</v>
      </c>
      <c r="K1346" s="4" t="s">
        <v>36</v>
      </c>
    </row>
    <row r="1347" spans="1:11" x14ac:dyDescent="0.2">
      <c r="A1347" s="4">
        <v>6346</v>
      </c>
      <c r="B1347" s="4">
        <v>1213</v>
      </c>
      <c r="C1347" s="8">
        <v>46084</v>
      </c>
      <c r="D1347" s="8">
        <v>46086</v>
      </c>
      <c r="E1347" s="10">
        <f t="shared" ref="E1347:E1410" si="21">D1347-C1347</f>
        <v>2</v>
      </c>
      <c r="F1347" s="4" t="s">
        <v>20</v>
      </c>
      <c r="G1347" s="4" t="s">
        <v>12</v>
      </c>
      <c r="H1347" s="4">
        <v>2020</v>
      </c>
      <c r="I1347" s="4" t="str">
        <f>VLOOKUP(B1347,Customers!$A:$D,4,FALSE)</f>
        <v>Premium</v>
      </c>
      <c r="J1347" s="4" t="s">
        <v>35</v>
      </c>
      <c r="K1347" s="4" t="s">
        <v>36</v>
      </c>
    </row>
    <row r="1348" spans="1:11" x14ac:dyDescent="0.2">
      <c r="A1348" s="4">
        <v>6347</v>
      </c>
      <c r="B1348" s="4">
        <v>1163</v>
      </c>
      <c r="C1348" s="8">
        <v>46118</v>
      </c>
      <c r="D1348" s="8">
        <v>46128</v>
      </c>
      <c r="E1348" s="10">
        <f t="shared" si="21"/>
        <v>10</v>
      </c>
      <c r="F1348" s="4" t="s">
        <v>19</v>
      </c>
      <c r="G1348" s="4" t="s">
        <v>13</v>
      </c>
      <c r="H1348" s="4">
        <v>37798</v>
      </c>
      <c r="I1348" s="4" t="str">
        <f>VLOOKUP(B1348,Customers!$A:$D,4,FALSE)</f>
        <v>Regular</v>
      </c>
      <c r="J1348" s="4" t="s">
        <v>37</v>
      </c>
      <c r="K1348" s="4" t="s">
        <v>36</v>
      </c>
    </row>
    <row r="1349" spans="1:11" x14ac:dyDescent="0.2">
      <c r="A1349" s="4">
        <v>6348</v>
      </c>
      <c r="B1349" s="4">
        <v>1201</v>
      </c>
      <c r="C1349" s="8">
        <v>46084</v>
      </c>
      <c r="D1349" s="8">
        <v>46094</v>
      </c>
      <c r="E1349" s="10">
        <f t="shared" si="21"/>
        <v>10</v>
      </c>
      <c r="F1349" s="4" t="s">
        <v>24</v>
      </c>
      <c r="G1349" s="4" t="s">
        <v>11</v>
      </c>
      <c r="H1349" s="4">
        <v>42533</v>
      </c>
      <c r="I1349" s="4" t="str">
        <f>VLOOKUP(B1349,Customers!$A:$D,4,FALSE)</f>
        <v>Premium</v>
      </c>
      <c r="J1349" s="4" t="s">
        <v>37</v>
      </c>
      <c r="K1349" s="4" t="s">
        <v>36</v>
      </c>
    </row>
    <row r="1350" spans="1:11" x14ac:dyDescent="0.2">
      <c r="A1350" s="4">
        <v>6349</v>
      </c>
      <c r="B1350" s="4">
        <v>1066</v>
      </c>
      <c r="C1350" s="8">
        <v>46036</v>
      </c>
      <c r="D1350" s="8">
        <v>46044</v>
      </c>
      <c r="E1350" s="10">
        <f t="shared" si="21"/>
        <v>8</v>
      </c>
      <c r="F1350" s="4" t="s">
        <v>21</v>
      </c>
      <c r="G1350" s="4" t="s">
        <v>13</v>
      </c>
      <c r="H1350" s="4">
        <v>26718</v>
      </c>
      <c r="I1350" s="4" t="str">
        <f>VLOOKUP(B1350,Customers!$A:$D,4,FALSE)</f>
        <v>Regular</v>
      </c>
      <c r="J1350" s="4" t="s">
        <v>37</v>
      </c>
      <c r="K1350" s="4" t="s">
        <v>36</v>
      </c>
    </row>
    <row r="1351" spans="1:11" x14ac:dyDescent="0.2">
      <c r="A1351" s="4">
        <v>6350</v>
      </c>
      <c r="B1351" s="4">
        <v>1224</v>
      </c>
      <c r="C1351" s="8">
        <v>46155</v>
      </c>
      <c r="D1351" s="8">
        <v>46159</v>
      </c>
      <c r="E1351" s="10">
        <f t="shared" si="21"/>
        <v>4</v>
      </c>
      <c r="F1351" s="4" t="s">
        <v>24</v>
      </c>
      <c r="G1351" s="4" t="s">
        <v>12</v>
      </c>
      <c r="H1351" s="4">
        <v>46832</v>
      </c>
      <c r="I1351" s="4" t="str">
        <f>VLOOKUP(B1351,Customers!$A:$D,4,FALSE)</f>
        <v>Premium</v>
      </c>
      <c r="J1351" s="4" t="s">
        <v>35</v>
      </c>
      <c r="K1351" s="4" t="s">
        <v>36</v>
      </c>
    </row>
    <row r="1352" spans="1:11" x14ac:dyDescent="0.2">
      <c r="A1352" s="4">
        <v>6351</v>
      </c>
      <c r="B1352" s="4">
        <v>1296</v>
      </c>
      <c r="C1352" s="8">
        <v>46152</v>
      </c>
      <c r="D1352" s="8">
        <v>46155</v>
      </c>
      <c r="E1352" s="10">
        <f t="shared" si="21"/>
        <v>3</v>
      </c>
      <c r="F1352" s="4" t="s">
        <v>21</v>
      </c>
      <c r="G1352" s="4" t="s">
        <v>14</v>
      </c>
      <c r="H1352" s="4">
        <v>36535</v>
      </c>
      <c r="I1352" s="4" t="str">
        <f>VLOOKUP(B1352,Customers!$A:$D,4,FALSE)</f>
        <v>Regular</v>
      </c>
      <c r="J1352" s="4" t="s">
        <v>35</v>
      </c>
      <c r="K1352" s="4" t="s">
        <v>36</v>
      </c>
    </row>
    <row r="1353" spans="1:11" x14ac:dyDescent="0.2">
      <c r="A1353" s="4">
        <v>6352</v>
      </c>
      <c r="B1353" s="4">
        <v>1048</v>
      </c>
      <c r="C1353" s="8">
        <v>46105</v>
      </c>
      <c r="D1353" s="8">
        <v>46110</v>
      </c>
      <c r="E1353" s="10">
        <f t="shared" si="21"/>
        <v>5</v>
      </c>
      <c r="F1353" s="4" t="s">
        <v>23</v>
      </c>
      <c r="G1353" s="4" t="s">
        <v>12</v>
      </c>
      <c r="H1353" s="4">
        <v>28966</v>
      </c>
      <c r="I1353" s="4" t="str">
        <f>VLOOKUP(B1353,Customers!$A:$D,4,FALSE)</f>
        <v>Regular</v>
      </c>
      <c r="J1353" s="4" t="s">
        <v>35</v>
      </c>
      <c r="K1353" s="4" t="s">
        <v>36</v>
      </c>
    </row>
    <row r="1354" spans="1:11" x14ac:dyDescent="0.2">
      <c r="A1354" s="4">
        <v>6353</v>
      </c>
      <c r="B1354" s="4">
        <v>1279</v>
      </c>
      <c r="C1354" s="8">
        <v>46062</v>
      </c>
      <c r="D1354" s="8">
        <v>46064</v>
      </c>
      <c r="E1354" s="10">
        <f t="shared" si="21"/>
        <v>2</v>
      </c>
      <c r="F1354" s="4" t="s">
        <v>23</v>
      </c>
      <c r="G1354" s="4" t="s">
        <v>11</v>
      </c>
      <c r="H1354" s="4">
        <v>25361</v>
      </c>
      <c r="I1354" s="4" t="str">
        <f>VLOOKUP(B1354,Customers!$A:$D,4,FALSE)</f>
        <v>Premium</v>
      </c>
      <c r="J1354" s="4" t="s">
        <v>35</v>
      </c>
      <c r="K1354" s="4" t="s">
        <v>36</v>
      </c>
    </row>
    <row r="1355" spans="1:11" x14ac:dyDescent="0.2">
      <c r="A1355" s="4">
        <v>6354</v>
      </c>
      <c r="B1355" s="4">
        <v>1184</v>
      </c>
      <c r="C1355" s="8">
        <v>46056</v>
      </c>
      <c r="D1355" s="8">
        <v>46065</v>
      </c>
      <c r="E1355" s="10">
        <f t="shared" si="21"/>
        <v>9</v>
      </c>
      <c r="F1355" s="4" t="s">
        <v>18</v>
      </c>
      <c r="G1355" s="4" t="s">
        <v>13</v>
      </c>
      <c r="H1355" s="4">
        <v>43063</v>
      </c>
      <c r="I1355" s="4" t="str">
        <f>VLOOKUP(B1355,Customers!$A:$D,4,FALSE)</f>
        <v>Premium</v>
      </c>
      <c r="J1355" s="4" t="s">
        <v>35</v>
      </c>
      <c r="K1355" s="4" t="s">
        <v>36</v>
      </c>
    </row>
    <row r="1356" spans="1:11" x14ac:dyDescent="0.2">
      <c r="A1356" s="4">
        <v>6355</v>
      </c>
      <c r="B1356" s="4">
        <v>1275</v>
      </c>
      <c r="C1356" s="8">
        <v>46099</v>
      </c>
      <c r="D1356" s="8">
        <v>46104</v>
      </c>
      <c r="E1356" s="10">
        <f t="shared" si="21"/>
        <v>5</v>
      </c>
      <c r="F1356" s="4" t="s">
        <v>24</v>
      </c>
      <c r="G1356" s="4" t="s">
        <v>15</v>
      </c>
      <c r="H1356" s="4">
        <v>17370</v>
      </c>
      <c r="I1356" s="4" t="str">
        <f>VLOOKUP(B1356,Customers!$A:$D,4,FALSE)</f>
        <v>Regular</v>
      </c>
      <c r="J1356" s="4" t="s">
        <v>35</v>
      </c>
      <c r="K1356" s="4" t="s">
        <v>36</v>
      </c>
    </row>
    <row r="1357" spans="1:11" x14ac:dyDescent="0.2">
      <c r="A1357" s="4">
        <v>6356</v>
      </c>
      <c r="B1357" s="4">
        <v>1074</v>
      </c>
      <c r="C1357" s="8">
        <v>46093</v>
      </c>
      <c r="D1357" s="8">
        <v>46096</v>
      </c>
      <c r="E1357" s="10">
        <f t="shared" si="21"/>
        <v>3</v>
      </c>
      <c r="F1357" s="4" t="s">
        <v>20</v>
      </c>
      <c r="G1357" s="4" t="s">
        <v>11</v>
      </c>
      <c r="H1357" s="4">
        <v>7077</v>
      </c>
      <c r="I1357" s="4" t="str">
        <f>VLOOKUP(B1357,Customers!$A:$D,4,FALSE)</f>
        <v>Regular</v>
      </c>
      <c r="J1357" s="4" t="s">
        <v>35</v>
      </c>
      <c r="K1357" s="4" t="s">
        <v>36</v>
      </c>
    </row>
    <row r="1358" spans="1:11" x14ac:dyDescent="0.2">
      <c r="A1358" s="4">
        <v>6357</v>
      </c>
      <c r="B1358" s="4">
        <v>1055</v>
      </c>
      <c r="C1358" s="8">
        <v>46140</v>
      </c>
      <c r="D1358" s="8">
        <v>46143</v>
      </c>
      <c r="E1358" s="10">
        <f t="shared" si="21"/>
        <v>3</v>
      </c>
      <c r="F1358" s="4" t="s">
        <v>18</v>
      </c>
      <c r="G1358" s="4" t="s">
        <v>14</v>
      </c>
      <c r="H1358" s="4">
        <v>17470</v>
      </c>
      <c r="I1358" s="4" t="str">
        <f>VLOOKUP(B1358,Customers!$A:$D,4,FALSE)</f>
        <v>Regular</v>
      </c>
      <c r="J1358" s="4" t="s">
        <v>35</v>
      </c>
      <c r="K1358" s="4" t="s">
        <v>36</v>
      </c>
    </row>
    <row r="1359" spans="1:11" x14ac:dyDescent="0.2">
      <c r="A1359" s="4">
        <v>6358</v>
      </c>
      <c r="B1359" s="4">
        <v>1254</v>
      </c>
      <c r="C1359" s="8">
        <v>46046</v>
      </c>
      <c r="D1359" s="8">
        <v>46049</v>
      </c>
      <c r="E1359" s="10">
        <f t="shared" si="21"/>
        <v>3</v>
      </c>
      <c r="F1359" s="4" t="s">
        <v>19</v>
      </c>
      <c r="G1359" s="4" t="s">
        <v>13</v>
      </c>
      <c r="H1359" s="4">
        <v>25911</v>
      </c>
      <c r="I1359" s="4" t="str">
        <f>VLOOKUP(B1359,Customers!$A:$D,4,FALSE)</f>
        <v>Premium</v>
      </c>
      <c r="J1359" s="4" t="s">
        <v>35</v>
      </c>
      <c r="K1359" s="4" t="s">
        <v>36</v>
      </c>
    </row>
    <row r="1360" spans="1:11" x14ac:dyDescent="0.2">
      <c r="A1360" s="4">
        <v>6359</v>
      </c>
      <c r="B1360" s="4">
        <v>1212</v>
      </c>
      <c r="C1360" s="8">
        <v>46148</v>
      </c>
      <c r="D1360" s="8">
        <v>46150</v>
      </c>
      <c r="E1360" s="10">
        <f t="shared" si="21"/>
        <v>2</v>
      </c>
      <c r="F1360" s="4" t="s">
        <v>23</v>
      </c>
      <c r="G1360" s="4" t="s">
        <v>15</v>
      </c>
      <c r="H1360" s="4">
        <v>41304</v>
      </c>
      <c r="I1360" s="4" t="str">
        <f>VLOOKUP(B1360,Customers!$A:$D,4,FALSE)</f>
        <v>Premium</v>
      </c>
      <c r="J1360" s="4" t="s">
        <v>35</v>
      </c>
      <c r="K1360" s="4" t="s">
        <v>36</v>
      </c>
    </row>
    <row r="1361" spans="1:11" x14ac:dyDescent="0.2">
      <c r="A1361" s="4">
        <v>6360</v>
      </c>
      <c r="B1361" s="4">
        <v>1193</v>
      </c>
      <c r="C1361" s="8">
        <v>46076</v>
      </c>
      <c r="D1361" s="8">
        <v>46084</v>
      </c>
      <c r="E1361" s="10">
        <f t="shared" si="21"/>
        <v>8</v>
      </c>
      <c r="F1361" s="4" t="s">
        <v>19</v>
      </c>
      <c r="G1361" s="4" t="s">
        <v>15</v>
      </c>
      <c r="H1361" s="4">
        <v>10858</v>
      </c>
      <c r="I1361" s="4" t="str">
        <f>VLOOKUP(B1361,Customers!$A:$D,4,FALSE)</f>
        <v>Regular</v>
      </c>
      <c r="J1361" s="4" t="s">
        <v>35</v>
      </c>
      <c r="K1361" s="4" t="s">
        <v>36</v>
      </c>
    </row>
    <row r="1362" spans="1:11" x14ac:dyDescent="0.2">
      <c r="A1362" s="4">
        <v>6361</v>
      </c>
      <c r="B1362" s="4">
        <v>1092</v>
      </c>
      <c r="C1362" s="8">
        <v>46099</v>
      </c>
      <c r="D1362" s="8">
        <v>46101</v>
      </c>
      <c r="E1362" s="10">
        <f t="shared" si="21"/>
        <v>2</v>
      </c>
      <c r="F1362" s="4" t="s">
        <v>20</v>
      </c>
      <c r="G1362" s="4" t="s">
        <v>12</v>
      </c>
      <c r="H1362" s="4">
        <v>22766</v>
      </c>
      <c r="I1362" s="4" t="str">
        <f>VLOOKUP(B1362,Customers!$A:$D,4,FALSE)</f>
        <v>Premium</v>
      </c>
      <c r="J1362" s="4" t="s">
        <v>37</v>
      </c>
      <c r="K1362" s="4" t="s">
        <v>36</v>
      </c>
    </row>
    <row r="1363" spans="1:11" x14ac:dyDescent="0.2">
      <c r="A1363" s="4">
        <v>6362</v>
      </c>
      <c r="B1363" s="4">
        <v>1003</v>
      </c>
      <c r="C1363" s="8">
        <v>46146</v>
      </c>
      <c r="D1363" s="8">
        <v>46156</v>
      </c>
      <c r="E1363" s="10">
        <f t="shared" si="21"/>
        <v>10</v>
      </c>
      <c r="F1363" s="4" t="s">
        <v>18</v>
      </c>
      <c r="G1363" s="4" t="s">
        <v>11</v>
      </c>
      <c r="H1363" s="4">
        <v>48907</v>
      </c>
      <c r="I1363" s="4" t="str">
        <f>VLOOKUP(B1363,Customers!$A:$D,4,FALSE)</f>
        <v>Premium</v>
      </c>
      <c r="J1363" s="4" t="s">
        <v>37</v>
      </c>
      <c r="K1363" s="4" t="s">
        <v>36</v>
      </c>
    </row>
    <row r="1364" spans="1:11" x14ac:dyDescent="0.2">
      <c r="A1364" s="4">
        <v>6363</v>
      </c>
      <c r="B1364" s="4">
        <v>1016</v>
      </c>
      <c r="C1364" s="8">
        <v>46054</v>
      </c>
      <c r="D1364" s="8">
        <v>46059</v>
      </c>
      <c r="E1364" s="10">
        <f t="shared" si="21"/>
        <v>5</v>
      </c>
      <c r="F1364" s="4" t="s">
        <v>20</v>
      </c>
      <c r="G1364" s="4" t="s">
        <v>11</v>
      </c>
      <c r="H1364" s="4">
        <v>33837</v>
      </c>
      <c r="I1364" s="4" t="str">
        <f>VLOOKUP(B1364,Customers!$A:$D,4,FALSE)</f>
        <v>Premium</v>
      </c>
      <c r="J1364" s="4" t="s">
        <v>35</v>
      </c>
      <c r="K1364" s="4" t="s">
        <v>36</v>
      </c>
    </row>
    <row r="1365" spans="1:11" x14ac:dyDescent="0.2">
      <c r="A1365" s="4">
        <v>6364</v>
      </c>
      <c r="B1365" s="4">
        <v>1059</v>
      </c>
      <c r="C1365" s="8">
        <v>46078</v>
      </c>
      <c r="D1365" s="8">
        <v>46085</v>
      </c>
      <c r="E1365" s="10">
        <f t="shared" si="21"/>
        <v>7</v>
      </c>
      <c r="F1365" s="4" t="s">
        <v>24</v>
      </c>
      <c r="G1365" s="4" t="s">
        <v>12</v>
      </c>
      <c r="H1365" s="4">
        <v>21765</v>
      </c>
      <c r="I1365" s="4" t="str">
        <f>VLOOKUP(B1365,Customers!$A:$D,4,FALSE)</f>
        <v>Premium</v>
      </c>
      <c r="J1365" s="4" t="s">
        <v>35</v>
      </c>
      <c r="K1365" s="4" t="s">
        <v>36</v>
      </c>
    </row>
    <row r="1366" spans="1:11" x14ac:dyDescent="0.2">
      <c r="A1366" s="4">
        <v>6365</v>
      </c>
      <c r="B1366" s="4">
        <v>1065</v>
      </c>
      <c r="C1366" s="8">
        <v>46079</v>
      </c>
      <c r="D1366" s="8">
        <v>46082</v>
      </c>
      <c r="E1366" s="10">
        <f t="shared" si="21"/>
        <v>3</v>
      </c>
      <c r="F1366" s="4" t="s">
        <v>22</v>
      </c>
      <c r="G1366" s="4" t="s">
        <v>14</v>
      </c>
      <c r="H1366" s="4">
        <v>31860</v>
      </c>
      <c r="I1366" s="4" t="str">
        <f>VLOOKUP(B1366,Customers!$A:$D,4,FALSE)</f>
        <v>Premium</v>
      </c>
      <c r="J1366" s="4" t="s">
        <v>35</v>
      </c>
      <c r="K1366" s="4" t="s">
        <v>36</v>
      </c>
    </row>
    <row r="1367" spans="1:11" x14ac:dyDescent="0.2">
      <c r="A1367" s="4">
        <v>6366</v>
      </c>
      <c r="B1367" s="4">
        <v>1283</v>
      </c>
      <c r="C1367" s="8">
        <v>46046</v>
      </c>
      <c r="D1367" s="8">
        <v>46053</v>
      </c>
      <c r="E1367" s="10">
        <f t="shared" si="21"/>
        <v>7</v>
      </c>
      <c r="F1367" s="4" t="s">
        <v>22</v>
      </c>
      <c r="G1367" s="4" t="s">
        <v>15</v>
      </c>
      <c r="H1367" s="4">
        <v>49137</v>
      </c>
      <c r="I1367" s="4" t="str">
        <f>VLOOKUP(B1367,Customers!$A:$D,4,FALSE)</f>
        <v>Premium</v>
      </c>
      <c r="J1367" s="4" t="s">
        <v>37</v>
      </c>
      <c r="K1367" s="4" t="s">
        <v>36</v>
      </c>
    </row>
    <row r="1368" spans="1:11" x14ac:dyDescent="0.2">
      <c r="A1368" s="4">
        <v>6367</v>
      </c>
      <c r="B1368" s="4">
        <v>1205</v>
      </c>
      <c r="C1368" s="8">
        <v>46134</v>
      </c>
      <c r="D1368" s="8">
        <v>46144</v>
      </c>
      <c r="E1368" s="10">
        <f t="shared" si="21"/>
        <v>10</v>
      </c>
      <c r="F1368" s="4" t="s">
        <v>24</v>
      </c>
      <c r="G1368" s="4" t="s">
        <v>14</v>
      </c>
      <c r="H1368" s="4">
        <v>11635</v>
      </c>
      <c r="I1368" s="4" t="str">
        <f>VLOOKUP(B1368,Customers!$A:$D,4,FALSE)</f>
        <v>Regular</v>
      </c>
      <c r="J1368" s="4" t="s">
        <v>35</v>
      </c>
      <c r="K1368" s="4" t="s">
        <v>36</v>
      </c>
    </row>
    <row r="1369" spans="1:11" x14ac:dyDescent="0.2">
      <c r="A1369" s="4">
        <v>6368</v>
      </c>
      <c r="B1369" s="4">
        <v>1053</v>
      </c>
      <c r="C1369" s="8">
        <v>46094</v>
      </c>
      <c r="D1369" s="8">
        <v>46102</v>
      </c>
      <c r="E1369" s="10">
        <f t="shared" si="21"/>
        <v>8</v>
      </c>
      <c r="F1369" s="4" t="s">
        <v>22</v>
      </c>
      <c r="G1369" s="4" t="s">
        <v>13</v>
      </c>
      <c r="H1369" s="4">
        <v>13789</v>
      </c>
      <c r="I1369" s="4" t="str">
        <f>VLOOKUP(B1369,Customers!$A:$D,4,FALSE)</f>
        <v>Regular</v>
      </c>
      <c r="J1369" s="4" t="s">
        <v>37</v>
      </c>
      <c r="K1369" s="4" t="s">
        <v>36</v>
      </c>
    </row>
    <row r="1370" spans="1:11" x14ac:dyDescent="0.2">
      <c r="A1370" s="4">
        <v>6369</v>
      </c>
      <c r="B1370" s="4">
        <v>1217</v>
      </c>
      <c r="C1370" s="8">
        <v>46133</v>
      </c>
      <c r="D1370" s="8">
        <v>46142</v>
      </c>
      <c r="E1370" s="10">
        <f t="shared" si="21"/>
        <v>9</v>
      </c>
      <c r="F1370" s="4" t="s">
        <v>22</v>
      </c>
      <c r="G1370" s="4" t="s">
        <v>14</v>
      </c>
      <c r="H1370" s="4">
        <v>41123</v>
      </c>
      <c r="I1370" s="4" t="str">
        <f>VLOOKUP(B1370,Customers!$A:$D,4,FALSE)</f>
        <v>Regular</v>
      </c>
      <c r="J1370" s="4" t="s">
        <v>35</v>
      </c>
      <c r="K1370" s="4" t="s">
        <v>36</v>
      </c>
    </row>
    <row r="1371" spans="1:11" x14ac:dyDescent="0.2">
      <c r="A1371" s="4">
        <v>6370</v>
      </c>
      <c r="B1371" s="4">
        <v>1103</v>
      </c>
      <c r="C1371" s="8">
        <v>46121</v>
      </c>
      <c r="D1371" s="8">
        <v>46129</v>
      </c>
      <c r="E1371" s="10">
        <f t="shared" si="21"/>
        <v>8</v>
      </c>
      <c r="F1371" s="4" t="s">
        <v>19</v>
      </c>
      <c r="G1371" s="4" t="s">
        <v>14</v>
      </c>
      <c r="H1371" s="4">
        <v>41764</v>
      </c>
      <c r="I1371" s="4" t="str">
        <f>VLOOKUP(B1371,Customers!$A:$D,4,FALSE)</f>
        <v>Premium</v>
      </c>
      <c r="J1371" s="4" t="s">
        <v>35</v>
      </c>
      <c r="K1371" s="4" t="s">
        <v>36</v>
      </c>
    </row>
    <row r="1372" spans="1:11" x14ac:dyDescent="0.2">
      <c r="A1372" s="4">
        <v>6371</v>
      </c>
      <c r="B1372" s="4">
        <v>1018</v>
      </c>
      <c r="C1372" s="8">
        <v>46138</v>
      </c>
      <c r="D1372" s="8">
        <v>46142</v>
      </c>
      <c r="E1372" s="10">
        <f t="shared" si="21"/>
        <v>4</v>
      </c>
      <c r="F1372" s="4" t="s">
        <v>22</v>
      </c>
      <c r="G1372" s="4" t="s">
        <v>11</v>
      </c>
      <c r="H1372" s="4">
        <v>27157</v>
      </c>
      <c r="I1372" s="4" t="str">
        <f>VLOOKUP(B1372,Customers!$A:$D,4,FALSE)</f>
        <v>Premium</v>
      </c>
      <c r="J1372" s="4" t="s">
        <v>37</v>
      </c>
      <c r="K1372" s="4" t="s">
        <v>36</v>
      </c>
    </row>
    <row r="1373" spans="1:11" x14ac:dyDescent="0.2">
      <c r="A1373" s="4">
        <v>6372</v>
      </c>
      <c r="B1373" s="4">
        <v>1204</v>
      </c>
      <c r="C1373" s="8">
        <v>46158</v>
      </c>
      <c r="D1373" s="8">
        <v>46165</v>
      </c>
      <c r="E1373" s="10">
        <f t="shared" si="21"/>
        <v>7</v>
      </c>
      <c r="F1373" s="4" t="s">
        <v>20</v>
      </c>
      <c r="G1373" s="4" t="s">
        <v>12</v>
      </c>
      <c r="H1373" s="4">
        <v>12090</v>
      </c>
      <c r="I1373" s="4" t="str">
        <f>VLOOKUP(B1373,Customers!$A:$D,4,FALSE)</f>
        <v>Premium</v>
      </c>
      <c r="J1373" s="4" t="s">
        <v>37</v>
      </c>
      <c r="K1373" s="4" t="s">
        <v>36</v>
      </c>
    </row>
    <row r="1374" spans="1:11" x14ac:dyDescent="0.2">
      <c r="A1374" s="4">
        <v>6373</v>
      </c>
      <c r="B1374" s="4">
        <v>1184</v>
      </c>
      <c r="C1374" s="8">
        <v>46132</v>
      </c>
      <c r="D1374" s="8">
        <v>46136</v>
      </c>
      <c r="E1374" s="10">
        <f t="shared" si="21"/>
        <v>4</v>
      </c>
      <c r="F1374" s="4" t="s">
        <v>24</v>
      </c>
      <c r="G1374" s="4" t="s">
        <v>12</v>
      </c>
      <c r="H1374" s="4">
        <v>14402</v>
      </c>
      <c r="I1374" s="4" t="str">
        <f>VLOOKUP(B1374,Customers!$A:$D,4,FALSE)</f>
        <v>Premium</v>
      </c>
      <c r="J1374" s="4" t="s">
        <v>37</v>
      </c>
      <c r="K1374" s="4" t="s">
        <v>36</v>
      </c>
    </row>
    <row r="1375" spans="1:11" x14ac:dyDescent="0.2">
      <c r="A1375" s="4">
        <v>6374</v>
      </c>
      <c r="B1375" s="4">
        <v>1161</v>
      </c>
      <c r="C1375" s="8">
        <v>46118</v>
      </c>
      <c r="D1375" s="8">
        <v>46122</v>
      </c>
      <c r="E1375" s="10">
        <f t="shared" si="21"/>
        <v>4</v>
      </c>
      <c r="F1375" s="4" t="s">
        <v>23</v>
      </c>
      <c r="G1375" s="4" t="s">
        <v>12</v>
      </c>
      <c r="H1375" s="4">
        <v>21179</v>
      </c>
      <c r="I1375" s="4" t="str">
        <f>VLOOKUP(B1375,Customers!$A:$D,4,FALSE)</f>
        <v>Regular</v>
      </c>
      <c r="J1375" s="4" t="s">
        <v>35</v>
      </c>
      <c r="K1375" s="4" t="s">
        <v>36</v>
      </c>
    </row>
    <row r="1376" spans="1:11" x14ac:dyDescent="0.2">
      <c r="A1376" s="4">
        <v>6375</v>
      </c>
      <c r="B1376" s="4">
        <v>1239</v>
      </c>
      <c r="C1376" s="8">
        <v>46107</v>
      </c>
      <c r="D1376" s="8">
        <v>46112</v>
      </c>
      <c r="E1376" s="10">
        <f t="shared" si="21"/>
        <v>5</v>
      </c>
      <c r="F1376" s="4" t="s">
        <v>19</v>
      </c>
      <c r="G1376" s="4" t="s">
        <v>13</v>
      </c>
      <c r="H1376" s="4">
        <v>37107</v>
      </c>
      <c r="I1376" s="4" t="str">
        <f>VLOOKUP(B1376,Customers!$A:$D,4,FALSE)</f>
        <v>Premium</v>
      </c>
      <c r="J1376" s="4" t="s">
        <v>35</v>
      </c>
      <c r="K1376" s="4" t="s">
        <v>36</v>
      </c>
    </row>
    <row r="1377" spans="1:11" x14ac:dyDescent="0.2">
      <c r="A1377" s="4">
        <v>6376</v>
      </c>
      <c r="B1377" s="4">
        <v>1109</v>
      </c>
      <c r="C1377" s="8">
        <v>46121</v>
      </c>
      <c r="D1377" s="8">
        <v>46127</v>
      </c>
      <c r="E1377" s="10">
        <f t="shared" si="21"/>
        <v>6</v>
      </c>
      <c r="F1377" s="4" t="s">
        <v>24</v>
      </c>
      <c r="G1377" s="4" t="s">
        <v>12</v>
      </c>
      <c r="H1377" s="4">
        <v>37062</v>
      </c>
      <c r="I1377" s="4" t="str">
        <f>VLOOKUP(B1377,Customers!$A:$D,4,FALSE)</f>
        <v>Premium</v>
      </c>
      <c r="J1377" s="4" t="s">
        <v>37</v>
      </c>
      <c r="K1377" s="4" t="s">
        <v>36</v>
      </c>
    </row>
    <row r="1378" spans="1:11" x14ac:dyDescent="0.2">
      <c r="A1378" s="4">
        <v>6377</v>
      </c>
      <c r="B1378" s="4">
        <v>1223</v>
      </c>
      <c r="C1378" s="8">
        <v>46042</v>
      </c>
      <c r="D1378" s="8">
        <v>46050</v>
      </c>
      <c r="E1378" s="10">
        <f t="shared" si="21"/>
        <v>8</v>
      </c>
      <c r="F1378" s="4" t="s">
        <v>19</v>
      </c>
      <c r="G1378" s="4" t="s">
        <v>14</v>
      </c>
      <c r="H1378" s="4">
        <v>13285</v>
      </c>
      <c r="I1378" s="4" t="str">
        <f>VLOOKUP(B1378,Customers!$A:$D,4,FALSE)</f>
        <v>Regular</v>
      </c>
      <c r="J1378" s="4" t="s">
        <v>35</v>
      </c>
      <c r="K1378" s="4" t="s">
        <v>36</v>
      </c>
    </row>
    <row r="1379" spans="1:11" x14ac:dyDescent="0.2">
      <c r="A1379" s="4">
        <v>6378</v>
      </c>
      <c r="B1379" s="4">
        <v>1256</v>
      </c>
      <c r="C1379" s="8">
        <v>46035</v>
      </c>
      <c r="D1379" s="8">
        <v>46044</v>
      </c>
      <c r="E1379" s="10">
        <f t="shared" si="21"/>
        <v>9</v>
      </c>
      <c r="F1379" s="4" t="s">
        <v>20</v>
      </c>
      <c r="G1379" s="4" t="s">
        <v>14</v>
      </c>
      <c r="H1379" s="4">
        <v>27906</v>
      </c>
      <c r="I1379" s="4" t="str">
        <f>VLOOKUP(B1379,Customers!$A:$D,4,FALSE)</f>
        <v>Premium</v>
      </c>
      <c r="J1379" s="4" t="s">
        <v>35</v>
      </c>
      <c r="K1379" s="4" t="s">
        <v>36</v>
      </c>
    </row>
    <row r="1380" spans="1:11" x14ac:dyDescent="0.2">
      <c r="A1380" s="4">
        <v>6379</v>
      </c>
      <c r="B1380" s="4">
        <v>1088</v>
      </c>
      <c r="C1380" s="8">
        <v>46054</v>
      </c>
      <c r="D1380" s="8">
        <v>46063</v>
      </c>
      <c r="E1380" s="10">
        <f t="shared" si="21"/>
        <v>9</v>
      </c>
      <c r="F1380" s="4" t="s">
        <v>19</v>
      </c>
      <c r="G1380" s="4" t="s">
        <v>11</v>
      </c>
      <c r="H1380" s="4">
        <v>25390</v>
      </c>
      <c r="I1380" s="4" t="str">
        <f>VLOOKUP(B1380,Customers!$A:$D,4,FALSE)</f>
        <v>Regular</v>
      </c>
      <c r="J1380" s="4" t="s">
        <v>35</v>
      </c>
      <c r="K1380" s="4" t="s">
        <v>36</v>
      </c>
    </row>
    <row r="1381" spans="1:11" x14ac:dyDescent="0.2">
      <c r="A1381" s="4">
        <v>6380</v>
      </c>
      <c r="B1381" s="4">
        <v>1146</v>
      </c>
      <c r="C1381" s="8">
        <v>46170</v>
      </c>
      <c r="D1381" s="8">
        <v>46172</v>
      </c>
      <c r="E1381" s="10">
        <f t="shared" si="21"/>
        <v>2</v>
      </c>
      <c r="F1381" s="4" t="s">
        <v>20</v>
      </c>
      <c r="G1381" s="4" t="s">
        <v>11</v>
      </c>
      <c r="H1381" s="4">
        <v>604</v>
      </c>
      <c r="I1381" s="4" t="str">
        <f>VLOOKUP(B1381,Customers!$A:$D,4,FALSE)</f>
        <v>Regular</v>
      </c>
      <c r="J1381" s="4" t="s">
        <v>37</v>
      </c>
      <c r="K1381" s="4" t="s">
        <v>36</v>
      </c>
    </row>
    <row r="1382" spans="1:11" x14ac:dyDescent="0.2">
      <c r="A1382" s="4">
        <v>6381</v>
      </c>
      <c r="B1382" s="4">
        <v>1207</v>
      </c>
      <c r="C1382" s="8">
        <v>46095</v>
      </c>
      <c r="D1382" s="8">
        <v>46099</v>
      </c>
      <c r="E1382" s="10">
        <f t="shared" si="21"/>
        <v>4</v>
      </c>
      <c r="F1382" s="4" t="s">
        <v>20</v>
      </c>
      <c r="G1382" s="4" t="s">
        <v>11</v>
      </c>
      <c r="H1382" s="4">
        <v>34871</v>
      </c>
      <c r="I1382" s="4" t="str">
        <f>VLOOKUP(B1382,Customers!$A:$D,4,FALSE)</f>
        <v>Premium</v>
      </c>
      <c r="J1382" s="4" t="s">
        <v>35</v>
      </c>
      <c r="K1382" s="4" t="s">
        <v>36</v>
      </c>
    </row>
    <row r="1383" spans="1:11" x14ac:dyDescent="0.2">
      <c r="A1383" s="4">
        <v>6382</v>
      </c>
      <c r="B1383" s="4">
        <v>1036</v>
      </c>
      <c r="C1383" s="8">
        <v>46109</v>
      </c>
      <c r="D1383" s="8">
        <v>46111</v>
      </c>
      <c r="E1383" s="10">
        <f t="shared" si="21"/>
        <v>2</v>
      </c>
      <c r="F1383" s="4" t="s">
        <v>25</v>
      </c>
      <c r="G1383" s="4" t="s">
        <v>12</v>
      </c>
      <c r="H1383" s="4">
        <v>27502</v>
      </c>
      <c r="I1383" s="4" t="str">
        <f>VLOOKUP(B1383,Customers!$A:$D,4,FALSE)</f>
        <v>Regular</v>
      </c>
      <c r="J1383" s="4" t="s">
        <v>37</v>
      </c>
      <c r="K1383" s="4" t="s">
        <v>36</v>
      </c>
    </row>
    <row r="1384" spans="1:11" x14ac:dyDescent="0.2">
      <c r="A1384" s="4">
        <v>6383</v>
      </c>
      <c r="B1384" s="4">
        <v>1178</v>
      </c>
      <c r="C1384" s="8">
        <v>46093</v>
      </c>
      <c r="D1384" s="8">
        <v>46100</v>
      </c>
      <c r="E1384" s="10">
        <f t="shared" si="21"/>
        <v>7</v>
      </c>
      <c r="F1384" s="4" t="s">
        <v>21</v>
      </c>
      <c r="G1384" s="4" t="s">
        <v>12</v>
      </c>
      <c r="H1384" s="4">
        <v>36767</v>
      </c>
      <c r="I1384" s="4" t="str">
        <f>VLOOKUP(B1384,Customers!$A:$D,4,FALSE)</f>
        <v>Premium</v>
      </c>
      <c r="J1384" s="4" t="s">
        <v>37</v>
      </c>
      <c r="K1384" s="4" t="s">
        <v>36</v>
      </c>
    </row>
    <row r="1385" spans="1:11" x14ac:dyDescent="0.2">
      <c r="A1385" s="4">
        <v>6384</v>
      </c>
      <c r="B1385" s="4">
        <v>1202</v>
      </c>
      <c r="C1385" s="8">
        <v>46149</v>
      </c>
      <c r="D1385" s="8">
        <v>46151</v>
      </c>
      <c r="E1385" s="10">
        <f t="shared" si="21"/>
        <v>2</v>
      </c>
      <c r="F1385" s="4" t="s">
        <v>22</v>
      </c>
      <c r="G1385" s="4" t="s">
        <v>15</v>
      </c>
      <c r="H1385" s="4">
        <v>32631</v>
      </c>
      <c r="I1385" s="4" t="str">
        <f>VLOOKUP(B1385,Customers!$A:$D,4,FALSE)</f>
        <v>Premium</v>
      </c>
      <c r="J1385" s="4" t="s">
        <v>35</v>
      </c>
      <c r="K1385" s="4" t="s">
        <v>36</v>
      </c>
    </row>
    <row r="1386" spans="1:11" x14ac:dyDescent="0.2">
      <c r="A1386" s="4">
        <v>6385</v>
      </c>
      <c r="B1386" s="4">
        <v>1015</v>
      </c>
      <c r="C1386" s="8">
        <v>46118</v>
      </c>
      <c r="D1386" s="8">
        <v>46121</v>
      </c>
      <c r="E1386" s="10">
        <f t="shared" si="21"/>
        <v>3</v>
      </c>
      <c r="F1386" s="4" t="s">
        <v>24</v>
      </c>
      <c r="G1386" s="4" t="s">
        <v>12</v>
      </c>
      <c r="H1386" s="4">
        <v>981</v>
      </c>
      <c r="I1386" s="4" t="str">
        <f>VLOOKUP(B1386,Customers!$A:$D,4,FALSE)</f>
        <v>Regular</v>
      </c>
      <c r="J1386" s="4" t="s">
        <v>35</v>
      </c>
      <c r="K1386" s="4" t="s">
        <v>36</v>
      </c>
    </row>
    <row r="1387" spans="1:11" x14ac:dyDescent="0.2">
      <c r="A1387" s="4">
        <v>6386</v>
      </c>
      <c r="B1387" s="4">
        <v>1224</v>
      </c>
      <c r="C1387" s="8">
        <v>46049</v>
      </c>
      <c r="D1387" s="8">
        <v>46056</v>
      </c>
      <c r="E1387" s="10">
        <f t="shared" si="21"/>
        <v>7</v>
      </c>
      <c r="F1387" s="4" t="s">
        <v>24</v>
      </c>
      <c r="G1387" s="4" t="s">
        <v>13</v>
      </c>
      <c r="H1387" s="4">
        <v>6068</v>
      </c>
      <c r="I1387" s="4" t="str">
        <f>VLOOKUP(B1387,Customers!$A:$D,4,FALSE)</f>
        <v>Premium</v>
      </c>
      <c r="J1387" s="4" t="s">
        <v>35</v>
      </c>
      <c r="K1387" s="4" t="s">
        <v>36</v>
      </c>
    </row>
    <row r="1388" spans="1:11" x14ac:dyDescent="0.2">
      <c r="A1388" s="4">
        <v>6387</v>
      </c>
      <c r="B1388" s="4">
        <v>1003</v>
      </c>
      <c r="C1388" s="8">
        <v>46117</v>
      </c>
      <c r="D1388" s="8">
        <v>46127</v>
      </c>
      <c r="E1388" s="10">
        <f t="shared" si="21"/>
        <v>10</v>
      </c>
      <c r="F1388" s="4" t="s">
        <v>20</v>
      </c>
      <c r="G1388" s="4" t="s">
        <v>14</v>
      </c>
      <c r="H1388" s="4">
        <v>3123</v>
      </c>
      <c r="I1388" s="4" t="str">
        <f>VLOOKUP(B1388,Customers!$A:$D,4,FALSE)</f>
        <v>Premium</v>
      </c>
      <c r="J1388" s="4" t="s">
        <v>35</v>
      </c>
      <c r="K1388" s="4" t="s">
        <v>36</v>
      </c>
    </row>
    <row r="1389" spans="1:11" x14ac:dyDescent="0.2">
      <c r="A1389" s="4">
        <v>6388</v>
      </c>
      <c r="B1389" s="4">
        <v>1039</v>
      </c>
      <c r="C1389" s="8">
        <v>46035</v>
      </c>
      <c r="D1389" s="8">
        <v>46041</v>
      </c>
      <c r="E1389" s="10">
        <f t="shared" si="21"/>
        <v>6</v>
      </c>
      <c r="F1389" s="4" t="s">
        <v>22</v>
      </c>
      <c r="G1389" s="4" t="s">
        <v>14</v>
      </c>
      <c r="H1389" s="4">
        <v>45383</v>
      </c>
      <c r="I1389" s="4" t="str">
        <f>VLOOKUP(B1389,Customers!$A:$D,4,FALSE)</f>
        <v>Regular</v>
      </c>
      <c r="J1389" s="4" t="s">
        <v>37</v>
      </c>
      <c r="K1389" s="4" t="s">
        <v>36</v>
      </c>
    </row>
    <row r="1390" spans="1:11" x14ac:dyDescent="0.2">
      <c r="A1390" s="4">
        <v>6389</v>
      </c>
      <c r="B1390" s="4">
        <v>1071</v>
      </c>
      <c r="C1390" s="8">
        <v>46092</v>
      </c>
      <c r="D1390" s="8">
        <v>46096</v>
      </c>
      <c r="E1390" s="10">
        <f t="shared" si="21"/>
        <v>4</v>
      </c>
      <c r="F1390" s="4" t="s">
        <v>25</v>
      </c>
      <c r="G1390" s="4" t="s">
        <v>12</v>
      </c>
      <c r="H1390" s="4">
        <v>8576</v>
      </c>
      <c r="I1390" s="4" t="str">
        <f>VLOOKUP(B1390,Customers!$A:$D,4,FALSE)</f>
        <v>Regular</v>
      </c>
      <c r="J1390" s="4" t="s">
        <v>37</v>
      </c>
      <c r="K1390" s="4" t="s">
        <v>36</v>
      </c>
    </row>
    <row r="1391" spans="1:11" x14ac:dyDescent="0.2">
      <c r="A1391" s="4">
        <v>6390</v>
      </c>
      <c r="B1391" s="4">
        <v>1229</v>
      </c>
      <c r="C1391" s="8">
        <v>46060</v>
      </c>
      <c r="D1391" s="8">
        <v>46068</v>
      </c>
      <c r="E1391" s="10">
        <f t="shared" si="21"/>
        <v>8</v>
      </c>
      <c r="F1391" s="4" t="s">
        <v>23</v>
      </c>
      <c r="G1391" s="4" t="s">
        <v>11</v>
      </c>
      <c r="H1391" s="4">
        <v>34876</v>
      </c>
      <c r="I1391" s="4" t="str">
        <f>VLOOKUP(B1391,Customers!$A:$D,4,FALSE)</f>
        <v>Premium</v>
      </c>
      <c r="J1391" s="4" t="s">
        <v>35</v>
      </c>
      <c r="K1391" s="4" t="s">
        <v>36</v>
      </c>
    </row>
    <row r="1392" spans="1:11" x14ac:dyDescent="0.2">
      <c r="A1392" s="4">
        <v>6391</v>
      </c>
      <c r="B1392" s="4">
        <v>1251</v>
      </c>
      <c r="C1392" s="8">
        <v>46170</v>
      </c>
      <c r="D1392" s="8">
        <v>46179</v>
      </c>
      <c r="E1392" s="10">
        <f t="shared" si="21"/>
        <v>9</v>
      </c>
      <c r="F1392" s="4" t="s">
        <v>22</v>
      </c>
      <c r="G1392" s="4" t="s">
        <v>14</v>
      </c>
      <c r="H1392" s="4">
        <v>48197</v>
      </c>
      <c r="I1392" s="4" t="str">
        <f>VLOOKUP(B1392,Customers!$A:$D,4,FALSE)</f>
        <v>Premium</v>
      </c>
      <c r="J1392" s="4" t="s">
        <v>37</v>
      </c>
      <c r="K1392" s="4" t="s">
        <v>36</v>
      </c>
    </row>
    <row r="1393" spans="1:11" x14ac:dyDescent="0.2">
      <c r="A1393" s="4">
        <v>6392</v>
      </c>
      <c r="B1393" s="4">
        <v>1136</v>
      </c>
      <c r="C1393" s="8">
        <v>46080</v>
      </c>
      <c r="D1393" s="8">
        <v>46083</v>
      </c>
      <c r="E1393" s="10">
        <f t="shared" si="21"/>
        <v>3</v>
      </c>
      <c r="F1393" s="4" t="s">
        <v>22</v>
      </c>
      <c r="G1393" s="4" t="s">
        <v>12</v>
      </c>
      <c r="H1393" s="4">
        <v>23434</v>
      </c>
      <c r="I1393" s="4" t="str">
        <f>VLOOKUP(B1393,Customers!$A:$D,4,FALSE)</f>
        <v>Regular</v>
      </c>
      <c r="J1393" s="4" t="s">
        <v>35</v>
      </c>
      <c r="K1393" s="4" t="s">
        <v>36</v>
      </c>
    </row>
    <row r="1394" spans="1:11" x14ac:dyDescent="0.2">
      <c r="A1394" s="4">
        <v>6393</v>
      </c>
      <c r="B1394" s="4">
        <v>1039</v>
      </c>
      <c r="C1394" s="8">
        <v>46075</v>
      </c>
      <c r="D1394" s="8">
        <v>46078</v>
      </c>
      <c r="E1394" s="10">
        <f t="shared" si="21"/>
        <v>3</v>
      </c>
      <c r="F1394" s="4" t="s">
        <v>25</v>
      </c>
      <c r="G1394" s="4" t="s">
        <v>12</v>
      </c>
      <c r="H1394" s="4">
        <v>14224</v>
      </c>
      <c r="I1394" s="4" t="str">
        <f>VLOOKUP(B1394,Customers!$A:$D,4,FALSE)</f>
        <v>Regular</v>
      </c>
      <c r="J1394" s="4" t="s">
        <v>35</v>
      </c>
      <c r="K1394" s="4" t="s">
        <v>36</v>
      </c>
    </row>
    <row r="1395" spans="1:11" x14ac:dyDescent="0.2">
      <c r="A1395" s="4">
        <v>6394</v>
      </c>
      <c r="B1395" s="4">
        <v>1198</v>
      </c>
      <c r="C1395" s="8">
        <v>46078</v>
      </c>
      <c r="D1395" s="8">
        <v>46087</v>
      </c>
      <c r="E1395" s="10">
        <f t="shared" si="21"/>
        <v>9</v>
      </c>
      <c r="F1395" s="4" t="s">
        <v>24</v>
      </c>
      <c r="G1395" s="4" t="s">
        <v>15</v>
      </c>
      <c r="H1395" s="4">
        <v>7150</v>
      </c>
      <c r="I1395" s="4" t="str">
        <f>VLOOKUP(B1395,Customers!$A:$D,4,FALSE)</f>
        <v>Premium</v>
      </c>
      <c r="J1395" s="4" t="s">
        <v>37</v>
      </c>
      <c r="K1395" s="4" t="s">
        <v>36</v>
      </c>
    </row>
    <row r="1396" spans="1:11" x14ac:dyDescent="0.2">
      <c r="A1396" s="4">
        <v>6395</v>
      </c>
      <c r="B1396" s="4">
        <v>1264</v>
      </c>
      <c r="C1396" s="8">
        <v>46076</v>
      </c>
      <c r="D1396" s="8">
        <v>46086</v>
      </c>
      <c r="E1396" s="10">
        <f t="shared" si="21"/>
        <v>10</v>
      </c>
      <c r="F1396" s="4" t="s">
        <v>19</v>
      </c>
      <c r="G1396" s="4" t="s">
        <v>14</v>
      </c>
      <c r="H1396" s="4">
        <v>46733</v>
      </c>
      <c r="I1396" s="4" t="str">
        <f>VLOOKUP(B1396,Customers!$A:$D,4,FALSE)</f>
        <v>Premium</v>
      </c>
      <c r="J1396" s="4" t="s">
        <v>37</v>
      </c>
      <c r="K1396" s="4" t="s">
        <v>36</v>
      </c>
    </row>
    <row r="1397" spans="1:11" x14ac:dyDescent="0.2">
      <c r="A1397" s="4">
        <v>6396</v>
      </c>
      <c r="B1397" s="4">
        <v>1055</v>
      </c>
      <c r="C1397" s="8">
        <v>46062</v>
      </c>
      <c r="D1397" s="8">
        <v>46072</v>
      </c>
      <c r="E1397" s="10">
        <f t="shared" si="21"/>
        <v>10</v>
      </c>
      <c r="F1397" s="4" t="s">
        <v>18</v>
      </c>
      <c r="G1397" s="4" t="s">
        <v>13</v>
      </c>
      <c r="H1397" s="4">
        <v>24131</v>
      </c>
      <c r="I1397" s="4" t="str">
        <f>VLOOKUP(B1397,Customers!$A:$D,4,FALSE)</f>
        <v>Regular</v>
      </c>
      <c r="J1397" s="4" t="s">
        <v>37</v>
      </c>
      <c r="K1397" s="4" t="s">
        <v>36</v>
      </c>
    </row>
    <row r="1398" spans="1:11" x14ac:dyDescent="0.2">
      <c r="A1398" s="4">
        <v>6397</v>
      </c>
      <c r="B1398" s="4">
        <v>1104</v>
      </c>
      <c r="C1398" s="8">
        <v>46138</v>
      </c>
      <c r="D1398" s="8">
        <v>46148</v>
      </c>
      <c r="E1398" s="10">
        <f t="shared" si="21"/>
        <v>10</v>
      </c>
      <c r="F1398" s="4" t="s">
        <v>21</v>
      </c>
      <c r="G1398" s="4" t="s">
        <v>13</v>
      </c>
      <c r="H1398" s="4">
        <v>4798</v>
      </c>
      <c r="I1398" s="4" t="str">
        <f>VLOOKUP(B1398,Customers!$A:$D,4,FALSE)</f>
        <v>Regular</v>
      </c>
      <c r="J1398" s="4" t="s">
        <v>37</v>
      </c>
      <c r="K1398" s="4" t="s">
        <v>36</v>
      </c>
    </row>
    <row r="1399" spans="1:11" x14ac:dyDescent="0.2">
      <c r="A1399" s="4">
        <v>6398</v>
      </c>
      <c r="B1399" s="4">
        <v>1158</v>
      </c>
      <c r="C1399" s="8">
        <v>46131</v>
      </c>
      <c r="D1399" s="8">
        <v>46135</v>
      </c>
      <c r="E1399" s="10">
        <f t="shared" si="21"/>
        <v>4</v>
      </c>
      <c r="F1399" s="4" t="s">
        <v>23</v>
      </c>
      <c r="G1399" s="4" t="s">
        <v>13</v>
      </c>
      <c r="H1399" s="4">
        <v>30509</v>
      </c>
      <c r="I1399" s="4" t="str">
        <f>VLOOKUP(B1399,Customers!$A:$D,4,FALSE)</f>
        <v>Premium</v>
      </c>
      <c r="J1399" s="4" t="s">
        <v>35</v>
      </c>
      <c r="K1399" s="4" t="s">
        <v>36</v>
      </c>
    </row>
    <row r="1400" spans="1:11" x14ac:dyDescent="0.2">
      <c r="A1400" s="4">
        <v>6399</v>
      </c>
      <c r="B1400" s="4">
        <v>1009</v>
      </c>
      <c r="C1400" s="8">
        <v>46051</v>
      </c>
      <c r="D1400" s="8">
        <v>46056</v>
      </c>
      <c r="E1400" s="10">
        <f t="shared" si="21"/>
        <v>5</v>
      </c>
      <c r="F1400" s="4" t="s">
        <v>25</v>
      </c>
      <c r="G1400" s="4" t="s">
        <v>13</v>
      </c>
      <c r="H1400" s="4">
        <v>17782</v>
      </c>
      <c r="I1400" s="4" t="str">
        <f>VLOOKUP(B1400,Customers!$A:$D,4,FALSE)</f>
        <v>Regular</v>
      </c>
      <c r="J1400" s="4" t="s">
        <v>35</v>
      </c>
      <c r="K1400" s="4" t="s">
        <v>36</v>
      </c>
    </row>
    <row r="1401" spans="1:11" x14ac:dyDescent="0.2">
      <c r="A1401" s="4">
        <v>6400</v>
      </c>
      <c r="B1401" s="4">
        <v>1232</v>
      </c>
      <c r="C1401" s="8">
        <v>46144</v>
      </c>
      <c r="D1401" s="8">
        <v>46154</v>
      </c>
      <c r="E1401" s="10">
        <f t="shared" si="21"/>
        <v>10</v>
      </c>
      <c r="F1401" s="4" t="s">
        <v>19</v>
      </c>
      <c r="G1401" s="4" t="s">
        <v>14</v>
      </c>
      <c r="H1401" s="4">
        <v>8054</v>
      </c>
      <c r="I1401" s="4" t="str">
        <f>VLOOKUP(B1401,Customers!$A:$D,4,FALSE)</f>
        <v>Regular</v>
      </c>
      <c r="J1401" s="4" t="s">
        <v>35</v>
      </c>
      <c r="K1401" s="4" t="s">
        <v>36</v>
      </c>
    </row>
    <row r="1402" spans="1:11" x14ac:dyDescent="0.2">
      <c r="A1402" s="4">
        <v>6401</v>
      </c>
      <c r="B1402" s="4">
        <v>1109</v>
      </c>
      <c r="C1402" s="8">
        <v>46113</v>
      </c>
      <c r="D1402" s="8">
        <v>46121</v>
      </c>
      <c r="E1402" s="10">
        <f t="shared" si="21"/>
        <v>8</v>
      </c>
      <c r="F1402" s="4" t="s">
        <v>18</v>
      </c>
      <c r="G1402" s="4" t="s">
        <v>15</v>
      </c>
      <c r="H1402" s="4">
        <v>33211</v>
      </c>
      <c r="I1402" s="4" t="str">
        <f>VLOOKUP(B1402,Customers!$A:$D,4,FALSE)</f>
        <v>Premium</v>
      </c>
      <c r="J1402" s="4" t="s">
        <v>37</v>
      </c>
      <c r="K1402" s="4" t="s">
        <v>36</v>
      </c>
    </row>
    <row r="1403" spans="1:11" x14ac:dyDescent="0.2">
      <c r="A1403" s="4">
        <v>6402</v>
      </c>
      <c r="B1403" s="4">
        <v>1028</v>
      </c>
      <c r="C1403" s="8">
        <v>46153</v>
      </c>
      <c r="D1403" s="8">
        <v>46160</v>
      </c>
      <c r="E1403" s="10">
        <f t="shared" si="21"/>
        <v>7</v>
      </c>
      <c r="F1403" s="4" t="s">
        <v>25</v>
      </c>
      <c r="G1403" s="4" t="s">
        <v>14</v>
      </c>
      <c r="H1403" s="4">
        <v>24533</v>
      </c>
      <c r="I1403" s="4" t="str">
        <f>VLOOKUP(B1403,Customers!$A:$D,4,FALSE)</f>
        <v>Regular</v>
      </c>
      <c r="J1403" s="4" t="s">
        <v>35</v>
      </c>
      <c r="K1403" s="4" t="s">
        <v>36</v>
      </c>
    </row>
    <row r="1404" spans="1:11" x14ac:dyDescent="0.2">
      <c r="A1404" s="4">
        <v>6403</v>
      </c>
      <c r="B1404" s="4">
        <v>1217</v>
      </c>
      <c r="C1404" s="8">
        <v>46035</v>
      </c>
      <c r="D1404" s="8">
        <v>46043</v>
      </c>
      <c r="E1404" s="10">
        <f t="shared" si="21"/>
        <v>8</v>
      </c>
      <c r="F1404" s="4" t="s">
        <v>24</v>
      </c>
      <c r="G1404" s="4" t="s">
        <v>14</v>
      </c>
      <c r="H1404" s="4">
        <v>12715</v>
      </c>
      <c r="I1404" s="4" t="str">
        <f>VLOOKUP(B1404,Customers!$A:$D,4,FALSE)</f>
        <v>Regular</v>
      </c>
      <c r="J1404" s="4" t="s">
        <v>37</v>
      </c>
      <c r="K1404" s="4" t="s">
        <v>36</v>
      </c>
    </row>
    <row r="1405" spans="1:11" x14ac:dyDescent="0.2">
      <c r="A1405" s="4">
        <v>6404</v>
      </c>
      <c r="B1405" s="4">
        <v>1272</v>
      </c>
      <c r="C1405" s="8">
        <v>46068</v>
      </c>
      <c r="D1405" s="8">
        <v>46074</v>
      </c>
      <c r="E1405" s="10">
        <f t="shared" si="21"/>
        <v>6</v>
      </c>
      <c r="F1405" s="4" t="s">
        <v>25</v>
      </c>
      <c r="G1405" s="4" t="s">
        <v>11</v>
      </c>
      <c r="H1405" s="4">
        <v>28714</v>
      </c>
      <c r="I1405" s="4" t="str">
        <f>VLOOKUP(B1405,Customers!$A:$D,4,FALSE)</f>
        <v>Premium</v>
      </c>
      <c r="J1405" s="4" t="s">
        <v>35</v>
      </c>
      <c r="K1405" s="4" t="s">
        <v>36</v>
      </c>
    </row>
    <row r="1406" spans="1:11" x14ac:dyDescent="0.2">
      <c r="A1406" s="4">
        <v>6405</v>
      </c>
      <c r="B1406" s="4">
        <v>1057</v>
      </c>
      <c r="C1406" s="8">
        <v>46035</v>
      </c>
      <c r="D1406" s="8">
        <v>46040</v>
      </c>
      <c r="E1406" s="10">
        <f t="shared" si="21"/>
        <v>5</v>
      </c>
      <c r="F1406" s="4" t="s">
        <v>24</v>
      </c>
      <c r="G1406" s="4" t="s">
        <v>12</v>
      </c>
      <c r="H1406" s="4">
        <v>3782</v>
      </c>
      <c r="I1406" s="4" t="str">
        <f>VLOOKUP(B1406,Customers!$A:$D,4,FALSE)</f>
        <v>Regular</v>
      </c>
      <c r="J1406" s="4" t="s">
        <v>35</v>
      </c>
      <c r="K1406" s="4" t="s">
        <v>36</v>
      </c>
    </row>
    <row r="1407" spans="1:11" x14ac:dyDescent="0.2">
      <c r="A1407" s="4">
        <v>6406</v>
      </c>
      <c r="B1407" s="4">
        <v>1123</v>
      </c>
      <c r="C1407" s="8">
        <v>46170</v>
      </c>
      <c r="D1407" s="8">
        <v>46176</v>
      </c>
      <c r="E1407" s="10">
        <f t="shared" si="21"/>
        <v>6</v>
      </c>
      <c r="F1407" s="4" t="s">
        <v>23</v>
      </c>
      <c r="G1407" s="4" t="s">
        <v>11</v>
      </c>
      <c r="H1407" s="4">
        <v>6921</v>
      </c>
      <c r="I1407" s="4" t="str">
        <f>VLOOKUP(B1407,Customers!$A:$D,4,FALSE)</f>
        <v>Premium</v>
      </c>
      <c r="J1407" s="4" t="s">
        <v>37</v>
      </c>
      <c r="K1407" s="4" t="s">
        <v>36</v>
      </c>
    </row>
    <row r="1408" spans="1:11" x14ac:dyDescent="0.2">
      <c r="A1408" s="4">
        <v>6407</v>
      </c>
      <c r="B1408" s="4">
        <v>1201</v>
      </c>
      <c r="C1408" s="8">
        <v>46080</v>
      </c>
      <c r="D1408" s="8">
        <v>46088</v>
      </c>
      <c r="E1408" s="10">
        <f t="shared" si="21"/>
        <v>8</v>
      </c>
      <c r="F1408" s="4" t="s">
        <v>21</v>
      </c>
      <c r="G1408" s="4" t="s">
        <v>12</v>
      </c>
      <c r="H1408" s="4">
        <v>14710</v>
      </c>
      <c r="I1408" s="4" t="str">
        <f>VLOOKUP(B1408,Customers!$A:$D,4,FALSE)</f>
        <v>Premium</v>
      </c>
      <c r="J1408" s="4" t="s">
        <v>37</v>
      </c>
      <c r="K1408" s="4" t="s">
        <v>36</v>
      </c>
    </row>
    <row r="1409" spans="1:11" x14ac:dyDescent="0.2">
      <c r="A1409" s="4">
        <v>6408</v>
      </c>
      <c r="B1409" s="4">
        <v>1088</v>
      </c>
      <c r="C1409" s="8">
        <v>46149</v>
      </c>
      <c r="D1409" s="8">
        <v>46154</v>
      </c>
      <c r="E1409" s="10">
        <f t="shared" si="21"/>
        <v>5</v>
      </c>
      <c r="F1409" s="4" t="s">
        <v>24</v>
      </c>
      <c r="G1409" s="4" t="s">
        <v>14</v>
      </c>
      <c r="H1409" s="4">
        <v>42039</v>
      </c>
      <c r="I1409" s="4" t="str">
        <f>VLOOKUP(B1409,Customers!$A:$D,4,FALSE)</f>
        <v>Regular</v>
      </c>
      <c r="J1409" s="4" t="s">
        <v>37</v>
      </c>
      <c r="K1409" s="4" t="s">
        <v>36</v>
      </c>
    </row>
    <row r="1410" spans="1:11" x14ac:dyDescent="0.2">
      <c r="A1410" s="4">
        <v>6409</v>
      </c>
      <c r="B1410" s="4">
        <v>1049</v>
      </c>
      <c r="C1410" s="8">
        <v>46096</v>
      </c>
      <c r="D1410" s="8">
        <v>46098</v>
      </c>
      <c r="E1410" s="10">
        <f t="shared" si="21"/>
        <v>2</v>
      </c>
      <c r="F1410" s="4" t="s">
        <v>18</v>
      </c>
      <c r="G1410" s="4" t="s">
        <v>11</v>
      </c>
      <c r="H1410" s="4">
        <v>46206</v>
      </c>
      <c r="I1410" s="4" t="str">
        <f>VLOOKUP(B1410,Customers!$A:$D,4,FALSE)</f>
        <v>Regular</v>
      </c>
      <c r="J1410" s="4" t="s">
        <v>37</v>
      </c>
      <c r="K1410" s="4" t="s">
        <v>36</v>
      </c>
    </row>
    <row r="1411" spans="1:11" x14ac:dyDescent="0.2">
      <c r="A1411" s="4">
        <v>6410</v>
      </c>
      <c r="B1411" s="4">
        <v>1088</v>
      </c>
      <c r="C1411" s="8">
        <v>46101</v>
      </c>
      <c r="D1411" s="8">
        <v>46106</v>
      </c>
      <c r="E1411" s="10">
        <f t="shared" ref="E1411:E1474" si="22">D1411-C1411</f>
        <v>5</v>
      </c>
      <c r="F1411" s="4" t="s">
        <v>19</v>
      </c>
      <c r="G1411" s="4" t="s">
        <v>12</v>
      </c>
      <c r="H1411" s="4">
        <v>11221</v>
      </c>
      <c r="I1411" s="4" t="str">
        <f>VLOOKUP(B1411,Customers!$A:$D,4,FALSE)</f>
        <v>Regular</v>
      </c>
      <c r="J1411" s="4" t="s">
        <v>35</v>
      </c>
      <c r="K1411" s="4" t="s">
        <v>36</v>
      </c>
    </row>
    <row r="1412" spans="1:11" x14ac:dyDescent="0.2">
      <c r="A1412" s="4">
        <v>6411</v>
      </c>
      <c r="B1412" s="4">
        <v>1073</v>
      </c>
      <c r="C1412" s="8">
        <v>46108</v>
      </c>
      <c r="D1412" s="8">
        <v>46117</v>
      </c>
      <c r="E1412" s="10">
        <f t="shared" si="22"/>
        <v>9</v>
      </c>
      <c r="F1412" s="4" t="s">
        <v>20</v>
      </c>
      <c r="G1412" s="4" t="s">
        <v>15</v>
      </c>
      <c r="H1412" s="4">
        <v>28344</v>
      </c>
      <c r="I1412" s="4" t="str">
        <f>VLOOKUP(B1412,Customers!$A:$D,4,FALSE)</f>
        <v>Premium</v>
      </c>
      <c r="J1412" s="4" t="s">
        <v>37</v>
      </c>
      <c r="K1412" s="4" t="s">
        <v>36</v>
      </c>
    </row>
    <row r="1413" spans="1:11" x14ac:dyDescent="0.2">
      <c r="A1413" s="4">
        <v>6412</v>
      </c>
      <c r="B1413" s="4">
        <v>1136</v>
      </c>
      <c r="C1413" s="8">
        <v>46028</v>
      </c>
      <c r="D1413" s="8">
        <v>46032</v>
      </c>
      <c r="E1413" s="10">
        <f t="shared" si="22"/>
        <v>4</v>
      </c>
      <c r="F1413" s="4" t="s">
        <v>23</v>
      </c>
      <c r="G1413" s="4" t="s">
        <v>13</v>
      </c>
      <c r="H1413" s="4">
        <v>44812</v>
      </c>
      <c r="I1413" s="4" t="str">
        <f>VLOOKUP(B1413,Customers!$A:$D,4,FALSE)</f>
        <v>Regular</v>
      </c>
      <c r="J1413" s="4" t="s">
        <v>35</v>
      </c>
      <c r="K1413" s="4" t="s">
        <v>36</v>
      </c>
    </row>
    <row r="1414" spans="1:11" x14ac:dyDescent="0.2">
      <c r="A1414" s="4">
        <v>6413</v>
      </c>
      <c r="B1414" s="4">
        <v>1299</v>
      </c>
      <c r="C1414" s="8">
        <v>46113</v>
      </c>
      <c r="D1414" s="8">
        <v>46122</v>
      </c>
      <c r="E1414" s="10">
        <f t="shared" si="22"/>
        <v>9</v>
      </c>
      <c r="F1414" s="4" t="s">
        <v>20</v>
      </c>
      <c r="G1414" s="4" t="s">
        <v>15</v>
      </c>
      <c r="H1414" s="4">
        <v>16520</v>
      </c>
      <c r="I1414" s="4" t="str">
        <f>VLOOKUP(B1414,Customers!$A:$D,4,FALSE)</f>
        <v>Regular</v>
      </c>
      <c r="J1414" s="4" t="s">
        <v>37</v>
      </c>
      <c r="K1414" s="4" t="s">
        <v>36</v>
      </c>
    </row>
    <row r="1415" spans="1:11" x14ac:dyDescent="0.2">
      <c r="A1415" s="4">
        <v>6414</v>
      </c>
      <c r="B1415" s="4">
        <v>1009</v>
      </c>
      <c r="C1415" s="8">
        <v>46051</v>
      </c>
      <c r="D1415" s="8">
        <v>46053</v>
      </c>
      <c r="E1415" s="10">
        <f t="shared" si="22"/>
        <v>2</v>
      </c>
      <c r="F1415" s="4" t="s">
        <v>22</v>
      </c>
      <c r="G1415" s="4" t="s">
        <v>13</v>
      </c>
      <c r="H1415" s="4">
        <v>34724</v>
      </c>
      <c r="I1415" s="4" t="str">
        <f>VLOOKUP(B1415,Customers!$A:$D,4,FALSE)</f>
        <v>Regular</v>
      </c>
      <c r="J1415" s="4" t="s">
        <v>35</v>
      </c>
      <c r="K1415" s="4" t="s">
        <v>36</v>
      </c>
    </row>
    <row r="1416" spans="1:11" x14ac:dyDescent="0.2">
      <c r="A1416" s="4">
        <v>6415</v>
      </c>
      <c r="B1416" s="4">
        <v>1052</v>
      </c>
      <c r="C1416" s="8">
        <v>46060</v>
      </c>
      <c r="D1416" s="8">
        <v>46063</v>
      </c>
      <c r="E1416" s="10">
        <f t="shared" si="22"/>
        <v>3</v>
      </c>
      <c r="F1416" s="4" t="s">
        <v>22</v>
      </c>
      <c r="G1416" s="4" t="s">
        <v>14</v>
      </c>
      <c r="H1416" s="4">
        <v>29962</v>
      </c>
      <c r="I1416" s="4" t="str">
        <f>VLOOKUP(B1416,Customers!$A:$D,4,FALSE)</f>
        <v>Premium</v>
      </c>
      <c r="J1416" s="4" t="s">
        <v>37</v>
      </c>
      <c r="K1416" s="4" t="s">
        <v>36</v>
      </c>
    </row>
    <row r="1417" spans="1:11" x14ac:dyDescent="0.2">
      <c r="A1417" s="4">
        <v>6416</v>
      </c>
      <c r="B1417" s="4">
        <v>1132</v>
      </c>
      <c r="C1417" s="8">
        <v>46112</v>
      </c>
      <c r="D1417" s="8">
        <v>46122</v>
      </c>
      <c r="E1417" s="10">
        <f t="shared" si="22"/>
        <v>10</v>
      </c>
      <c r="F1417" s="4" t="s">
        <v>25</v>
      </c>
      <c r="G1417" s="4" t="s">
        <v>14</v>
      </c>
      <c r="H1417" s="4">
        <v>24174</v>
      </c>
      <c r="I1417" s="4" t="str">
        <f>VLOOKUP(B1417,Customers!$A:$D,4,FALSE)</f>
        <v>Premium</v>
      </c>
      <c r="J1417" s="4" t="s">
        <v>37</v>
      </c>
      <c r="K1417" s="4" t="s">
        <v>36</v>
      </c>
    </row>
    <row r="1418" spans="1:11" x14ac:dyDescent="0.2">
      <c r="A1418" s="4">
        <v>6417</v>
      </c>
      <c r="B1418" s="4">
        <v>1155</v>
      </c>
      <c r="C1418" s="8">
        <v>46026</v>
      </c>
      <c r="D1418" s="8">
        <v>46033</v>
      </c>
      <c r="E1418" s="10">
        <f t="shared" si="22"/>
        <v>7</v>
      </c>
      <c r="F1418" s="4" t="s">
        <v>19</v>
      </c>
      <c r="G1418" s="4" t="s">
        <v>11</v>
      </c>
      <c r="H1418" s="4">
        <v>43811</v>
      </c>
      <c r="I1418" s="4" t="str">
        <f>VLOOKUP(B1418,Customers!$A:$D,4,FALSE)</f>
        <v>Regular</v>
      </c>
      <c r="J1418" s="4" t="s">
        <v>37</v>
      </c>
      <c r="K1418" s="4" t="s">
        <v>36</v>
      </c>
    </row>
    <row r="1419" spans="1:11" x14ac:dyDescent="0.2">
      <c r="A1419" s="4">
        <v>6418</v>
      </c>
      <c r="B1419" s="4">
        <v>1266</v>
      </c>
      <c r="C1419" s="8">
        <v>46051</v>
      </c>
      <c r="D1419" s="8">
        <v>46057</v>
      </c>
      <c r="E1419" s="10">
        <f t="shared" si="22"/>
        <v>6</v>
      </c>
      <c r="F1419" s="4" t="s">
        <v>20</v>
      </c>
      <c r="G1419" s="4" t="s">
        <v>13</v>
      </c>
      <c r="H1419" s="4">
        <v>27190</v>
      </c>
      <c r="I1419" s="4" t="str">
        <f>VLOOKUP(B1419,Customers!$A:$D,4,FALSE)</f>
        <v>Regular</v>
      </c>
      <c r="J1419" s="4" t="s">
        <v>35</v>
      </c>
      <c r="K1419" s="4" t="s">
        <v>36</v>
      </c>
    </row>
    <row r="1420" spans="1:11" x14ac:dyDescent="0.2">
      <c r="A1420" s="4">
        <v>6419</v>
      </c>
      <c r="B1420" s="4">
        <v>1255</v>
      </c>
      <c r="C1420" s="8">
        <v>46059</v>
      </c>
      <c r="D1420" s="8">
        <v>46066</v>
      </c>
      <c r="E1420" s="10">
        <f t="shared" si="22"/>
        <v>7</v>
      </c>
      <c r="F1420" s="4" t="s">
        <v>20</v>
      </c>
      <c r="G1420" s="4" t="s">
        <v>13</v>
      </c>
      <c r="H1420" s="4">
        <v>38152</v>
      </c>
      <c r="I1420" s="4" t="str">
        <f>VLOOKUP(B1420,Customers!$A:$D,4,FALSE)</f>
        <v>Regular</v>
      </c>
      <c r="J1420" s="4" t="s">
        <v>37</v>
      </c>
      <c r="K1420" s="4" t="s">
        <v>36</v>
      </c>
    </row>
    <row r="1421" spans="1:11" x14ac:dyDescent="0.2">
      <c r="A1421" s="4">
        <v>6420</v>
      </c>
      <c r="B1421" s="4">
        <v>1046</v>
      </c>
      <c r="C1421" s="8">
        <v>46115</v>
      </c>
      <c r="D1421" s="8">
        <v>46120</v>
      </c>
      <c r="E1421" s="10">
        <f t="shared" si="22"/>
        <v>5</v>
      </c>
      <c r="F1421" s="4" t="s">
        <v>24</v>
      </c>
      <c r="G1421" s="4" t="s">
        <v>15</v>
      </c>
      <c r="H1421" s="4">
        <v>42160</v>
      </c>
      <c r="I1421" s="4" t="str">
        <f>VLOOKUP(B1421,Customers!$A:$D,4,FALSE)</f>
        <v>Regular</v>
      </c>
      <c r="J1421" s="4" t="s">
        <v>35</v>
      </c>
      <c r="K1421" s="4" t="s">
        <v>36</v>
      </c>
    </row>
    <row r="1422" spans="1:11" x14ac:dyDescent="0.2">
      <c r="A1422" s="4">
        <v>6421</v>
      </c>
      <c r="B1422" s="4">
        <v>1231</v>
      </c>
      <c r="C1422" s="8">
        <v>46093</v>
      </c>
      <c r="D1422" s="8">
        <v>46103</v>
      </c>
      <c r="E1422" s="10">
        <f t="shared" si="22"/>
        <v>10</v>
      </c>
      <c r="F1422" s="4" t="s">
        <v>18</v>
      </c>
      <c r="G1422" s="4" t="s">
        <v>14</v>
      </c>
      <c r="H1422" s="4">
        <v>44803</v>
      </c>
      <c r="I1422" s="4" t="str">
        <f>VLOOKUP(B1422,Customers!$A:$D,4,FALSE)</f>
        <v>Premium</v>
      </c>
      <c r="J1422" s="4" t="s">
        <v>37</v>
      </c>
      <c r="K1422" s="4" t="s">
        <v>36</v>
      </c>
    </row>
    <row r="1423" spans="1:11" x14ac:dyDescent="0.2">
      <c r="A1423" s="4">
        <v>6422</v>
      </c>
      <c r="B1423" s="4">
        <v>1214</v>
      </c>
      <c r="C1423" s="8">
        <v>46107</v>
      </c>
      <c r="D1423" s="8">
        <v>46115</v>
      </c>
      <c r="E1423" s="10">
        <f t="shared" si="22"/>
        <v>8</v>
      </c>
      <c r="F1423" s="4" t="s">
        <v>22</v>
      </c>
      <c r="G1423" s="4" t="s">
        <v>14</v>
      </c>
      <c r="H1423" s="4">
        <v>12789</v>
      </c>
      <c r="I1423" s="4" t="str">
        <f>VLOOKUP(B1423,Customers!$A:$D,4,FALSE)</f>
        <v>Premium</v>
      </c>
      <c r="J1423" s="4" t="s">
        <v>35</v>
      </c>
      <c r="K1423" s="4" t="s">
        <v>36</v>
      </c>
    </row>
    <row r="1424" spans="1:11" x14ac:dyDescent="0.2">
      <c r="A1424" s="4">
        <v>6423</v>
      </c>
      <c r="B1424" s="4">
        <v>1176</v>
      </c>
      <c r="C1424" s="8">
        <v>46171</v>
      </c>
      <c r="D1424" s="8">
        <v>46181</v>
      </c>
      <c r="E1424" s="10">
        <f t="shared" si="22"/>
        <v>10</v>
      </c>
      <c r="F1424" s="4" t="s">
        <v>23</v>
      </c>
      <c r="G1424" s="4" t="s">
        <v>15</v>
      </c>
      <c r="H1424" s="4">
        <v>30120</v>
      </c>
      <c r="I1424" s="4" t="str">
        <f>VLOOKUP(B1424,Customers!$A:$D,4,FALSE)</f>
        <v>Premium</v>
      </c>
      <c r="J1424" s="4" t="s">
        <v>37</v>
      </c>
      <c r="K1424" s="4" t="s">
        <v>36</v>
      </c>
    </row>
    <row r="1425" spans="1:11" x14ac:dyDescent="0.2">
      <c r="A1425" s="4">
        <v>6424</v>
      </c>
      <c r="B1425" s="4">
        <v>1005</v>
      </c>
      <c r="C1425" s="8">
        <v>46096</v>
      </c>
      <c r="D1425" s="8">
        <v>46099</v>
      </c>
      <c r="E1425" s="10">
        <f t="shared" si="22"/>
        <v>3</v>
      </c>
      <c r="F1425" s="4" t="s">
        <v>25</v>
      </c>
      <c r="G1425" s="4" t="s">
        <v>13</v>
      </c>
      <c r="H1425" s="4">
        <v>30860</v>
      </c>
      <c r="I1425" s="4" t="str">
        <f>VLOOKUP(B1425,Customers!$A:$D,4,FALSE)</f>
        <v>Regular</v>
      </c>
      <c r="J1425" s="4" t="s">
        <v>35</v>
      </c>
      <c r="K1425" s="4" t="s">
        <v>36</v>
      </c>
    </row>
    <row r="1426" spans="1:11" x14ac:dyDescent="0.2">
      <c r="A1426" s="4">
        <v>6425</v>
      </c>
      <c r="B1426" s="4">
        <v>1286</v>
      </c>
      <c r="C1426" s="8">
        <v>46156</v>
      </c>
      <c r="D1426" s="8">
        <v>46162</v>
      </c>
      <c r="E1426" s="10">
        <f t="shared" si="22"/>
        <v>6</v>
      </c>
      <c r="F1426" s="4" t="s">
        <v>18</v>
      </c>
      <c r="G1426" s="4" t="s">
        <v>14</v>
      </c>
      <c r="H1426" s="4">
        <v>32204</v>
      </c>
      <c r="I1426" s="4" t="str">
        <f>VLOOKUP(B1426,Customers!$A:$D,4,FALSE)</f>
        <v>Premium</v>
      </c>
      <c r="J1426" s="4" t="s">
        <v>37</v>
      </c>
      <c r="K1426" s="4" t="s">
        <v>36</v>
      </c>
    </row>
    <row r="1427" spans="1:11" x14ac:dyDescent="0.2">
      <c r="A1427" s="4">
        <v>6426</v>
      </c>
      <c r="B1427" s="4">
        <v>1008</v>
      </c>
      <c r="C1427" s="8">
        <v>46039</v>
      </c>
      <c r="D1427" s="8">
        <v>46045</v>
      </c>
      <c r="E1427" s="10">
        <f t="shared" si="22"/>
        <v>6</v>
      </c>
      <c r="F1427" s="4" t="s">
        <v>25</v>
      </c>
      <c r="G1427" s="4" t="s">
        <v>12</v>
      </c>
      <c r="H1427" s="4">
        <v>14542</v>
      </c>
      <c r="I1427" s="4" t="str">
        <f>VLOOKUP(B1427,Customers!$A:$D,4,FALSE)</f>
        <v>Premium</v>
      </c>
      <c r="J1427" s="4" t="s">
        <v>37</v>
      </c>
      <c r="K1427" s="4" t="s">
        <v>36</v>
      </c>
    </row>
    <row r="1428" spans="1:11" x14ac:dyDescent="0.2">
      <c r="A1428" s="4">
        <v>6427</v>
      </c>
      <c r="B1428" s="4">
        <v>1251</v>
      </c>
      <c r="C1428" s="8">
        <v>46054</v>
      </c>
      <c r="D1428" s="8">
        <v>46056</v>
      </c>
      <c r="E1428" s="10">
        <f t="shared" si="22"/>
        <v>2</v>
      </c>
      <c r="F1428" s="4" t="s">
        <v>22</v>
      </c>
      <c r="G1428" s="4" t="s">
        <v>12</v>
      </c>
      <c r="H1428" s="4">
        <v>28501</v>
      </c>
      <c r="I1428" s="4" t="str">
        <f>VLOOKUP(B1428,Customers!$A:$D,4,FALSE)</f>
        <v>Premium</v>
      </c>
      <c r="J1428" s="4" t="s">
        <v>37</v>
      </c>
      <c r="K1428" s="4" t="s">
        <v>36</v>
      </c>
    </row>
    <row r="1429" spans="1:11" x14ac:dyDescent="0.2">
      <c r="A1429" s="4">
        <v>6428</v>
      </c>
      <c r="B1429" s="4">
        <v>1129</v>
      </c>
      <c r="C1429" s="8">
        <v>46023</v>
      </c>
      <c r="D1429" s="8">
        <v>46025</v>
      </c>
      <c r="E1429" s="10">
        <f t="shared" si="22"/>
        <v>2</v>
      </c>
      <c r="F1429" s="4" t="s">
        <v>18</v>
      </c>
      <c r="G1429" s="4" t="s">
        <v>14</v>
      </c>
      <c r="H1429" s="4">
        <v>18864</v>
      </c>
      <c r="I1429" s="4" t="str">
        <f>VLOOKUP(B1429,Customers!$A:$D,4,FALSE)</f>
        <v>Premium</v>
      </c>
      <c r="J1429" s="4" t="s">
        <v>35</v>
      </c>
      <c r="K1429" s="4" t="s">
        <v>36</v>
      </c>
    </row>
    <row r="1430" spans="1:11" x14ac:dyDescent="0.2">
      <c r="A1430" s="4">
        <v>6429</v>
      </c>
      <c r="B1430" s="4">
        <v>1074</v>
      </c>
      <c r="C1430" s="8">
        <v>46045</v>
      </c>
      <c r="D1430" s="8">
        <v>46051</v>
      </c>
      <c r="E1430" s="10">
        <f t="shared" si="22"/>
        <v>6</v>
      </c>
      <c r="F1430" s="4" t="s">
        <v>24</v>
      </c>
      <c r="G1430" s="4" t="s">
        <v>15</v>
      </c>
      <c r="H1430" s="4">
        <v>38653</v>
      </c>
      <c r="I1430" s="4" t="str">
        <f>VLOOKUP(B1430,Customers!$A:$D,4,FALSE)</f>
        <v>Regular</v>
      </c>
      <c r="J1430" s="4" t="s">
        <v>35</v>
      </c>
      <c r="K1430" s="4" t="s">
        <v>36</v>
      </c>
    </row>
    <row r="1431" spans="1:11" x14ac:dyDescent="0.2">
      <c r="A1431" s="4">
        <v>6430</v>
      </c>
      <c r="B1431" s="4">
        <v>1017</v>
      </c>
      <c r="C1431" s="8">
        <v>46097</v>
      </c>
      <c r="D1431" s="8">
        <v>46102</v>
      </c>
      <c r="E1431" s="10">
        <f t="shared" si="22"/>
        <v>5</v>
      </c>
      <c r="F1431" s="4" t="s">
        <v>25</v>
      </c>
      <c r="G1431" s="4" t="s">
        <v>14</v>
      </c>
      <c r="H1431" s="4">
        <v>16600</v>
      </c>
      <c r="I1431" s="4" t="str">
        <f>VLOOKUP(B1431,Customers!$A:$D,4,FALSE)</f>
        <v>Regular</v>
      </c>
      <c r="J1431" s="4" t="s">
        <v>37</v>
      </c>
      <c r="K1431" s="4" t="s">
        <v>36</v>
      </c>
    </row>
    <row r="1432" spans="1:11" x14ac:dyDescent="0.2">
      <c r="A1432" s="4">
        <v>6431</v>
      </c>
      <c r="B1432" s="4">
        <v>1051</v>
      </c>
      <c r="C1432" s="8">
        <v>46131</v>
      </c>
      <c r="D1432" s="8">
        <v>46139</v>
      </c>
      <c r="E1432" s="10">
        <f t="shared" si="22"/>
        <v>8</v>
      </c>
      <c r="F1432" s="4" t="s">
        <v>22</v>
      </c>
      <c r="G1432" s="4" t="s">
        <v>14</v>
      </c>
      <c r="H1432" s="4">
        <v>39427</v>
      </c>
      <c r="I1432" s="4" t="str">
        <f>VLOOKUP(B1432,Customers!$A:$D,4,FALSE)</f>
        <v>Premium</v>
      </c>
      <c r="J1432" s="4" t="s">
        <v>37</v>
      </c>
      <c r="K1432" s="4" t="s">
        <v>36</v>
      </c>
    </row>
    <row r="1433" spans="1:11" x14ac:dyDescent="0.2">
      <c r="A1433" s="4">
        <v>6432</v>
      </c>
      <c r="B1433" s="4">
        <v>1166</v>
      </c>
      <c r="C1433" s="8">
        <v>46067</v>
      </c>
      <c r="D1433" s="8">
        <v>46075</v>
      </c>
      <c r="E1433" s="10">
        <f t="shared" si="22"/>
        <v>8</v>
      </c>
      <c r="F1433" s="4" t="s">
        <v>18</v>
      </c>
      <c r="G1433" s="4" t="s">
        <v>13</v>
      </c>
      <c r="H1433" s="4">
        <v>16685</v>
      </c>
      <c r="I1433" s="4" t="str">
        <f>VLOOKUP(B1433,Customers!$A:$D,4,FALSE)</f>
        <v>Premium</v>
      </c>
      <c r="J1433" s="4" t="s">
        <v>35</v>
      </c>
      <c r="K1433" s="4" t="s">
        <v>36</v>
      </c>
    </row>
    <row r="1434" spans="1:11" x14ac:dyDescent="0.2">
      <c r="A1434" s="4">
        <v>6433</v>
      </c>
      <c r="B1434" s="4">
        <v>1103</v>
      </c>
      <c r="C1434" s="8">
        <v>46129</v>
      </c>
      <c r="D1434" s="8">
        <v>46139</v>
      </c>
      <c r="E1434" s="10">
        <f t="shared" si="22"/>
        <v>10</v>
      </c>
      <c r="F1434" s="4" t="s">
        <v>22</v>
      </c>
      <c r="G1434" s="4" t="s">
        <v>14</v>
      </c>
      <c r="H1434" s="4">
        <v>5909</v>
      </c>
      <c r="I1434" s="4" t="str">
        <f>VLOOKUP(B1434,Customers!$A:$D,4,FALSE)</f>
        <v>Premium</v>
      </c>
      <c r="J1434" s="4" t="s">
        <v>37</v>
      </c>
      <c r="K1434" s="4" t="s">
        <v>36</v>
      </c>
    </row>
    <row r="1435" spans="1:11" x14ac:dyDescent="0.2">
      <c r="A1435" s="4">
        <v>6434</v>
      </c>
      <c r="B1435" s="4">
        <v>1280</v>
      </c>
      <c r="C1435" s="8">
        <v>46168</v>
      </c>
      <c r="D1435" s="8">
        <v>46177</v>
      </c>
      <c r="E1435" s="10">
        <f t="shared" si="22"/>
        <v>9</v>
      </c>
      <c r="F1435" s="4" t="s">
        <v>18</v>
      </c>
      <c r="G1435" s="4" t="s">
        <v>15</v>
      </c>
      <c r="H1435" s="4">
        <v>28932</v>
      </c>
      <c r="I1435" s="4" t="str">
        <f>VLOOKUP(B1435,Customers!$A:$D,4,FALSE)</f>
        <v>Regular</v>
      </c>
      <c r="J1435" s="4" t="s">
        <v>35</v>
      </c>
      <c r="K1435" s="4" t="s">
        <v>36</v>
      </c>
    </row>
    <row r="1436" spans="1:11" x14ac:dyDescent="0.2">
      <c r="A1436" s="4">
        <v>6435</v>
      </c>
      <c r="B1436" s="4">
        <v>1227</v>
      </c>
      <c r="C1436" s="8">
        <v>46058</v>
      </c>
      <c r="D1436" s="8">
        <v>46068</v>
      </c>
      <c r="E1436" s="10">
        <f t="shared" si="22"/>
        <v>10</v>
      </c>
      <c r="F1436" s="4" t="s">
        <v>19</v>
      </c>
      <c r="G1436" s="4" t="s">
        <v>11</v>
      </c>
      <c r="H1436" s="4">
        <v>45202</v>
      </c>
      <c r="I1436" s="4" t="str">
        <f>VLOOKUP(B1436,Customers!$A:$D,4,FALSE)</f>
        <v>Premium</v>
      </c>
      <c r="J1436" s="4" t="s">
        <v>37</v>
      </c>
      <c r="K1436" s="4" t="s">
        <v>36</v>
      </c>
    </row>
    <row r="1437" spans="1:11" x14ac:dyDescent="0.2">
      <c r="A1437" s="4">
        <v>6436</v>
      </c>
      <c r="B1437" s="4">
        <v>1219</v>
      </c>
      <c r="C1437" s="8">
        <v>46142</v>
      </c>
      <c r="D1437" s="8">
        <v>46149</v>
      </c>
      <c r="E1437" s="10">
        <f t="shared" si="22"/>
        <v>7</v>
      </c>
      <c r="F1437" s="4" t="s">
        <v>25</v>
      </c>
      <c r="G1437" s="4" t="s">
        <v>15</v>
      </c>
      <c r="H1437" s="4">
        <v>27186</v>
      </c>
      <c r="I1437" s="4" t="str">
        <f>VLOOKUP(B1437,Customers!$A:$D,4,FALSE)</f>
        <v>Premium</v>
      </c>
      <c r="J1437" s="4" t="s">
        <v>37</v>
      </c>
      <c r="K1437" s="4" t="s">
        <v>36</v>
      </c>
    </row>
    <row r="1438" spans="1:11" x14ac:dyDescent="0.2">
      <c r="A1438" s="4">
        <v>6437</v>
      </c>
      <c r="B1438" s="4">
        <v>1014</v>
      </c>
      <c r="C1438" s="8">
        <v>46030</v>
      </c>
      <c r="D1438" s="8">
        <v>46040</v>
      </c>
      <c r="E1438" s="10">
        <f t="shared" si="22"/>
        <v>10</v>
      </c>
      <c r="F1438" s="4" t="s">
        <v>21</v>
      </c>
      <c r="G1438" s="4" t="s">
        <v>12</v>
      </c>
      <c r="H1438" s="4">
        <v>49835</v>
      </c>
      <c r="I1438" s="4" t="str">
        <f>VLOOKUP(B1438,Customers!$A:$D,4,FALSE)</f>
        <v>Regular</v>
      </c>
      <c r="J1438" s="4" t="s">
        <v>35</v>
      </c>
      <c r="K1438" s="4" t="s">
        <v>36</v>
      </c>
    </row>
    <row r="1439" spans="1:11" x14ac:dyDescent="0.2">
      <c r="A1439" s="4">
        <v>6438</v>
      </c>
      <c r="B1439" s="4">
        <v>1298</v>
      </c>
      <c r="C1439" s="8">
        <v>46100</v>
      </c>
      <c r="D1439" s="8">
        <v>46105</v>
      </c>
      <c r="E1439" s="10">
        <f t="shared" si="22"/>
        <v>5</v>
      </c>
      <c r="F1439" s="4" t="s">
        <v>19</v>
      </c>
      <c r="G1439" s="4" t="s">
        <v>13</v>
      </c>
      <c r="H1439" s="4">
        <v>40990</v>
      </c>
      <c r="I1439" s="4" t="str">
        <f>VLOOKUP(B1439,Customers!$A:$D,4,FALSE)</f>
        <v>Regular</v>
      </c>
      <c r="J1439" s="4" t="s">
        <v>37</v>
      </c>
      <c r="K1439" s="4" t="s">
        <v>36</v>
      </c>
    </row>
    <row r="1440" spans="1:11" x14ac:dyDescent="0.2">
      <c r="A1440" s="4">
        <v>6439</v>
      </c>
      <c r="B1440" s="4">
        <v>1065</v>
      </c>
      <c r="C1440" s="8">
        <v>46036</v>
      </c>
      <c r="D1440" s="8">
        <v>46044</v>
      </c>
      <c r="E1440" s="10">
        <f t="shared" si="22"/>
        <v>8</v>
      </c>
      <c r="F1440" s="4" t="s">
        <v>21</v>
      </c>
      <c r="G1440" s="4" t="s">
        <v>12</v>
      </c>
      <c r="H1440" s="4">
        <v>30630</v>
      </c>
      <c r="I1440" s="4" t="str">
        <f>VLOOKUP(B1440,Customers!$A:$D,4,FALSE)</f>
        <v>Premium</v>
      </c>
      <c r="J1440" s="4" t="s">
        <v>37</v>
      </c>
      <c r="K1440" s="4" t="s">
        <v>36</v>
      </c>
    </row>
    <row r="1441" spans="1:11" x14ac:dyDescent="0.2">
      <c r="A1441" s="4">
        <v>6440</v>
      </c>
      <c r="B1441" s="4">
        <v>1029</v>
      </c>
      <c r="C1441" s="8">
        <v>46036</v>
      </c>
      <c r="D1441" s="8">
        <v>46039</v>
      </c>
      <c r="E1441" s="10">
        <f t="shared" si="22"/>
        <v>3</v>
      </c>
      <c r="F1441" s="4" t="s">
        <v>22</v>
      </c>
      <c r="G1441" s="4" t="s">
        <v>12</v>
      </c>
      <c r="H1441" s="4">
        <v>22155</v>
      </c>
      <c r="I1441" s="4" t="str">
        <f>VLOOKUP(B1441,Customers!$A:$D,4,FALSE)</f>
        <v>Regular</v>
      </c>
      <c r="J1441" s="4" t="s">
        <v>35</v>
      </c>
      <c r="K1441" s="4" t="s">
        <v>36</v>
      </c>
    </row>
    <row r="1442" spans="1:11" x14ac:dyDescent="0.2">
      <c r="A1442" s="4">
        <v>6441</v>
      </c>
      <c r="B1442" s="4">
        <v>1170</v>
      </c>
      <c r="C1442" s="8">
        <v>46097</v>
      </c>
      <c r="D1442" s="8">
        <v>46106</v>
      </c>
      <c r="E1442" s="10">
        <f t="shared" si="22"/>
        <v>9</v>
      </c>
      <c r="F1442" s="4" t="s">
        <v>20</v>
      </c>
      <c r="G1442" s="4" t="s">
        <v>12</v>
      </c>
      <c r="H1442" s="4">
        <v>48827</v>
      </c>
      <c r="I1442" s="4" t="str">
        <f>VLOOKUP(B1442,Customers!$A:$D,4,FALSE)</f>
        <v>Regular</v>
      </c>
      <c r="J1442" s="4" t="s">
        <v>35</v>
      </c>
      <c r="K1442" s="4" t="s">
        <v>36</v>
      </c>
    </row>
    <row r="1443" spans="1:11" x14ac:dyDescent="0.2">
      <c r="A1443" s="4">
        <v>6442</v>
      </c>
      <c r="B1443" s="4">
        <v>1074</v>
      </c>
      <c r="C1443" s="8">
        <v>46075</v>
      </c>
      <c r="D1443" s="8">
        <v>46085</v>
      </c>
      <c r="E1443" s="10">
        <f t="shared" si="22"/>
        <v>10</v>
      </c>
      <c r="F1443" s="4" t="s">
        <v>25</v>
      </c>
      <c r="G1443" s="4" t="s">
        <v>13</v>
      </c>
      <c r="H1443" s="4">
        <v>14950</v>
      </c>
      <c r="I1443" s="4" t="str">
        <f>VLOOKUP(B1443,Customers!$A:$D,4,FALSE)</f>
        <v>Regular</v>
      </c>
      <c r="J1443" s="4" t="s">
        <v>35</v>
      </c>
      <c r="K1443" s="4" t="s">
        <v>36</v>
      </c>
    </row>
    <row r="1444" spans="1:11" x14ac:dyDescent="0.2">
      <c r="A1444" s="4">
        <v>6443</v>
      </c>
      <c r="B1444" s="4">
        <v>1004</v>
      </c>
      <c r="C1444" s="8">
        <v>46100</v>
      </c>
      <c r="D1444" s="8">
        <v>46106</v>
      </c>
      <c r="E1444" s="10">
        <f t="shared" si="22"/>
        <v>6</v>
      </c>
      <c r="F1444" s="4" t="s">
        <v>25</v>
      </c>
      <c r="G1444" s="4" t="s">
        <v>11</v>
      </c>
      <c r="H1444" s="4">
        <v>45374</v>
      </c>
      <c r="I1444" s="4" t="str">
        <f>VLOOKUP(B1444,Customers!$A:$D,4,FALSE)</f>
        <v>Regular</v>
      </c>
      <c r="J1444" s="4" t="s">
        <v>35</v>
      </c>
      <c r="K1444" s="4" t="s">
        <v>36</v>
      </c>
    </row>
    <row r="1445" spans="1:11" x14ac:dyDescent="0.2">
      <c r="A1445" s="4">
        <v>6444</v>
      </c>
      <c r="B1445" s="4">
        <v>1001</v>
      </c>
      <c r="C1445" s="8">
        <v>46052</v>
      </c>
      <c r="D1445" s="8">
        <v>46055</v>
      </c>
      <c r="E1445" s="10">
        <f t="shared" si="22"/>
        <v>3</v>
      </c>
      <c r="F1445" s="4" t="s">
        <v>18</v>
      </c>
      <c r="G1445" s="4" t="s">
        <v>11</v>
      </c>
      <c r="H1445" s="4">
        <v>8232</v>
      </c>
      <c r="I1445" s="4" t="str">
        <f>VLOOKUP(B1445,Customers!$A:$D,4,FALSE)</f>
        <v>Regular</v>
      </c>
      <c r="J1445" s="4" t="s">
        <v>35</v>
      </c>
      <c r="K1445" s="4" t="s">
        <v>36</v>
      </c>
    </row>
    <row r="1446" spans="1:11" x14ac:dyDescent="0.2">
      <c r="A1446" s="4">
        <v>6445</v>
      </c>
      <c r="B1446" s="4">
        <v>1054</v>
      </c>
      <c r="C1446" s="8">
        <v>46086</v>
      </c>
      <c r="D1446" s="8">
        <v>46091</v>
      </c>
      <c r="E1446" s="10">
        <f t="shared" si="22"/>
        <v>5</v>
      </c>
      <c r="F1446" s="4" t="s">
        <v>25</v>
      </c>
      <c r="G1446" s="4" t="s">
        <v>12</v>
      </c>
      <c r="H1446" s="4">
        <v>33448</v>
      </c>
      <c r="I1446" s="4" t="str">
        <f>VLOOKUP(B1446,Customers!$A:$D,4,FALSE)</f>
        <v>Premium</v>
      </c>
      <c r="J1446" s="4" t="s">
        <v>37</v>
      </c>
      <c r="K1446" s="4" t="s">
        <v>36</v>
      </c>
    </row>
    <row r="1447" spans="1:11" x14ac:dyDescent="0.2">
      <c r="A1447" s="4">
        <v>6446</v>
      </c>
      <c r="B1447" s="4">
        <v>1063</v>
      </c>
      <c r="C1447" s="8">
        <v>46123</v>
      </c>
      <c r="D1447" s="8">
        <v>46125</v>
      </c>
      <c r="E1447" s="10">
        <f t="shared" si="22"/>
        <v>2</v>
      </c>
      <c r="F1447" s="4" t="s">
        <v>22</v>
      </c>
      <c r="G1447" s="4" t="s">
        <v>15</v>
      </c>
      <c r="H1447" s="4">
        <v>32001</v>
      </c>
      <c r="I1447" s="4" t="str">
        <f>VLOOKUP(B1447,Customers!$A:$D,4,FALSE)</f>
        <v>Regular</v>
      </c>
      <c r="J1447" s="4" t="s">
        <v>35</v>
      </c>
      <c r="K1447" s="4" t="s">
        <v>36</v>
      </c>
    </row>
    <row r="1448" spans="1:11" x14ac:dyDescent="0.2">
      <c r="A1448" s="4">
        <v>6447</v>
      </c>
      <c r="B1448" s="4">
        <v>1134</v>
      </c>
      <c r="C1448" s="8">
        <v>46083</v>
      </c>
      <c r="D1448" s="8">
        <v>46093</v>
      </c>
      <c r="E1448" s="10">
        <f t="shared" si="22"/>
        <v>10</v>
      </c>
      <c r="F1448" s="4" t="s">
        <v>25</v>
      </c>
      <c r="G1448" s="4" t="s">
        <v>11</v>
      </c>
      <c r="H1448" s="4">
        <v>8373</v>
      </c>
      <c r="I1448" s="4" t="str">
        <f>VLOOKUP(B1448,Customers!$A:$D,4,FALSE)</f>
        <v>Premium</v>
      </c>
      <c r="J1448" s="4" t="s">
        <v>37</v>
      </c>
      <c r="K1448" s="4" t="s">
        <v>36</v>
      </c>
    </row>
    <row r="1449" spans="1:11" x14ac:dyDescent="0.2">
      <c r="A1449" s="4">
        <v>6448</v>
      </c>
      <c r="B1449" s="4">
        <v>1095</v>
      </c>
      <c r="C1449" s="8">
        <v>46060</v>
      </c>
      <c r="D1449" s="8">
        <v>46062</v>
      </c>
      <c r="E1449" s="10">
        <f t="shared" si="22"/>
        <v>2</v>
      </c>
      <c r="F1449" s="4" t="s">
        <v>18</v>
      </c>
      <c r="G1449" s="4" t="s">
        <v>13</v>
      </c>
      <c r="H1449" s="4">
        <v>11491</v>
      </c>
      <c r="I1449" s="4" t="str">
        <f>VLOOKUP(B1449,Customers!$A:$D,4,FALSE)</f>
        <v>Regular</v>
      </c>
      <c r="J1449" s="4" t="s">
        <v>35</v>
      </c>
      <c r="K1449" s="4" t="s">
        <v>36</v>
      </c>
    </row>
    <row r="1450" spans="1:11" x14ac:dyDescent="0.2">
      <c r="A1450" s="4">
        <v>6449</v>
      </c>
      <c r="B1450" s="4">
        <v>1149</v>
      </c>
      <c r="C1450" s="8">
        <v>46144</v>
      </c>
      <c r="D1450" s="8">
        <v>46153</v>
      </c>
      <c r="E1450" s="10">
        <f t="shared" si="22"/>
        <v>9</v>
      </c>
      <c r="F1450" s="4" t="s">
        <v>22</v>
      </c>
      <c r="G1450" s="4" t="s">
        <v>12</v>
      </c>
      <c r="H1450" s="4">
        <v>38885</v>
      </c>
      <c r="I1450" s="4" t="str">
        <f>VLOOKUP(B1450,Customers!$A:$D,4,FALSE)</f>
        <v>Premium</v>
      </c>
      <c r="J1450" s="4" t="s">
        <v>37</v>
      </c>
      <c r="K1450" s="4" t="s">
        <v>36</v>
      </c>
    </row>
    <row r="1451" spans="1:11" x14ac:dyDescent="0.2">
      <c r="A1451" s="4">
        <v>6450</v>
      </c>
      <c r="B1451" s="4">
        <v>1201</v>
      </c>
      <c r="C1451" s="8">
        <v>46117</v>
      </c>
      <c r="D1451" s="8">
        <v>46123</v>
      </c>
      <c r="E1451" s="10">
        <f t="shared" si="22"/>
        <v>6</v>
      </c>
      <c r="F1451" s="4" t="s">
        <v>21</v>
      </c>
      <c r="G1451" s="4" t="s">
        <v>12</v>
      </c>
      <c r="H1451" s="4">
        <v>30706</v>
      </c>
      <c r="I1451" s="4" t="str">
        <f>VLOOKUP(B1451,Customers!$A:$D,4,FALSE)</f>
        <v>Premium</v>
      </c>
      <c r="J1451" s="4" t="s">
        <v>37</v>
      </c>
      <c r="K1451" s="4" t="s">
        <v>36</v>
      </c>
    </row>
    <row r="1452" spans="1:11" x14ac:dyDescent="0.2">
      <c r="A1452" s="4">
        <v>6451</v>
      </c>
      <c r="B1452" s="4">
        <v>1015</v>
      </c>
      <c r="C1452" s="8">
        <v>46131</v>
      </c>
      <c r="D1452" s="8">
        <v>46135</v>
      </c>
      <c r="E1452" s="10">
        <f t="shared" si="22"/>
        <v>4</v>
      </c>
      <c r="F1452" s="4" t="s">
        <v>22</v>
      </c>
      <c r="G1452" s="4" t="s">
        <v>15</v>
      </c>
      <c r="H1452" s="4">
        <v>8172</v>
      </c>
      <c r="I1452" s="4" t="str">
        <f>VLOOKUP(B1452,Customers!$A:$D,4,FALSE)</f>
        <v>Regular</v>
      </c>
      <c r="J1452" s="4" t="s">
        <v>37</v>
      </c>
      <c r="K1452" s="4" t="s">
        <v>36</v>
      </c>
    </row>
    <row r="1453" spans="1:11" x14ac:dyDescent="0.2">
      <c r="A1453" s="4">
        <v>6452</v>
      </c>
      <c r="B1453" s="4">
        <v>1018</v>
      </c>
      <c r="C1453" s="8">
        <v>46025</v>
      </c>
      <c r="D1453" s="8">
        <v>46031</v>
      </c>
      <c r="E1453" s="10">
        <f t="shared" si="22"/>
        <v>6</v>
      </c>
      <c r="F1453" s="4" t="s">
        <v>25</v>
      </c>
      <c r="G1453" s="4" t="s">
        <v>12</v>
      </c>
      <c r="H1453" s="4">
        <v>23547</v>
      </c>
      <c r="I1453" s="4" t="str">
        <f>VLOOKUP(B1453,Customers!$A:$D,4,FALSE)</f>
        <v>Premium</v>
      </c>
      <c r="J1453" s="4" t="s">
        <v>35</v>
      </c>
      <c r="K1453" s="4" t="s">
        <v>36</v>
      </c>
    </row>
    <row r="1454" spans="1:11" x14ac:dyDescent="0.2">
      <c r="A1454" s="4">
        <v>6453</v>
      </c>
      <c r="B1454" s="4">
        <v>1142</v>
      </c>
      <c r="C1454" s="8">
        <v>46142</v>
      </c>
      <c r="D1454" s="8">
        <v>46151</v>
      </c>
      <c r="E1454" s="10">
        <f t="shared" si="22"/>
        <v>9</v>
      </c>
      <c r="F1454" s="4" t="s">
        <v>20</v>
      </c>
      <c r="G1454" s="4" t="s">
        <v>13</v>
      </c>
      <c r="H1454" s="4">
        <v>23745</v>
      </c>
      <c r="I1454" s="4" t="str">
        <f>VLOOKUP(B1454,Customers!$A:$D,4,FALSE)</f>
        <v>Premium</v>
      </c>
      <c r="J1454" s="4" t="s">
        <v>35</v>
      </c>
      <c r="K1454" s="4" t="s">
        <v>36</v>
      </c>
    </row>
    <row r="1455" spans="1:11" x14ac:dyDescent="0.2">
      <c r="A1455" s="4">
        <v>6454</v>
      </c>
      <c r="B1455" s="4">
        <v>1200</v>
      </c>
      <c r="C1455" s="8">
        <v>46112</v>
      </c>
      <c r="D1455" s="8">
        <v>46122</v>
      </c>
      <c r="E1455" s="10">
        <f t="shared" si="22"/>
        <v>10</v>
      </c>
      <c r="F1455" s="4" t="s">
        <v>23</v>
      </c>
      <c r="G1455" s="4" t="s">
        <v>13</v>
      </c>
      <c r="H1455" s="4">
        <v>43286</v>
      </c>
      <c r="I1455" s="4" t="str">
        <f>VLOOKUP(B1455,Customers!$A:$D,4,FALSE)</f>
        <v>Regular</v>
      </c>
      <c r="J1455" s="4" t="s">
        <v>35</v>
      </c>
      <c r="K1455" s="4" t="s">
        <v>36</v>
      </c>
    </row>
    <row r="1456" spans="1:11" x14ac:dyDescent="0.2">
      <c r="A1456" s="4">
        <v>6455</v>
      </c>
      <c r="B1456" s="4">
        <v>1236</v>
      </c>
      <c r="C1456" s="8">
        <v>46113</v>
      </c>
      <c r="D1456" s="8">
        <v>46120</v>
      </c>
      <c r="E1456" s="10">
        <f t="shared" si="22"/>
        <v>7</v>
      </c>
      <c r="F1456" s="4" t="s">
        <v>18</v>
      </c>
      <c r="G1456" s="4" t="s">
        <v>14</v>
      </c>
      <c r="H1456" s="4">
        <v>43451</v>
      </c>
      <c r="I1456" s="4" t="str">
        <f>VLOOKUP(B1456,Customers!$A:$D,4,FALSE)</f>
        <v>Premium</v>
      </c>
      <c r="J1456" s="4" t="s">
        <v>37</v>
      </c>
      <c r="K1456" s="4" t="s">
        <v>36</v>
      </c>
    </row>
    <row r="1457" spans="1:11" x14ac:dyDescent="0.2">
      <c r="A1457" s="4">
        <v>6456</v>
      </c>
      <c r="B1457" s="4">
        <v>1248</v>
      </c>
      <c r="C1457" s="8">
        <v>46123</v>
      </c>
      <c r="D1457" s="8">
        <v>46126</v>
      </c>
      <c r="E1457" s="10">
        <f t="shared" si="22"/>
        <v>3</v>
      </c>
      <c r="F1457" s="4" t="s">
        <v>21</v>
      </c>
      <c r="G1457" s="4" t="s">
        <v>15</v>
      </c>
      <c r="H1457" s="4">
        <v>40004</v>
      </c>
      <c r="I1457" s="4" t="str">
        <f>VLOOKUP(B1457,Customers!$A:$D,4,FALSE)</f>
        <v>Regular</v>
      </c>
      <c r="J1457" s="4" t="s">
        <v>35</v>
      </c>
      <c r="K1457" s="4" t="s">
        <v>36</v>
      </c>
    </row>
    <row r="1458" spans="1:11" x14ac:dyDescent="0.2">
      <c r="A1458" s="4">
        <v>6457</v>
      </c>
      <c r="B1458" s="4">
        <v>1270</v>
      </c>
      <c r="C1458" s="8">
        <v>46170</v>
      </c>
      <c r="D1458" s="8">
        <v>46180</v>
      </c>
      <c r="E1458" s="10">
        <f t="shared" si="22"/>
        <v>10</v>
      </c>
      <c r="F1458" s="4" t="s">
        <v>22</v>
      </c>
      <c r="G1458" s="4" t="s">
        <v>13</v>
      </c>
      <c r="H1458" s="4">
        <v>46028</v>
      </c>
      <c r="I1458" s="4" t="str">
        <f>VLOOKUP(B1458,Customers!$A:$D,4,FALSE)</f>
        <v>Premium</v>
      </c>
      <c r="J1458" s="4" t="s">
        <v>37</v>
      </c>
      <c r="K1458" s="4" t="s">
        <v>36</v>
      </c>
    </row>
    <row r="1459" spans="1:11" x14ac:dyDescent="0.2">
      <c r="A1459" s="4">
        <v>6458</v>
      </c>
      <c r="B1459" s="4">
        <v>1300</v>
      </c>
      <c r="C1459" s="8">
        <v>46173</v>
      </c>
      <c r="D1459" s="8">
        <v>46180</v>
      </c>
      <c r="E1459" s="10">
        <f t="shared" si="22"/>
        <v>7</v>
      </c>
      <c r="F1459" s="4" t="s">
        <v>21</v>
      </c>
      <c r="G1459" s="4" t="s">
        <v>12</v>
      </c>
      <c r="H1459" s="4">
        <v>3244</v>
      </c>
      <c r="I1459" s="4" t="str">
        <f>VLOOKUP(B1459,Customers!$A:$D,4,FALSE)</f>
        <v>Regular</v>
      </c>
      <c r="J1459" s="4" t="s">
        <v>35</v>
      </c>
      <c r="K1459" s="4" t="s">
        <v>36</v>
      </c>
    </row>
    <row r="1460" spans="1:11" x14ac:dyDescent="0.2">
      <c r="A1460" s="4">
        <v>6459</v>
      </c>
      <c r="B1460" s="4">
        <v>1050</v>
      </c>
      <c r="C1460" s="8">
        <v>46063</v>
      </c>
      <c r="D1460" s="8">
        <v>46068</v>
      </c>
      <c r="E1460" s="10">
        <f t="shared" si="22"/>
        <v>5</v>
      </c>
      <c r="F1460" s="4" t="s">
        <v>23</v>
      </c>
      <c r="G1460" s="4" t="s">
        <v>15</v>
      </c>
      <c r="H1460" s="4">
        <v>44820</v>
      </c>
      <c r="I1460" s="4" t="str">
        <f>VLOOKUP(B1460,Customers!$A:$D,4,FALSE)</f>
        <v>Regular</v>
      </c>
      <c r="J1460" s="4" t="s">
        <v>37</v>
      </c>
      <c r="K1460" s="4" t="s">
        <v>36</v>
      </c>
    </row>
    <row r="1461" spans="1:11" x14ac:dyDescent="0.2">
      <c r="A1461" s="4">
        <v>6460</v>
      </c>
      <c r="B1461" s="4">
        <v>1122</v>
      </c>
      <c r="C1461" s="8">
        <v>46105</v>
      </c>
      <c r="D1461" s="8">
        <v>46110</v>
      </c>
      <c r="E1461" s="10">
        <f t="shared" si="22"/>
        <v>5</v>
      </c>
      <c r="F1461" s="4" t="s">
        <v>23</v>
      </c>
      <c r="G1461" s="4" t="s">
        <v>13</v>
      </c>
      <c r="H1461" s="4">
        <v>48020</v>
      </c>
      <c r="I1461" s="4" t="str">
        <f>VLOOKUP(B1461,Customers!$A:$D,4,FALSE)</f>
        <v>Regular</v>
      </c>
      <c r="J1461" s="4" t="s">
        <v>37</v>
      </c>
      <c r="K1461" s="4" t="s">
        <v>36</v>
      </c>
    </row>
    <row r="1462" spans="1:11" x14ac:dyDescent="0.2">
      <c r="A1462" s="4">
        <v>6461</v>
      </c>
      <c r="B1462" s="4">
        <v>1032</v>
      </c>
      <c r="C1462" s="8">
        <v>46130</v>
      </c>
      <c r="D1462" s="8">
        <v>46133</v>
      </c>
      <c r="E1462" s="10">
        <f t="shared" si="22"/>
        <v>3</v>
      </c>
      <c r="F1462" s="4" t="s">
        <v>22</v>
      </c>
      <c r="G1462" s="4" t="s">
        <v>12</v>
      </c>
      <c r="H1462" s="4">
        <v>2752</v>
      </c>
      <c r="I1462" s="4" t="str">
        <f>VLOOKUP(B1462,Customers!$A:$D,4,FALSE)</f>
        <v>Premium</v>
      </c>
      <c r="J1462" s="4" t="s">
        <v>35</v>
      </c>
      <c r="K1462" s="4" t="s">
        <v>36</v>
      </c>
    </row>
    <row r="1463" spans="1:11" x14ac:dyDescent="0.2">
      <c r="A1463" s="4">
        <v>6462</v>
      </c>
      <c r="B1463" s="4">
        <v>1016</v>
      </c>
      <c r="C1463" s="8">
        <v>46136</v>
      </c>
      <c r="D1463" s="8">
        <v>46143</v>
      </c>
      <c r="E1463" s="10">
        <f t="shared" si="22"/>
        <v>7</v>
      </c>
      <c r="F1463" s="4" t="s">
        <v>18</v>
      </c>
      <c r="G1463" s="4" t="s">
        <v>14</v>
      </c>
      <c r="H1463" s="4">
        <v>7355</v>
      </c>
      <c r="I1463" s="4" t="str">
        <f>VLOOKUP(B1463,Customers!$A:$D,4,FALSE)</f>
        <v>Premium</v>
      </c>
      <c r="J1463" s="4" t="s">
        <v>37</v>
      </c>
      <c r="K1463" s="4" t="s">
        <v>36</v>
      </c>
    </row>
    <row r="1464" spans="1:11" x14ac:dyDescent="0.2">
      <c r="A1464" s="4">
        <v>6463</v>
      </c>
      <c r="B1464" s="4">
        <v>1294</v>
      </c>
      <c r="C1464" s="8">
        <v>46119</v>
      </c>
      <c r="D1464" s="8">
        <v>46123</v>
      </c>
      <c r="E1464" s="10">
        <f t="shared" si="22"/>
        <v>4</v>
      </c>
      <c r="F1464" s="4" t="s">
        <v>24</v>
      </c>
      <c r="G1464" s="4" t="s">
        <v>13</v>
      </c>
      <c r="H1464" s="4">
        <v>16847</v>
      </c>
      <c r="I1464" s="4" t="str">
        <f>VLOOKUP(B1464,Customers!$A:$D,4,FALSE)</f>
        <v>Premium</v>
      </c>
      <c r="J1464" s="4" t="s">
        <v>37</v>
      </c>
      <c r="K1464" s="4" t="s">
        <v>36</v>
      </c>
    </row>
    <row r="1465" spans="1:11" x14ac:dyDescent="0.2">
      <c r="A1465" s="4">
        <v>6464</v>
      </c>
      <c r="B1465" s="4">
        <v>1116</v>
      </c>
      <c r="C1465" s="8">
        <v>46135</v>
      </c>
      <c r="D1465" s="8">
        <v>46141</v>
      </c>
      <c r="E1465" s="10">
        <f t="shared" si="22"/>
        <v>6</v>
      </c>
      <c r="F1465" s="4" t="s">
        <v>24</v>
      </c>
      <c r="G1465" s="4" t="s">
        <v>13</v>
      </c>
      <c r="H1465" s="4">
        <v>28746</v>
      </c>
      <c r="I1465" s="4" t="str">
        <f>VLOOKUP(B1465,Customers!$A:$D,4,FALSE)</f>
        <v>Premium</v>
      </c>
      <c r="J1465" s="4" t="s">
        <v>35</v>
      </c>
      <c r="K1465" s="4" t="s">
        <v>36</v>
      </c>
    </row>
    <row r="1466" spans="1:11" x14ac:dyDescent="0.2">
      <c r="A1466" s="4">
        <v>6465</v>
      </c>
      <c r="B1466" s="4">
        <v>1050</v>
      </c>
      <c r="C1466" s="8">
        <v>46045</v>
      </c>
      <c r="D1466" s="8">
        <v>46047</v>
      </c>
      <c r="E1466" s="10">
        <f t="shared" si="22"/>
        <v>2</v>
      </c>
      <c r="F1466" s="4" t="s">
        <v>24</v>
      </c>
      <c r="G1466" s="4" t="s">
        <v>12</v>
      </c>
      <c r="H1466" s="4">
        <v>9511</v>
      </c>
      <c r="I1466" s="4" t="str">
        <f>VLOOKUP(B1466,Customers!$A:$D,4,FALSE)</f>
        <v>Regular</v>
      </c>
      <c r="J1466" s="4" t="s">
        <v>35</v>
      </c>
      <c r="K1466" s="4" t="s">
        <v>36</v>
      </c>
    </row>
    <row r="1467" spans="1:11" x14ac:dyDescent="0.2">
      <c r="A1467" s="4">
        <v>6466</v>
      </c>
      <c r="B1467" s="4">
        <v>1291</v>
      </c>
      <c r="C1467" s="8">
        <v>46115</v>
      </c>
      <c r="D1467" s="8">
        <v>46123</v>
      </c>
      <c r="E1467" s="10">
        <f t="shared" si="22"/>
        <v>8</v>
      </c>
      <c r="F1467" s="4" t="s">
        <v>23</v>
      </c>
      <c r="G1467" s="4" t="s">
        <v>14</v>
      </c>
      <c r="H1467" s="4">
        <v>12444</v>
      </c>
      <c r="I1467" s="4" t="str">
        <f>VLOOKUP(B1467,Customers!$A:$D,4,FALSE)</f>
        <v>Regular</v>
      </c>
      <c r="J1467" s="4" t="s">
        <v>37</v>
      </c>
      <c r="K1467" s="4" t="s">
        <v>36</v>
      </c>
    </row>
    <row r="1468" spans="1:11" x14ac:dyDescent="0.2">
      <c r="A1468" s="4">
        <v>6467</v>
      </c>
      <c r="B1468" s="4">
        <v>1293</v>
      </c>
      <c r="C1468" s="8">
        <v>46071</v>
      </c>
      <c r="D1468" s="8">
        <v>46076</v>
      </c>
      <c r="E1468" s="10">
        <f t="shared" si="22"/>
        <v>5</v>
      </c>
      <c r="F1468" s="4" t="s">
        <v>25</v>
      </c>
      <c r="G1468" s="4" t="s">
        <v>11</v>
      </c>
      <c r="H1468" s="4">
        <v>23375</v>
      </c>
      <c r="I1468" s="4" t="str">
        <f>VLOOKUP(B1468,Customers!$A:$D,4,FALSE)</f>
        <v>Premium</v>
      </c>
      <c r="J1468" s="4" t="s">
        <v>37</v>
      </c>
      <c r="K1468" s="4" t="s">
        <v>36</v>
      </c>
    </row>
    <row r="1469" spans="1:11" x14ac:dyDescent="0.2">
      <c r="A1469" s="4">
        <v>6468</v>
      </c>
      <c r="B1469" s="4">
        <v>1035</v>
      </c>
      <c r="C1469" s="8">
        <v>46166</v>
      </c>
      <c r="D1469" s="8">
        <v>46170</v>
      </c>
      <c r="E1469" s="10">
        <f t="shared" si="22"/>
        <v>4</v>
      </c>
      <c r="F1469" s="4" t="s">
        <v>25</v>
      </c>
      <c r="G1469" s="4" t="s">
        <v>15</v>
      </c>
      <c r="H1469" s="4">
        <v>41290</v>
      </c>
      <c r="I1469" s="4" t="str">
        <f>VLOOKUP(B1469,Customers!$A:$D,4,FALSE)</f>
        <v>Regular</v>
      </c>
      <c r="J1469" s="4" t="s">
        <v>37</v>
      </c>
      <c r="K1469" s="4" t="s">
        <v>36</v>
      </c>
    </row>
    <row r="1470" spans="1:11" x14ac:dyDescent="0.2">
      <c r="A1470" s="4">
        <v>6469</v>
      </c>
      <c r="B1470" s="4">
        <v>1066</v>
      </c>
      <c r="C1470" s="8">
        <v>46041</v>
      </c>
      <c r="D1470" s="8">
        <v>46044</v>
      </c>
      <c r="E1470" s="10">
        <f t="shared" si="22"/>
        <v>3</v>
      </c>
      <c r="F1470" s="4" t="s">
        <v>22</v>
      </c>
      <c r="G1470" s="4" t="s">
        <v>12</v>
      </c>
      <c r="H1470" s="4">
        <v>8028</v>
      </c>
      <c r="I1470" s="4" t="str">
        <f>VLOOKUP(B1470,Customers!$A:$D,4,FALSE)</f>
        <v>Regular</v>
      </c>
      <c r="J1470" s="4" t="s">
        <v>37</v>
      </c>
      <c r="K1470" s="4" t="s">
        <v>36</v>
      </c>
    </row>
    <row r="1471" spans="1:11" x14ac:dyDescent="0.2">
      <c r="A1471" s="4">
        <v>6470</v>
      </c>
      <c r="B1471" s="4">
        <v>1277</v>
      </c>
      <c r="C1471" s="8">
        <v>46082</v>
      </c>
      <c r="D1471" s="8">
        <v>46084</v>
      </c>
      <c r="E1471" s="10">
        <f t="shared" si="22"/>
        <v>2</v>
      </c>
      <c r="F1471" s="4" t="s">
        <v>19</v>
      </c>
      <c r="G1471" s="4" t="s">
        <v>12</v>
      </c>
      <c r="H1471" s="4">
        <v>14981</v>
      </c>
      <c r="I1471" s="4" t="str">
        <f>VLOOKUP(B1471,Customers!$A:$D,4,FALSE)</f>
        <v>Regular</v>
      </c>
      <c r="J1471" s="4" t="s">
        <v>37</v>
      </c>
      <c r="K1471" s="4" t="s">
        <v>36</v>
      </c>
    </row>
    <row r="1472" spans="1:11" x14ac:dyDescent="0.2">
      <c r="A1472" s="4">
        <v>6471</v>
      </c>
      <c r="B1472" s="4">
        <v>1184</v>
      </c>
      <c r="C1472" s="8">
        <v>46087</v>
      </c>
      <c r="D1472" s="8">
        <v>46095</v>
      </c>
      <c r="E1472" s="10">
        <f t="shared" si="22"/>
        <v>8</v>
      </c>
      <c r="F1472" s="4" t="s">
        <v>23</v>
      </c>
      <c r="G1472" s="4" t="s">
        <v>13</v>
      </c>
      <c r="H1472" s="4">
        <v>19178</v>
      </c>
      <c r="I1472" s="4" t="str">
        <f>VLOOKUP(B1472,Customers!$A:$D,4,FALSE)</f>
        <v>Premium</v>
      </c>
      <c r="J1472" s="4" t="s">
        <v>35</v>
      </c>
      <c r="K1472" s="4" t="s">
        <v>36</v>
      </c>
    </row>
    <row r="1473" spans="1:11" x14ac:dyDescent="0.2">
      <c r="A1473" s="4">
        <v>6472</v>
      </c>
      <c r="B1473" s="4">
        <v>1266</v>
      </c>
      <c r="C1473" s="8">
        <v>46159</v>
      </c>
      <c r="D1473" s="8">
        <v>46164</v>
      </c>
      <c r="E1473" s="10">
        <f t="shared" si="22"/>
        <v>5</v>
      </c>
      <c r="F1473" s="4" t="s">
        <v>22</v>
      </c>
      <c r="G1473" s="4" t="s">
        <v>15</v>
      </c>
      <c r="H1473" s="4">
        <v>40843</v>
      </c>
      <c r="I1473" s="4" t="str">
        <f>VLOOKUP(B1473,Customers!$A:$D,4,FALSE)</f>
        <v>Regular</v>
      </c>
      <c r="J1473" s="4" t="s">
        <v>35</v>
      </c>
      <c r="K1473" s="4" t="s">
        <v>36</v>
      </c>
    </row>
    <row r="1474" spans="1:11" x14ac:dyDescent="0.2">
      <c r="A1474" s="4">
        <v>6473</v>
      </c>
      <c r="B1474" s="4">
        <v>1299</v>
      </c>
      <c r="C1474" s="8">
        <v>46162</v>
      </c>
      <c r="D1474" s="8">
        <v>46165</v>
      </c>
      <c r="E1474" s="10">
        <f t="shared" si="22"/>
        <v>3</v>
      </c>
      <c r="F1474" s="4" t="s">
        <v>25</v>
      </c>
      <c r="G1474" s="4" t="s">
        <v>14</v>
      </c>
      <c r="H1474" s="4">
        <v>43110</v>
      </c>
      <c r="I1474" s="4" t="str">
        <f>VLOOKUP(B1474,Customers!$A:$D,4,FALSE)</f>
        <v>Regular</v>
      </c>
      <c r="J1474" s="4" t="s">
        <v>35</v>
      </c>
      <c r="K1474" s="4" t="s">
        <v>36</v>
      </c>
    </row>
    <row r="1475" spans="1:11" x14ac:dyDescent="0.2">
      <c r="A1475" s="4">
        <v>6474</v>
      </c>
      <c r="B1475" s="4">
        <v>1216</v>
      </c>
      <c r="C1475" s="8">
        <v>46031</v>
      </c>
      <c r="D1475" s="8">
        <v>46038</v>
      </c>
      <c r="E1475" s="10">
        <f t="shared" ref="E1475:E1501" si="23">D1475-C1475</f>
        <v>7</v>
      </c>
      <c r="F1475" s="4" t="s">
        <v>22</v>
      </c>
      <c r="G1475" s="4" t="s">
        <v>13</v>
      </c>
      <c r="H1475" s="4">
        <v>22224</v>
      </c>
      <c r="I1475" s="4" t="str">
        <f>VLOOKUP(B1475,Customers!$A:$D,4,FALSE)</f>
        <v>Premium</v>
      </c>
      <c r="J1475" s="4" t="s">
        <v>35</v>
      </c>
      <c r="K1475" s="4" t="s">
        <v>36</v>
      </c>
    </row>
    <row r="1476" spans="1:11" x14ac:dyDescent="0.2">
      <c r="A1476" s="4">
        <v>6475</v>
      </c>
      <c r="B1476" s="4">
        <v>1281</v>
      </c>
      <c r="C1476" s="8">
        <v>46058</v>
      </c>
      <c r="D1476" s="8">
        <v>46063</v>
      </c>
      <c r="E1476" s="10">
        <f t="shared" si="23"/>
        <v>5</v>
      </c>
      <c r="F1476" s="4" t="s">
        <v>19</v>
      </c>
      <c r="G1476" s="4" t="s">
        <v>12</v>
      </c>
      <c r="H1476" s="4">
        <v>15741</v>
      </c>
      <c r="I1476" s="4" t="str">
        <f>VLOOKUP(B1476,Customers!$A:$D,4,FALSE)</f>
        <v>Premium</v>
      </c>
      <c r="J1476" s="4" t="s">
        <v>37</v>
      </c>
      <c r="K1476" s="4" t="s">
        <v>36</v>
      </c>
    </row>
    <row r="1477" spans="1:11" x14ac:dyDescent="0.2">
      <c r="A1477" s="4">
        <v>6476</v>
      </c>
      <c r="B1477" s="4">
        <v>1178</v>
      </c>
      <c r="C1477" s="8">
        <v>46041</v>
      </c>
      <c r="D1477" s="8">
        <v>46043</v>
      </c>
      <c r="E1477" s="10">
        <f t="shared" si="23"/>
        <v>2</v>
      </c>
      <c r="F1477" s="4" t="s">
        <v>23</v>
      </c>
      <c r="G1477" s="4" t="s">
        <v>15</v>
      </c>
      <c r="H1477" s="4">
        <v>39500</v>
      </c>
      <c r="I1477" s="4" t="str">
        <f>VLOOKUP(B1477,Customers!$A:$D,4,FALSE)</f>
        <v>Premium</v>
      </c>
      <c r="J1477" s="4" t="s">
        <v>35</v>
      </c>
      <c r="K1477" s="4" t="s">
        <v>36</v>
      </c>
    </row>
    <row r="1478" spans="1:11" x14ac:dyDescent="0.2">
      <c r="A1478" s="4">
        <v>6477</v>
      </c>
      <c r="B1478" s="4">
        <v>1067</v>
      </c>
      <c r="C1478" s="8">
        <v>46164</v>
      </c>
      <c r="D1478" s="8">
        <v>46173</v>
      </c>
      <c r="E1478" s="10">
        <f t="shared" si="23"/>
        <v>9</v>
      </c>
      <c r="F1478" s="4" t="s">
        <v>22</v>
      </c>
      <c r="G1478" s="4" t="s">
        <v>12</v>
      </c>
      <c r="H1478" s="4">
        <v>7119</v>
      </c>
      <c r="I1478" s="4" t="str">
        <f>VLOOKUP(B1478,Customers!$A:$D,4,FALSE)</f>
        <v>Regular</v>
      </c>
      <c r="J1478" s="4" t="s">
        <v>35</v>
      </c>
      <c r="K1478" s="4" t="s">
        <v>36</v>
      </c>
    </row>
    <row r="1479" spans="1:11" x14ac:dyDescent="0.2">
      <c r="A1479" s="4">
        <v>6478</v>
      </c>
      <c r="B1479" s="4">
        <v>1116</v>
      </c>
      <c r="C1479" s="8">
        <v>46150</v>
      </c>
      <c r="D1479" s="8">
        <v>46160</v>
      </c>
      <c r="E1479" s="10">
        <f t="shared" si="23"/>
        <v>10</v>
      </c>
      <c r="F1479" s="4" t="s">
        <v>19</v>
      </c>
      <c r="G1479" s="4" t="s">
        <v>15</v>
      </c>
      <c r="H1479" s="4">
        <v>31599</v>
      </c>
      <c r="I1479" s="4" t="str">
        <f>VLOOKUP(B1479,Customers!$A:$D,4,FALSE)</f>
        <v>Premium</v>
      </c>
      <c r="J1479" s="4" t="s">
        <v>37</v>
      </c>
      <c r="K1479" s="4" t="s">
        <v>36</v>
      </c>
    </row>
    <row r="1480" spans="1:11" x14ac:dyDescent="0.2">
      <c r="A1480" s="4">
        <v>6479</v>
      </c>
      <c r="B1480" s="4">
        <v>1029</v>
      </c>
      <c r="C1480" s="8">
        <v>46081</v>
      </c>
      <c r="D1480" s="8">
        <v>46083</v>
      </c>
      <c r="E1480" s="10">
        <f t="shared" si="23"/>
        <v>2</v>
      </c>
      <c r="F1480" s="4" t="s">
        <v>20</v>
      </c>
      <c r="G1480" s="4" t="s">
        <v>13</v>
      </c>
      <c r="H1480" s="4">
        <v>35308</v>
      </c>
      <c r="I1480" s="4" t="str">
        <f>VLOOKUP(B1480,Customers!$A:$D,4,FALSE)</f>
        <v>Regular</v>
      </c>
      <c r="J1480" s="4" t="s">
        <v>37</v>
      </c>
      <c r="K1480" s="4" t="s">
        <v>36</v>
      </c>
    </row>
    <row r="1481" spans="1:11" x14ac:dyDescent="0.2">
      <c r="A1481" s="4">
        <v>6480</v>
      </c>
      <c r="B1481" s="4">
        <v>1247</v>
      </c>
      <c r="C1481" s="8">
        <v>46027</v>
      </c>
      <c r="D1481" s="8">
        <v>46037</v>
      </c>
      <c r="E1481" s="10">
        <f t="shared" si="23"/>
        <v>10</v>
      </c>
      <c r="F1481" s="4" t="s">
        <v>20</v>
      </c>
      <c r="G1481" s="4" t="s">
        <v>15</v>
      </c>
      <c r="H1481" s="4">
        <v>25022</v>
      </c>
      <c r="I1481" s="4" t="str">
        <f>VLOOKUP(B1481,Customers!$A:$D,4,FALSE)</f>
        <v>Regular</v>
      </c>
      <c r="J1481" s="4" t="s">
        <v>35</v>
      </c>
      <c r="K1481" s="4" t="s">
        <v>36</v>
      </c>
    </row>
    <row r="1482" spans="1:11" x14ac:dyDescent="0.2">
      <c r="A1482" s="4">
        <v>6481</v>
      </c>
      <c r="B1482" s="4">
        <v>1282</v>
      </c>
      <c r="C1482" s="8">
        <v>46133</v>
      </c>
      <c r="D1482" s="8">
        <v>46141</v>
      </c>
      <c r="E1482" s="10">
        <f t="shared" si="23"/>
        <v>8</v>
      </c>
      <c r="F1482" s="4" t="s">
        <v>18</v>
      </c>
      <c r="G1482" s="4" t="s">
        <v>12</v>
      </c>
      <c r="H1482" s="4">
        <v>29001</v>
      </c>
      <c r="I1482" s="4" t="str">
        <f>VLOOKUP(B1482,Customers!$A:$D,4,FALSE)</f>
        <v>Regular</v>
      </c>
      <c r="J1482" s="4" t="s">
        <v>35</v>
      </c>
      <c r="K1482" s="4" t="s">
        <v>36</v>
      </c>
    </row>
    <row r="1483" spans="1:11" x14ac:dyDescent="0.2">
      <c r="A1483" s="4">
        <v>6482</v>
      </c>
      <c r="B1483" s="4">
        <v>1100</v>
      </c>
      <c r="C1483" s="8">
        <v>46117</v>
      </c>
      <c r="D1483" s="8">
        <v>46124</v>
      </c>
      <c r="E1483" s="10">
        <f t="shared" si="23"/>
        <v>7</v>
      </c>
      <c r="F1483" s="4" t="s">
        <v>19</v>
      </c>
      <c r="G1483" s="4" t="s">
        <v>15</v>
      </c>
      <c r="H1483" s="4">
        <v>4096</v>
      </c>
      <c r="I1483" s="4" t="str">
        <f>VLOOKUP(B1483,Customers!$A:$D,4,FALSE)</f>
        <v>Regular</v>
      </c>
      <c r="J1483" s="4" t="s">
        <v>35</v>
      </c>
      <c r="K1483" s="4" t="s">
        <v>36</v>
      </c>
    </row>
    <row r="1484" spans="1:11" x14ac:dyDescent="0.2">
      <c r="A1484" s="4">
        <v>6483</v>
      </c>
      <c r="B1484" s="4">
        <v>1006</v>
      </c>
      <c r="C1484" s="8">
        <v>46082</v>
      </c>
      <c r="D1484" s="8">
        <v>46085</v>
      </c>
      <c r="E1484" s="10">
        <f t="shared" si="23"/>
        <v>3</v>
      </c>
      <c r="F1484" s="4" t="s">
        <v>24</v>
      </c>
      <c r="G1484" s="4" t="s">
        <v>15</v>
      </c>
      <c r="H1484" s="4">
        <v>49286</v>
      </c>
      <c r="I1484" s="4" t="str">
        <f>VLOOKUP(B1484,Customers!$A:$D,4,FALSE)</f>
        <v>Regular</v>
      </c>
      <c r="J1484" s="4" t="s">
        <v>35</v>
      </c>
      <c r="K1484" s="4" t="s">
        <v>36</v>
      </c>
    </row>
    <row r="1485" spans="1:11" x14ac:dyDescent="0.2">
      <c r="A1485" s="4">
        <v>6484</v>
      </c>
      <c r="B1485" s="4">
        <v>1030</v>
      </c>
      <c r="C1485" s="8">
        <v>46026</v>
      </c>
      <c r="D1485" s="8">
        <v>46031</v>
      </c>
      <c r="E1485" s="10">
        <f t="shared" si="23"/>
        <v>5</v>
      </c>
      <c r="F1485" s="4" t="s">
        <v>23</v>
      </c>
      <c r="G1485" s="4" t="s">
        <v>12</v>
      </c>
      <c r="H1485" s="4">
        <v>8604</v>
      </c>
      <c r="I1485" s="4" t="str">
        <f>VLOOKUP(B1485,Customers!$A:$D,4,FALSE)</f>
        <v>Premium</v>
      </c>
      <c r="J1485" s="4" t="s">
        <v>37</v>
      </c>
      <c r="K1485" s="4" t="s">
        <v>36</v>
      </c>
    </row>
    <row r="1486" spans="1:11" x14ac:dyDescent="0.2">
      <c r="A1486" s="4">
        <v>6485</v>
      </c>
      <c r="B1486" s="4">
        <v>1023</v>
      </c>
      <c r="C1486" s="8">
        <v>46069</v>
      </c>
      <c r="D1486" s="8">
        <v>46075</v>
      </c>
      <c r="E1486" s="10">
        <f t="shared" si="23"/>
        <v>6</v>
      </c>
      <c r="F1486" s="4" t="s">
        <v>19</v>
      </c>
      <c r="G1486" s="4" t="s">
        <v>14</v>
      </c>
      <c r="H1486" s="4">
        <v>39779</v>
      </c>
      <c r="I1486" s="4" t="str">
        <f>VLOOKUP(B1486,Customers!$A:$D,4,FALSE)</f>
        <v>Regular</v>
      </c>
      <c r="J1486" s="4" t="s">
        <v>35</v>
      </c>
      <c r="K1486" s="4" t="s">
        <v>36</v>
      </c>
    </row>
    <row r="1487" spans="1:11" x14ac:dyDescent="0.2">
      <c r="A1487" s="4">
        <v>6486</v>
      </c>
      <c r="B1487" s="4">
        <v>1204</v>
      </c>
      <c r="C1487" s="8">
        <v>46097</v>
      </c>
      <c r="D1487" s="8">
        <v>46101</v>
      </c>
      <c r="E1487" s="10">
        <f t="shared" si="23"/>
        <v>4</v>
      </c>
      <c r="F1487" s="4" t="s">
        <v>25</v>
      </c>
      <c r="G1487" s="4" t="s">
        <v>12</v>
      </c>
      <c r="H1487" s="4">
        <v>43330</v>
      </c>
      <c r="I1487" s="4" t="str">
        <f>VLOOKUP(B1487,Customers!$A:$D,4,FALSE)</f>
        <v>Premium</v>
      </c>
      <c r="J1487" s="4" t="s">
        <v>35</v>
      </c>
      <c r="K1487" s="4" t="s">
        <v>36</v>
      </c>
    </row>
    <row r="1488" spans="1:11" x14ac:dyDescent="0.2">
      <c r="A1488" s="4">
        <v>6487</v>
      </c>
      <c r="B1488" s="4">
        <v>1279</v>
      </c>
      <c r="C1488" s="8">
        <v>46042</v>
      </c>
      <c r="D1488" s="8">
        <v>46048</v>
      </c>
      <c r="E1488" s="10">
        <f t="shared" si="23"/>
        <v>6</v>
      </c>
      <c r="F1488" s="4" t="s">
        <v>24</v>
      </c>
      <c r="G1488" s="4" t="s">
        <v>15</v>
      </c>
      <c r="H1488" s="4">
        <v>46519</v>
      </c>
      <c r="I1488" s="4" t="str">
        <f>VLOOKUP(B1488,Customers!$A:$D,4,FALSE)</f>
        <v>Premium</v>
      </c>
      <c r="J1488" s="4" t="s">
        <v>37</v>
      </c>
      <c r="K1488" s="4" t="s">
        <v>36</v>
      </c>
    </row>
    <row r="1489" spans="1:11" x14ac:dyDescent="0.2">
      <c r="A1489" s="4">
        <v>6488</v>
      </c>
      <c r="B1489" s="4">
        <v>1155</v>
      </c>
      <c r="C1489" s="8">
        <v>46079</v>
      </c>
      <c r="D1489" s="8">
        <v>46088</v>
      </c>
      <c r="E1489" s="10">
        <f t="shared" si="23"/>
        <v>9</v>
      </c>
      <c r="F1489" s="4" t="s">
        <v>19</v>
      </c>
      <c r="G1489" s="4" t="s">
        <v>11</v>
      </c>
      <c r="H1489" s="4">
        <v>19481</v>
      </c>
      <c r="I1489" s="4" t="str">
        <f>VLOOKUP(B1489,Customers!$A:$D,4,FALSE)</f>
        <v>Regular</v>
      </c>
      <c r="J1489" s="4" t="s">
        <v>35</v>
      </c>
      <c r="K1489" s="4" t="s">
        <v>36</v>
      </c>
    </row>
    <row r="1490" spans="1:11" x14ac:dyDescent="0.2">
      <c r="A1490" s="4">
        <v>6489</v>
      </c>
      <c r="B1490" s="4">
        <v>1164</v>
      </c>
      <c r="C1490" s="8">
        <v>46157</v>
      </c>
      <c r="D1490" s="8">
        <v>46163</v>
      </c>
      <c r="E1490" s="10">
        <f t="shared" si="23"/>
        <v>6</v>
      </c>
      <c r="F1490" s="4" t="s">
        <v>23</v>
      </c>
      <c r="G1490" s="4" t="s">
        <v>12</v>
      </c>
      <c r="H1490" s="4">
        <v>23017</v>
      </c>
      <c r="I1490" s="4" t="str">
        <f>VLOOKUP(B1490,Customers!$A:$D,4,FALSE)</f>
        <v>Premium</v>
      </c>
      <c r="J1490" s="4" t="s">
        <v>37</v>
      </c>
      <c r="K1490" s="4" t="s">
        <v>36</v>
      </c>
    </row>
    <row r="1491" spans="1:11" x14ac:dyDescent="0.2">
      <c r="A1491" s="4">
        <v>6490</v>
      </c>
      <c r="B1491" s="4">
        <v>1041</v>
      </c>
      <c r="C1491" s="8">
        <v>46147</v>
      </c>
      <c r="D1491" s="8">
        <v>46153</v>
      </c>
      <c r="E1491" s="10">
        <f t="shared" si="23"/>
        <v>6</v>
      </c>
      <c r="F1491" s="4" t="s">
        <v>24</v>
      </c>
      <c r="G1491" s="4" t="s">
        <v>13</v>
      </c>
      <c r="H1491" s="4">
        <v>34443</v>
      </c>
      <c r="I1491" s="4" t="str">
        <f>VLOOKUP(B1491,Customers!$A:$D,4,FALSE)</f>
        <v>Regular</v>
      </c>
      <c r="J1491" s="4" t="s">
        <v>35</v>
      </c>
      <c r="K1491" s="4" t="s">
        <v>36</v>
      </c>
    </row>
    <row r="1492" spans="1:11" x14ac:dyDescent="0.2">
      <c r="A1492" s="4">
        <v>6491</v>
      </c>
      <c r="B1492" s="4">
        <v>1108</v>
      </c>
      <c r="C1492" s="8">
        <v>46101</v>
      </c>
      <c r="D1492" s="8">
        <v>46111</v>
      </c>
      <c r="E1492" s="10">
        <f t="shared" si="23"/>
        <v>10</v>
      </c>
      <c r="F1492" s="4" t="s">
        <v>23</v>
      </c>
      <c r="G1492" s="4" t="s">
        <v>14</v>
      </c>
      <c r="H1492" s="4">
        <v>47807</v>
      </c>
      <c r="I1492" s="4" t="str">
        <f>VLOOKUP(B1492,Customers!$A:$D,4,FALSE)</f>
        <v>Regular</v>
      </c>
      <c r="J1492" s="4" t="s">
        <v>35</v>
      </c>
      <c r="K1492" s="4" t="s">
        <v>36</v>
      </c>
    </row>
    <row r="1493" spans="1:11" x14ac:dyDescent="0.2">
      <c r="A1493" s="4">
        <v>6492</v>
      </c>
      <c r="B1493" s="4">
        <v>1226</v>
      </c>
      <c r="C1493" s="8">
        <v>46032</v>
      </c>
      <c r="D1493" s="8">
        <v>46037</v>
      </c>
      <c r="E1493" s="10">
        <f t="shared" si="23"/>
        <v>5</v>
      </c>
      <c r="F1493" s="4" t="s">
        <v>25</v>
      </c>
      <c r="G1493" s="4" t="s">
        <v>12</v>
      </c>
      <c r="H1493" s="4">
        <v>1695</v>
      </c>
      <c r="I1493" s="4" t="str">
        <f>VLOOKUP(B1493,Customers!$A:$D,4,FALSE)</f>
        <v>Regular</v>
      </c>
      <c r="J1493" s="4" t="s">
        <v>37</v>
      </c>
      <c r="K1493" s="4" t="s">
        <v>36</v>
      </c>
    </row>
    <row r="1494" spans="1:11" x14ac:dyDescent="0.2">
      <c r="A1494" s="4">
        <v>6493</v>
      </c>
      <c r="B1494" s="4">
        <v>1143</v>
      </c>
      <c r="C1494" s="8">
        <v>46031</v>
      </c>
      <c r="D1494" s="8">
        <v>46037</v>
      </c>
      <c r="E1494" s="10">
        <f t="shared" si="23"/>
        <v>6</v>
      </c>
      <c r="F1494" s="4" t="s">
        <v>21</v>
      </c>
      <c r="G1494" s="4" t="s">
        <v>14</v>
      </c>
      <c r="H1494" s="4">
        <v>5837</v>
      </c>
      <c r="I1494" s="4" t="str">
        <f>VLOOKUP(B1494,Customers!$A:$D,4,FALSE)</f>
        <v>Premium</v>
      </c>
      <c r="J1494" s="4" t="s">
        <v>35</v>
      </c>
      <c r="K1494" s="4" t="s">
        <v>36</v>
      </c>
    </row>
    <row r="1495" spans="1:11" x14ac:dyDescent="0.2">
      <c r="A1495" s="4">
        <v>6494</v>
      </c>
      <c r="B1495" s="4">
        <v>1254</v>
      </c>
      <c r="C1495" s="8">
        <v>46094</v>
      </c>
      <c r="D1495" s="8">
        <v>46102</v>
      </c>
      <c r="E1495" s="10">
        <f t="shared" si="23"/>
        <v>8</v>
      </c>
      <c r="F1495" s="4" t="s">
        <v>20</v>
      </c>
      <c r="G1495" s="4" t="s">
        <v>15</v>
      </c>
      <c r="H1495" s="4">
        <v>25509</v>
      </c>
      <c r="I1495" s="4" t="str">
        <f>VLOOKUP(B1495,Customers!$A:$D,4,FALSE)</f>
        <v>Premium</v>
      </c>
      <c r="J1495" s="4" t="s">
        <v>37</v>
      </c>
      <c r="K1495" s="4" t="s">
        <v>36</v>
      </c>
    </row>
    <row r="1496" spans="1:11" x14ac:dyDescent="0.2">
      <c r="A1496" s="4">
        <v>6495</v>
      </c>
      <c r="B1496" s="4">
        <v>1106</v>
      </c>
      <c r="C1496" s="8">
        <v>46034</v>
      </c>
      <c r="D1496" s="8">
        <v>46039</v>
      </c>
      <c r="E1496" s="10">
        <f t="shared" si="23"/>
        <v>5</v>
      </c>
      <c r="F1496" s="4" t="s">
        <v>21</v>
      </c>
      <c r="G1496" s="4" t="s">
        <v>13</v>
      </c>
      <c r="H1496" s="4">
        <v>43548</v>
      </c>
      <c r="I1496" s="4" t="str">
        <f>VLOOKUP(B1496,Customers!$A:$D,4,FALSE)</f>
        <v>Premium</v>
      </c>
      <c r="J1496" s="4" t="s">
        <v>37</v>
      </c>
      <c r="K1496" s="4" t="s">
        <v>36</v>
      </c>
    </row>
    <row r="1497" spans="1:11" x14ac:dyDescent="0.2">
      <c r="A1497" s="4">
        <v>6496</v>
      </c>
      <c r="B1497" s="4">
        <v>1157</v>
      </c>
      <c r="C1497" s="8">
        <v>46159</v>
      </c>
      <c r="D1497" s="8">
        <v>46161</v>
      </c>
      <c r="E1497" s="10">
        <f t="shared" si="23"/>
        <v>2</v>
      </c>
      <c r="F1497" s="4" t="s">
        <v>20</v>
      </c>
      <c r="G1497" s="4" t="s">
        <v>11</v>
      </c>
      <c r="H1497" s="4">
        <v>23093</v>
      </c>
      <c r="I1497" s="4" t="str">
        <f>VLOOKUP(B1497,Customers!$A:$D,4,FALSE)</f>
        <v>Regular</v>
      </c>
      <c r="J1497" s="4" t="s">
        <v>35</v>
      </c>
      <c r="K1497" s="4" t="s">
        <v>36</v>
      </c>
    </row>
    <row r="1498" spans="1:11" x14ac:dyDescent="0.2">
      <c r="A1498" s="4">
        <v>6497</v>
      </c>
      <c r="B1498" s="4">
        <v>1111</v>
      </c>
      <c r="C1498" s="8">
        <v>46109</v>
      </c>
      <c r="D1498" s="8">
        <v>46115</v>
      </c>
      <c r="E1498" s="10">
        <f t="shared" si="23"/>
        <v>6</v>
      </c>
      <c r="F1498" s="4" t="s">
        <v>20</v>
      </c>
      <c r="G1498" s="4" t="s">
        <v>14</v>
      </c>
      <c r="H1498" s="4">
        <v>47865</v>
      </c>
      <c r="I1498" s="4" t="str">
        <f>VLOOKUP(B1498,Customers!$A:$D,4,FALSE)</f>
        <v>Premium</v>
      </c>
      <c r="J1498" s="4" t="s">
        <v>37</v>
      </c>
      <c r="K1498" s="4" t="s">
        <v>36</v>
      </c>
    </row>
    <row r="1499" spans="1:11" x14ac:dyDescent="0.2">
      <c r="A1499" s="4">
        <v>6498</v>
      </c>
      <c r="B1499" s="4">
        <v>1056</v>
      </c>
      <c r="C1499" s="8">
        <v>46132</v>
      </c>
      <c r="D1499" s="8">
        <v>46134</v>
      </c>
      <c r="E1499" s="10">
        <f t="shared" si="23"/>
        <v>2</v>
      </c>
      <c r="F1499" s="4" t="s">
        <v>21</v>
      </c>
      <c r="G1499" s="4" t="s">
        <v>14</v>
      </c>
      <c r="H1499" s="4">
        <v>35346</v>
      </c>
      <c r="I1499" s="4" t="str">
        <f>VLOOKUP(B1499,Customers!$A:$D,4,FALSE)</f>
        <v>Regular</v>
      </c>
      <c r="J1499" s="4" t="s">
        <v>37</v>
      </c>
      <c r="K1499" s="4" t="s">
        <v>36</v>
      </c>
    </row>
    <row r="1500" spans="1:11" x14ac:dyDescent="0.2">
      <c r="A1500" s="4">
        <v>6499</v>
      </c>
      <c r="B1500" s="4">
        <v>1134</v>
      </c>
      <c r="C1500" s="8">
        <v>46131</v>
      </c>
      <c r="D1500" s="8">
        <v>46141</v>
      </c>
      <c r="E1500" s="10">
        <f t="shared" si="23"/>
        <v>10</v>
      </c>
      <c r="F1500" s="4" t="s">
        <v>18</v>
      </c>
      <c r="G1500" s="4" t="s">
        <v>15</v>
      </c>
      <c r="H1500" s="4">
        <v>30927</v>
      </c>
      <c r="I1500" s="4" t="str">
        <f>VLOOKUP(B1500,Customers!$A:$D,4,FALSE)</f>
        <v>Premium</v>
      </c>
      <c r="J1500" s="4" t="s">
        <v>35</v>
      </c>
      <c r="K1500" s="4" t="s">
        <v>36</v>
      </c>
    </row>
    <row r="1501" spans="1:11" x14ac:dyDescent="0.2">
      <c r="A1501" s="4">
        <v>6500</v>
      </c>
      <c r="B1501" s="4">
        <v>1144</v>
      </c>
      <c r="C1501" s="8">
        <v>46056</v>
      </c>
      <c r="D1501" s="8">
        <v>46058</v>
      </c>
      <c r="E1501" s="10">
        <f t="shared" si="23"/>
        <v>2</v>
      </c>
      <c r="F1501" s="4" t="s">
        <v>22</v>
      </c>
      <c r="G1501" s="4" t="s">
        <v>12</v>
      </c>
      <c r="H1501" s="4">
        <v>16679</v>
      </c>
      <c r="I1501" s="4" t="str">
        <f>VLOOKUP(B1501,Customers!$A:$D,4,FALSE)</f>
        <v>Premium</v>
      </c>
      <c r="J1501" s="4" t="s">
        <v>37</v>
      </c>
      <c r="K1501" s="4" t="s">
        <v>36</v>
      </c>
    </row>
  </sheetData>
  <autoFilter ref="A1:P1501" xr:uid="{00000000-0001-0000-01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0BD2-E542-4B66-823C-78643D5E9D8A}">
  <dimension ref="A3:C23"/>
  <sheetViews>
    <sheetView workbookViewId="0">
      <selection activeCell="C6" sqref="C6"/>
    </sheetView>
  </sheetViews>
  <sheetFormatPr defaultRowHeight="15" x14ac:dyDescent="0.2"/>
  <cols>
    <col min="1" max="1" width="17.21875" bestFit="1" customWidth="1"/>
    <col min="2" max="2" width="18.29296875" bestFit="1" customWidth="1"/>
    <col min="3" max="3" width="29.59375" bestFit="1" customWidth="1"/>
  </cols>
  <sheetData>
    <row r="3" spans="1:3" x14ac:dyDescent="0.2">
      <c r="A3" s="16" t="s">
        <v>38</v>
      </c>
      <c r="B3" s="16" t="s">
        <v>39</v>
      </c>
      <c r="C3" s="1" t="s">
        <v>40</v>
      </c>
    </row>
    <row r="4" spans="1:3" x14ac:dyDescent="0.2">
      <c r="A4" s="1" t="s">
        <v>41</v>
      </c>
      <c r="B4" s="1" t="s">
        <v>42</v>
      </c>
      <c r="C4" s="17">
        <v>5.8777777777777782</v>
      </c>
    </row>
    <row r="5" spans="1:3" x14ac:dyDescent="0.2">
      <c r="A5" s="1"/>
      <c r="B5" s="1" t="s">
        <v>43</v>
      </c>
      <c r="C5" s="17">
        <v>6.12</v>
      </c>
    </row>
    <row r="6" spans="1:3" x14ac:dyDescent="0.2">
      <c r="A6" s="1"/>
      <c r="B6" s="1" t="s">
        <v>44</v>
      </c>
      <c r="C6" s="17">
        <v>6</v>
      </c>
    </row>
    <row r="7" spans="1:3" x14ac:dyDescent="0.2">
      <c r="A7" s="1"/>
      <c r="B7" s="1" t="s">
        <v>45</v>
      </c>
      <c r="C7" s="17">
        <v>6.1923076923076925</v>
      </c>
    </row>
    <row r="8" spans="1:3" x14ac:dyDescent="0.2">
      <c r="A8" s="1" t="s">
        <v>46</v>
      </c>
      <c r="B8" s="1"/>
      <c r="C8" s="17">
        <v>6.0462427745664744</v>
      </c>
    </row>
    <row r="9" spans="1:3" x14ac:dyDescent="0.2">
      <c r="A9" s="1" t="s">
        <v>47</v>
      </c>
      <c r="B9" s="1" t="s">
        <v>42</v>
      </c>
      <c r="C9" s="17">
        <v>6.2183908045977008</v>
      </c>
    </row>
    <row r="10" spans="1:3" x14ac:dyDescent="0.2">
      <c r="A10" s="1"/>
      <c r="B10" s="1" t="s">
        <v>43</v>
      </c>
      <c r="C10" s="17">
        <v>5.95</v>
      </c>
    </row>
    <row r="11" spans="1:3" x14ac:dyDescent="0.2">
      <c r="A11" s="1"/>
      <c r="B11" s="1" t="s">
        <v>44</v>
      </c>
      <c r="C11" s="17">
        <v>6.6039603960396036</v>
      </c>
    </row>
    <row r="12" spans="1:3" x14ac:dyDescent="0.2">
      <c r="A12" s="1"/>
      <c r="B12" s="1" t="s">
        <v>45</v>
      </c>
      <c r="C12" s="17">
        <v>5.5250000000000004</v>
      </c>
    </row>
    <row r="13" spans="1:3" x14ac:dyDescent="0.2">
      <c r="A13" s="1" t="s">
        <v>48</v>
      </c>
      <c r="B13" s="1"/>
      <c r="C13" s="17">
        <v>6.1005434782608692</v>
      </c>
    </row>
    <row r="14" spans="1:3" x14ac:dyDescent="0.2">
      <c r="A14" s="1" t="s">
        <v>49</v>
      </c>
      <c r="B14" s="1" t="s">
        <v>42</v>
      </c>
      <c r="C14" s="17">
        <v>6.6976744186046515</v>
      </c>
    </row>
    <row r="15" spans="1:3" x14ac:dyDescent="0.2">
      <c r="A15" s="1"/>
      <c r="B15" s="1" t="s">
        <v>43</v>
      </c>
      <c r="C15" s="17">
        <v>5.6380952380952385</v>
      </c>
    </row>
    <row r="16" spans="1:3" x14ac:dyDescent="0.2">
      <c r="A16" s="1"/>
      <c r="B16" s="1" t="s">
        <v>44</v>
      </c>
      <c r="C16" s="17">
        <v>6.4368932038834954</v>
      </c>
    </row>
    <row r="17" spans="1:3" x14ac:dyDescent="0.2">
      <c r="A17" s="1"/>
      <c r="B17" s="1" t="s">
        <v>45</v>
      </c>
      <c r="C17" s="17">
        <v>6.4387755102040813</v>
      </c>
    </row>
    <row r="18" spans="1:3" x14ac:dyDescent="0.2">
      <c r="A18" s="1" t="s">
        <v>50</v>
      </c>
      <c r="B18" s="1"/>
      <c r="C18" s="17">
        <v>6.2806122448979593</v>
      </c>
    </row>
    <row r="19" spans="1:3" x14ac:dyDescent="0.2">
      <c r="A19" s="1" t="s">
        <v>51</v>
      </c>
      <c r="B19" s="1" t="s">
        <v>42</v>
      </c>
      <c r="C19" s="17">
        <v>5.4634146341463419</v>
      </c>
    </row>
    <row r="20" spans="1:3" x14ac:dyDescent="0.2">
      <c r="A20" s="1"/>
      <c r="B20" s="1" t="s">
        <v>43</v>
      </c>
      <c r="C20" s="17">
        <v>5.67</v>
      </c>
    </row>
    <row r="21" spans="1:3" x14ac:dyDescent="0.2">
      <c r="A21" s="1"/>
      <c r="B21" s="1" t="s">
        <v>44</v>
      </c>
      <c r="C21" s="17">
        <v>5.5333333333333332</v>
      </c>
    </row>
    <row r="22" spans="1:3" x14ac:dyDescent="0.2">
      <c r="A22" s="1"/>
      <c r="B22" s="1" t="s">
        <v>45</v>
      </c>
      <c r="C22" s="17">
        <v>6.08411214953271</v>
      </c>
    </row>
    <row r="23" spans="1:3" x14ac:dyDescent="0.2">
      <c r="A23" s="1" t="s">
        <v>52</v>
      </c>
      <c r="B23" s="1"/>
      <c r="C23" s="17">
        <v>5.7030456852791875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8A55-D2B9-4C92-A4E2-9D9D921EFF4A}">
  <dimension ref="A1:AF53"/>
  <sheetViews>
    <sheetView showGridLines="0" tabSelected="1" topLeftCell="D32" workbookViewId="0">
      <selection activeCell="K84" sqref="K84"/>
    </sheetView>
  </sheetViews>
  <sheetFormatPr defaultRowHeight="15" x14ac:dyDescent="0.2"/>
  <cols>
    <col min="1" max="45" width="9.14453125" style="22"/>
    <col min="46" max="16384" width="8.609375" style="22"/>
  </cols>
  <sheetData>
    <row r="1" spans="1:32" ht="15" customHeight="1" x14ac:dyDescent="0.2">
      <c r="A1" s="23" t="s">
        <v>58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 spans="1:32" ht="15" customHeight="1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2" ht="15" customHeight="1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spans="1:32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</row>
    <row r="7" spans="1:32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</row>
    <row r="8" spans="1:32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</row>
    <row r="9" spans="1:32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</row>
    <row r="10" spans="1:32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</row>
    <row r="11" spans="1:32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</row>
    <row r="12" spans="1:32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</row>
    <row r="13" spans="1:32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</row>
    <row r="14" spans="1:32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</row>
    <row r="15" spans="1:32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</row>
    <row r="16" spans="1:32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</row>
    <row r="17" spans="1:32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</row>
    <row r="18" spans="1:32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</row>
    <row r="19" spans="1:32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spans="1:32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spans="1:32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spans="1:32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</row>
    <row r="23" spans="1:32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spans="1:32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</row>
    <row r="25" spans="1:32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</row>
    <row r="26" spans="1:32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</row>
    <row r="27" spans="1:32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8" spans="1:32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</row>
    <row r="29" spans="1:32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</row>
    <row r="30" spans="1:32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</row>
    <row r="31" spans="1:32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</row>
    <row r="32" spans="1:32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</row>
    <row r="33" spans="1:32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</row>
    <row r="34" spans="1:32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</row>
    <row r="35" spans="1:32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</row>
    <row r="36" spans="1:32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</row>
    <row r="37" spans="1:32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</row>
    <row r="38" spans="1:32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</row>
    <row r="39" spans="1:32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</row>
    <row r="40" spans="1:32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</row>
    <row r="41" spans="1:32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</row>
    <row r="42" spans="1:32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</row>
    <row r="43" spans="1:32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</row>
    <row r="44" spans="1:32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</row>
    <row r="45" spans="1:32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</row>
    <row r="46" spans="1:32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</row>
    <row r="47" spans="1:32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</row>
    <row r="48" spans="1:32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spans="1:32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</row>
    <row r="50" spans="1:32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</row>
    <row r="51" spans="1:32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</row>
    <row r="52" spans="1:32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1:32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</row>
  </sheetData>
  <mergeCells count="1">
    <mergeCell ref="A1:AF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5DDF-49B5-4973-9FD9-90F727622D74}">
  <dimension ref="A3:B7"/>
  <sheetViews>
    <sheetView workbookViewId="0">
      <selection activeCell="B4" sqref="B4:B7"/>
    </sheetView>
  </sheetViews>
  <sheetFormatPr defaultRowHeight="15" x14ac:dyDescent="0.2"/>
  <cols>
    <col min="1" max="1" width="18.29296875" bestFit="1" customWidth="1"/>
    <col min="2" max="2" width="29.59375" bestFit="1" customWidth="1"/>
  </cols>
  <sheetData>
    <row r="3" spans="1:2" x14ac:dyDescent="0.2">
      <c r="A3" s="14" t="s">
        <v>39</v>
      </c>
      <c r="B3" t="s">
        <v>40</v>
      </c>
    </row>
    <row r="4" spans="1:2" x14ac:dyDescent="0.2">
      <c r="A4" t="s">
        <v>42</v>
      </c>
      <c r="B4" s="15">
        <v>6.0695652173913039</v>
      </c>
    </row>
    <row r="5" spans="1:2" x14ac:dyDescent="0.2">
      <c r="A5" t="s">
        <v>43</v>
      </c>
      <c r="B5" s="15">
        <v>5.8419753086419757</v>
      </c>
    </row>
    <row r="6" spans="1:2" x14ac:dyDescent="0.2">
      <c r="A6" t="s">
        <v>44</v>
      </c>
      <c r="B6" s="15">
        <v>6.1472868217054266</v>
      </c>
    </row>
    <row r="7" spans="1:2" x14ac:dyDescent="0.2">
      <c r="A7" t="s">
        <v>45</v>
      </c>
      <c r="B7" s="15">
        <v>6.0798898071625347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A1B3-015D-41C6-8AD4-07AC7928BA3C}">
  <dimension ref="A3:B7"/>
  <sheetViews>
    <sheetView workbookViewId="0">
      <selection activeCell="G3" sqref="F3:G3"/>
    </sheetView>
  </sheetViews>
  <sheetFormatPr defaultRowHeight="15" x14ac:dyDescent="0.2"/>
  <cols>
    <col min="1" max="1" width="17.21875" bestFit="1" customWidth="1"/>
    <col min="2" max="2" width="29.59375" bestFit="1" customWidth="1"/>
  </cols>
  <sheetData>
    <row r="3" spans="1:2" x14ac:dyDescent="0.2">
      <c r="A3" s="14" t="s">
        <v>38</v>
      </c>
      <c r="B3" t="s">
        <v>40</v>
      </c>
    </row>
    <row r="4" spans="1:2" x14ac:dyDescent="0.2">
      <c r="A4" t="s">
        <v>41</v>
      </c>
      <c r="B4" s="15">
        <v>6.0462427745664744</v>
      </c>
    </row>
    <row r="5" spans="1:2" x14ac:dyDescent="0.2">
      <c r="A5" t="s">
        <v>47</v>
      </c>
      <c r="B5" s="15">
        <v>6.1005434782608692</v>
      </c>
    </row>
    <row r="6" spans="1:2" x14ac:dyDescent="0.2">
      <c r="A6" t="s">
        <v>49</v>
      </c>
      <c r="B6" s="15">
        <v>6.2806122448979593</v>
      </c>
    </row>
    <row r="7" spans="1:2" x14ac:dyDescent="0.2">
      <c r="A7" t="s">
        <v>51</v>
      </c>
      <c r="B7" s="15">
        <v>5.7030456852791875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01"/>
  <sheetViews>
    <sheetView workbookViewId="0">
      <selection activeCell="D2" sqref="D2"/>
    </sheetView>
  </sheetViews>
  <sheetFormatPr defaultRowHeight="15" x14ac:dyDescent="0.2"/>
  <cols>
    <col min="1" max="1" width="11.296875" style="4" bestFit="1" customWidth="1"/>
    <col min="2" max="2" width="16.41015625" style="4" bestFit="1" customWidth="1"/>
    <col min="3" max="3" width="17.484375" style="4" bestFit="1" customWidth="1"/>
    <col min="4" max="4" width="19.7734375" style="4" bestFit="1" customWidth="1"/>
    <col min="5" max="5" width="14.796875" style="4" bestFit="1" customWidth="1"/>
    <col min="6" max="6" width="22.734375" style="4" bestFit="1" customWidth="1"/>
    <col min="7" max="7" width="22.734375" style="10" customWidth="1"/>
    <col min="8" max="8" width="20.4453125" style="4" bestFit="1" customWidth="1"/>
    <col min="9" max="14" width="9.14453125" style="4"/>
  </cols>
  <sheetData>
    <row r="1" spans="1:8" ht="25.5" x14ac:dyDescent="0.2">
      <c r="A1" s="3" t="s">
        <v>27</v>
      </c>
      <c r="B1" s="3" t="s">
        <v>38</v>
      </c>
      <c r="C1" s="3" t="s">
        <v>39</v>
      </c>
      <c r="D1" s="13" t="s">
        <v>53</v>
      </c>
      <c r="E1" s="3" t="s">
        <v>54</v>
      </c>
      <c r="F1" s="3" t="s">
        <v>55</v>
      </c>
      <c r="G1" s="11" t="s">
        <v>56</v>
      </c>
      <c r="H1" s="3" t="s">
        <v>57</v>
      </c>
    </row>
    <row r="2" spans="1:8" x14ac:dyDescent="0.2">
      <c r="A2" s="4">
        <v>5006</v>
      </c>
      <c r="B2" s="4" t="s">
        <v>41</v>
      </c>
      <c r="C2" s="4" t="s">
        <v>42</v>
      </c>
      <c r="D2" s="12">
        <f>VLOOKUP(A2,Orders!$A:$E,5,FALSE)</f>
        <v>9</v>
      </c>
      <c r="E2" s="4">
        <v>1003</v>
      </c>
      <c r="F2" s="4">
        <v>22</v>
      </c>
      <c r="G2" s="10">
        <f t="shared" ref="G2:G65" si="0">E2/F2</f>
        <v>45.590909090909093</v>
      </c>
      <c r="H2" s="4">
        <v>3</v>
      </c>
    </row>
    <row r="3" spans="1:8" x14ac:dyDescent="0.2">
      <c r="A3" s="4">
        <v>5014</v>
      </c>
      <c r="B3" s="4" t="s">
        <v>41</v>
      </c>
      <c r="C3" s="4" t="s">
        <v>42</v>
      </c>
      <c r="D3" s="4">
        <f>VLOOKUP(A3,Orders!$A:$E,5,FALSE)</f>
        <v>4</v>
      </c>
      <c r="E3" s="4">
        <v>547</v>
      </c>
      <c r="F3" s="4">
        <v>2</v>
      </c>
      <c r="G3" s="10">
        <f t="shared" si="0"/>
        <v>273.5</v>
      </c>
      <c r="H3" s="4">
        <v>3</v>
      </c>
    </row>
    <row r="4" spans="1:8" x14ac:dyDescent="0.2">
      <c r="A4" s="4">
        <v>5032</v>
      </c>
      <c r="B4" s="4" t="s">
        <v>41</v>
      </c>
      <c r="C4" s="4" t="s">
        <v>42</v>
      </c>
      <c r="D4" s="4">
        <f>VLOOKUP(A4,Orders!$A:$E,5,FALSE)</f>
        <v>4</v>
      </c>
      <c r="E4" s="4">
        <v>1167</v>
      </c>
      <c r="F4" s="4">
        <v>18</v>
      </c>
      <c r="G4" s="10">
        <f t="shared" si="0"/>
        <v>64.833333333333329</v>
      </c>
      <c r="H4" s="4">
        <v>1</v>
      </c>
    </row>
    <row r="5" spans="1:8" x14ac:dyDescent="0.2">
      <c r="A5" s="4">
        <v>5065</v>
      </c>
      <c r="B5" s="4" t="s">
        <v>41</v>
      </c>
      <c r="C5" s="4" t="s">
        <v>42</v>
      </c>
      <c r="D5" s="4">
        <f>VLOOKUP(A5,Orders!$A:$E,5,FALSE)</f>
        <v>7</v>
      </c>
      <c r="E5" s="4">
        <v>1665</v>
      </c>
      <c r="F5" s="4">
        <v>4</v>
      </c>
      <c r="G5" s="10">
        <f t="shared" si="0"/>
        <v>416.25</v>
      </c>
      <c r="H5" s="4">
        <v>3</v>
      </c>
    </row>
    <row r="6" spans="1:8" x14ac:dyDescent="0.2">
      <c r="A6" s="4">
        <v>5068</v>
      </c>
      <c r="B6" s="4" t="s">
        <v>41</v>
      </c>
      <c r="C6" s="4" t="s">
        <v>42</v>
      </c>
      <c r="D6" s="4">
        <f>VLOOKUP(A6,Orders!$A:$E,5,FALSE)</f>
        <v>3</v>
      </c>
      <c r="E6" s="4">
        <v>1847</v>
      </c>
      <c r="F6" s="4">
        <v>3</v>
      </c>
      <c r="G6" s="10">
        <f t="shared" si="0"/>
        <v>615.66666666666663</v>
      </c>
      <c r="H6" s="4">
        <v>2</v>
      </c>
    </row>
    <row r="7" spans="1:8" x14ac:dyDescent="0.2">
      <c r="A7" s="4">
        <v>5069</v>
      </c>
      <c r="B7" s="4" t="s">
        <v>41</v>
      </c>
      <c r="C7" s="4" t="s">
        <v>42</v>
      </c>
      <c r="D7" s="4">
        <f>VLOOKUP(A7,Orders!$A:$E,5,FALSE)</f>
        <v>2</v>
      </c>
      <c r="E7" s="4">
        <v>409</v>
      </c>
      <c r="F7" s="4">
        <v>19</v>
      </c>
      <c r="G7" s="10">
        <f t="shared" si="0"/>
        <v>21.526315789473685</v>
      </c>
      <c r="H7" s="4">
        <v>3</v>
      </c>
    </row>
    <row r="8" spans="1:8" x14ac:dyDescent="0.2">
      <c r="A8" s="4">
        <v>5081</v>
      </c>
      <c r="B8" s="4" t="s">
        <v>41</v>
      </c>
      <c r="C8" s="4" t="s">
        <v>42</v>
      </c>
      <c r="D8" s="4">
        <f>VLOOKUP(A8,Orders!$A:$E,5,FALSE)</f>
        <v>10</v>
      </c>
      <c r="E8" s="4">
        <v>879</v>
      </c>
      <c r="F8" s="4">
        <v>16</v>
      </c>
      <c r="G8" s="10">
        <f t="shared" si="0"/>
        <v>54.9375</v>
      </c>
      <c r="H8" s="4">
        <v>2</v>
      </c>
    </row>
    <row r="9" spans="1:8" x14ac:dyDescent="0.2">
      <c r="A9" s="4">
        <v>5107</v>
      </c>
      <c r="B9" s="4" t="s">
        <v>41</v>
      </c>
      <c r="C9" s="4" t="s">
        <v>42</v>
      </c>
      <c r="D9" s="4">
        <f>VLOOKUP(A9,Orders!$A:$E,5,FALSE)</f>
        <v>10</v>
      </c>
      <c r="E9" s="4">
        <v>581</v>
      </c>
      <c r="F9" s="4">
        <v>16</v>
      </c>
      <c r="G9" s="10">
        <f t="shared" si="0"/>
        <v>36.3125</v>
      </c>
      <c r="H9" s="4">
        <v>1</v>
      </c>
    </row>
    <row r="10" spans="1:8" x14ac:dyDescent="0.2">
      <c r="A10" s="4">
        <v>5108</v>
      </c>
      <c r="B10" s="4" t="s">
        <v>41</v>
      </c>
      <c r="C10" s="4" t="s">
        <v>42</v>
      </c>
      <c r="D10" s="4">
        <f>VLOOKUP(A10,Orders!$A:$E,5,FALSE)</f>
        <v>6</v>
      </c>
      <c r="E10" s="4">
        <v>1363</v>
      </c>
      <c r="F10" s="4">
        <v>20</v>
      </c>
      <c r="G10" s="10">
        <f t="shared" si="0"/>
        <v>68.150000000000006</v>
      </c>
      <c r="H10" s="4">
        <v>2</v>
      </c>
    </row>
    <row r="11" spans="1:8" x14ac:dyDescent="0.2">
      <c r="A11" s="4">
        <v>5115</v>
      </c>
      <c r="B11" s="4" t="s">
        <v>41</v>
      </c>
      <c r="C11" s="4" t="s">
        <v>42</v>
      </c>
      <c r="D11" s="4">
        <f>VLOOKUP(A11,Orders!$A:$E,5,FALSE)</f>
        <v>9</v>
      </c>
      <c r="E11" s="4">
        <v>700</v>
      </c>
      <c r="F11" s="4">
        <v>6</v>
      </c>
      <c r="G11" s="10">
        <f t="shared" si="0"/>
        <v>116.66666666666667</v>
      </c>
      <c r="H11" s="4">
        <v>3</v>
      </c>
    </row>
    <row r="12" spans="1:8" x14ac:dyDescent="0.2">
      <c r="A12" s="4">
        <v>5120</v>
      </c>
      <c r="B12" s="4" t="s">
        <v>41</v>
      </c>
      <c r="C12" s="4" t="s">
        <v>42</v>
      </c>
      <c r="D12" s="4">
        <f>VLOOKUP(A12,Orders!$A:$E,5,FALSE)</f>
        <v>4</v>
      </c>
      <c r="E12" s="4">
        <v>1431</v>
      </c>
      <c r="F12" s="4">
        <v>20</v>
      </c>
      <c r="G12" s="10">
        <f t="shared" si="0"/>
        <v>71.55</v>
      </c>
      <c r="H12" s="4">
        <v>3</v>
      </c>
    </row>
    <row r="13" spans="1:8" x14ac:dyDescent="0.2">
      <c r="A13" s="4">
        <v>5135</v>
      </c>
      <c r="B13" s="4" t="s">
        <v>41</v>
      </c>
      <c r="C13" s="4" t="s">
        <v>42</v>
      </c>
      <c r="D13" s="4">
        <f>VLOOKUP(A13,Orders!$A:$E,5,FALSE)</f>
        <v>4</v>
      </c>
      <c r="E13" s="4">
        <v>872</v>
      </c>
      <c r="F13" s="4">
        <v>7</v>
      </c>
      <c r="G13" s="10">
        <f t="shared" si="0"/>
        <v>124.57142857142857</v>
      </c>
      <c r="H13" s="4">
        <v>1</v>
      </c>
    </row>
    <row r="14" spans="1:8" x14ac:dyDescent="0.2">
      <c r="A14" s="4">
        <v>5158</v>
      </c>
      <c r="B14" s="4" t="s">
        <v>41</v>
      </c>
      <c r="C14" s="4" t="s">
        <v>42</v>
      </c>
      <c r="D14" s="4">
        <f>VLOOKUP(A14,Orders!$A:$E,5,FALSE)</f>
        <v>7</v>
      </c>
      <c r="E14" s="4">
        <v>1771</v>
      </c>
      <c r="F14" s="4">
        <v>16</v>
      </c>
      <c r="G14" s="10">
        <f t="shared" si="0"/>
        <v>110.6875</v>
      </c>
      <c r="H14" s="4">
        <v>3</v>
      </c>
    </row>
    <row r="15" spans="1:8" x14ac:dyDescent="0.2">
      <c r="A15" s="4">
        <v>5163</v>
      </c>
      <c r="B15" s="4" t="s">
        <v>41</v>
      </c>
      <c r="C15" s="4" t="s">
        <v>42</v>
      </c>
      <c r="D15" s="4">
        <f>VLOOKUP(A15,Orders!$A:$E,5,FALSE)</f>
        <v>2</v>
      </c>
      <c r="E15" s="4">
        <v>1895</v>
      </c>
      <c r="F15" s="4">
        <v>10</v>
      </c>
      <c r="G15" s="10">
        <f t="shared" si="0"/>
        <v>189.5</v>
      </c>
      <c r="H15" s="4">
        <v>3</v>
      </c>
    </row>
    <row r="16" spans="1:8" x14ac:dyDescent="0.2">
      <c r="A16" s="4">
        <v>5164</v>
      </c>
      <c r="B16" s="4" t="s">
        <v>41</v>
      </c>
      <c r="C16" s="4" t="s">
        <v>42</v>
      </c>
      <c r="D16" s="4">
        <f>VLOOKUP(A16,Orders!$A:$E,5,FALSE)</f>
        <v>5</v>
      </c>
      <c r="E16" s="4">
        <v>88</v>
      </c>
      <c r="F16" s="4">
        <v>22</v>
      </c>
      <c r="G16" s="10">
        <f t="shared" si="0"/>
        <v>4</v>
      </c>
      <c r="H16" s="4">
        <v>2</v>
      </c>
    </row>
    <row r="17" spans="1:8" x14ac:dyDescent="0.2">
      <c r="A17" s="4">
        <v>5172</v>
      </c>
      <c r="B17" s="4" t="s">
        <v>41</v>
      </c>
      <c r="C17" s="4" t="s">
        <v>42</v>
      </c>
      <c r="D17" s="4">
        <f>VLOOKUP(A17,Orders!$A:$E,5,FALSE)</f>
        <v>6</v>
      </c>
      <c r="E17" s="4">
        <v>219</v>
      </c>
      <c r="F17" s="4">
        <v>19</v>
      </c>
      <c r="G17" s="10">
        <f t="shared" si="0"/>
        <v>11.526315789473685</v>
      </c>
      <c r="H17" s="4">
        <v>2</v>
      </c>
    </row>
    <row r="18" spans="1:8" x14ac:dyDescent="0.2">
      <c r="A18" s="4">
        <v>5198</v>
      </c>
      <c r="B18" s="4" t="s">
        <v>41</v>
      </c>
      <c r="C18" s="4" t="s">
        <v>42</v>
      </c>
      <c r="D18" s="4">
        <f>VLOOKUP(A18,Orders!$A:$E,5,FALSE)</f>
        <v>2</v>
      </c>
      <c r="E18" s="4">
        <v>1456</v>
      </c>
      <c r="F18" s="4">
        <v>5</v>
      </c>
      <c r="G18" s="10">
        <f t="shared" si="0"/>
        <v>291.2</v>
      </c>
      <c r="H18" s="4">
        <v>3</v>
      </c>
    </row>
    <row r="19" spans="1:8" x14ac:dyDescent="0.2">
      <c r="A19" s="4">
        <v>5246</v>
      </c>
      <c r="B19" s="4" t="s">
        <v>41</v>
      </c>
      <c r="C19" s="4" t="s">
        <v>42</v>
      </c>
      <c r="D19" s="4">
        <f>VLOOKUP(A19,Orders!$A:$E,5,FALSE)</f>
        <v>7</v>
      </c>
      <c r="E19" s="4">
        <v>1518</v>
      </c>
      <c r="F19" s="4">
        <v>3</v>
      </c>
      <c r="G19" s="10">
        <f t="shared" si="0"/>
        <v>506</v>
      </c>
      <c r="H19" s="4">
        <v>3</v>
      </c>
    </row>
    <row r="20" spans="1:8" x14ac:dyDescent="0.2">
      <c r="A20" s="4">
        <v>5274</v>
      </c>
      <c r="B20" s="4" t="s">
        <v>41</v>
      </c>
      <c r="C20" s="4" t="s">
        <v>42</v>
      </c>
      <c r="D20" s="4">
        <f>VLOOKUP(A20,Orders!$A:$E,5,FALSE)</f>
        <v>4</v>
      </c>
      <c r="E20" s="4">
        <v>1159</v>
      </c>
      <c r="F20" s="4">
        <v>17</v>
      </c>
      <c r="G20" s="10">
        <f t="shared" si="0"/>
        <v>68.17647058823529</v>
      </c>
      <c r="H20" s="4">
        <v>1</v>
      </c>
    </row>
    <row r="21" spans="1:8" x14ac:dyDescent="0.2">
      <c r="A21" s="4">
        <v>5280</v>
      </c>
      <c r="B21" s="4" t="s">
        <v>41</v>
      </c>
      <c r="C21" s="4" t="s">
        <v>42</v>
      </c>
      <c r="D21" s="4">
        <f>VLOOKUP(A21,Orders!$A:$E,5,FALSE)</f>
        <v>9</v>
      </c>
      <c r="E21" s="4">
        <v>1048</v>
      </c>
      <c r="F21" s="4">
        <v>19</v>
      </c>
      <c r="G21" s="10">
        <f t="shared" si="0"/>
        <v>55.157894736842103</v>
      </c>
      <c r="H21" s="4">
        <v>3</v>
      </c>
    </row>
    <row r="22" spans="1:8" x14ac:dyDescent="0.2">
      <c r="A22" s="4">
        <v>5290</v>
      </c>
      <c r="B22" s="4" t="s">
        <v>41</v>
      </c>
      <c r="C22" s="4" t="s">
        <v>42</v>
      </c>
      <c r="D22" s="4">
        <f>VLOOKUP(A22,Orders!$A:$E,5,FALSE)</f>
        <v>8</v>
      </c>
      <c r="E22" s="4">
        <v>66</v>
      </c>
      <c r="F22" s="4">
        <v>21</v>
      </c>
      <c r="G22" s="10">
        <f t="shared" si="0"/>
        <v>3.1428571428571428</v>
      </c>
      <c r="H22" s="4">
        <v>3</v>
      </c>
    </row>
    <row r="23" spans="1:8" x14ac:dyDescent="0.2">
      <c r="A23" s="4">
        <v>5296</v>
      </c>
      <c r="B23" s="4" t="s">
        <v>41</v>
      </c>
      <c r="C23" s="4" t="s">
        <v>42</v>
      </c>
      <c r="D23" s="4">
        <f>VLOOKUP(A23,Orders!$A:$E,5,FALSE)</f>
        <v>7</v>
      </c>
      <c r="E23" s="4">
        <v>1806</v>
      </c>
      <c r="F23" s="4">
        <v>7</v>
      </c>
      <c r="G23" s="10">
        <f t="shared" si="0"/>
        <v>258</v>
      </c>
      <c r="H23" s="4">
        <v>1</v>
      </c>
    </row>
    <row r="24" spans="1:8" x14ac:dyDescent="0.2">
      <c r="A24" s="4">
        <v>5301</v>
      </c>
      <c r="B24" s="4" t="s">
        <v>41</v>
      </c>
      <c r="C24" s="4" t="s">
        <v>42</v>
      </c>
      <c r="D24" s="4">
        <f>VLOOKUP(A24,Orders!$A:$E,5,FALSE)</f>
        <v>9</v>
      </c>
      <c r="E24" s="4">
        <v>1682</v>
      </c>
      <c r="F24" s="4">
        <v>14</v>
      </c>
      <c r="G24" s="10">
        <f t="shared" si="0"/>
        <v>120.14285714285714</v>
      </c>
      <c r="H24" s="4">
        <v>3</v>
      </c>
    </row>
    <row r="25" spans="1:8" x14ac:dyDescent="0.2">
      <c r="A25" s="4">
        <v>5302</v>
      </c>
      <c r="B25" s="4" t="s">
        <v>41</v>
      </c>
      <c r="C25" s="4" t="s">
        <v>42</v>
      </c>
      <c r="D25" s="4">
        <f>VLOOKUP(A25,Orders!$A:$E,5,FALSE)</f>
        <v>4</v>
      </c>
      <c r="E25" s="4">
        <v>838</v>
      </c>
      <c r="F25" s="4">
        <v>24</v>
      </c>
      <c r="G25" s="10">
        <f t="shared" si="0"/>
        <v>34.916666666666664</v>
      </c>
      <c r="H25" s="4">
        <v>3</v>
      </c>
    </row>
    <row r="26" spans="1:8" x14ac:dyDescent="0.2">
      <c r="A26" s="4">
        <v>5328</v>
      </c>
      <c r="B26" s="4" t="s">
        <v>41</v>
      </c>
      <c r="C26" s="4" t="s">
        <v>42</v>
      </c>
      <c r="D26" s="4">
        <f>VLOOKUP(A26,Orders!$A:$E,5,FALSE)</f>
        <v>8</v>
      </c>
      <c r="E26" s="4">
        <v>1153</v>
      </c>
      <c r="F26" s="4">
        <v>19</v>
      </c>
      <c r="G26" s="10">
        <f t="shared" si="0"/>
        <v>60.684210526315788</v>
      </c>
      <c r="H26" s="4">
        <v>3</v>
      </c>
    </row>
    <row r="27" spans="1:8" x14ac:dyDescent="0.2">
      <c r="A27" s="4">
        <v>5346</v>
      </c>
      <c r="B27" s="4" t="s">
        <v>41</v>
      </c>
      <c r="C27" s="4" t="s">
        <v>42</v>
      </c>
      <c r="D27" s="4">
        <f>VLOOKUP(A27,Orders!$A:$E,5,FALSE)</f>
        <v>7</v>
      </c>
      <c r="E27" s="4">
        <v>1849</v>
      </c>
      <c r="F27" s="4">
        <v>18</v>
      </c>
      <c r="G27" s="10">
        <f t="shared" si="0"/>
        <v>102.72222222222223</v>
      </c>
      <c r="H27" s="4">
        <v>2</v>
      </c>
    </row>
    <row r="28" spans="1:8" x14ac:dyDescent="0.2">
      <c r="A28" s="4">
        <v>5375</v>
      </c>
      <c r="B28" s="4" t="s">
        <v>41</v>
      </c>
      <c r="C28" s="4" t="s">
        <v>42</v>
      </c>
      <c r="D28" s="4">
        <f>VLOOKUP(A28,Orders!$A:$E,5,FALSE)</f>
        <v>3</v>
      </c>
      <c r="E28" s="4">
        <v>1980</v>
      </c>
      <c r="F28" s="4">
        <v>13</v>
      </c>
      <c r="G28" s="10">
        <f t="shared" si="0"/>
        <v>152.30769230769232</v>
      </c>
      <c r="H28" s="4">
        <v>2</v>
      </c>
    </row>
    <row r="29" spans="1:8" x14ac:dyDescent="0.2">
      <c r="A29" s="4">
        <v>5408</v>
      </c>
      <c r="B29" s="4" t="s">
        <v>41</v>
      </c>
      <c r="C29" s="4" t="s">
        <v>42</v>
      </c>
      <c r="D29" s="4">
        <f>VLOOKUP(A29,Orders!$A:$E,5,FALSE)</f>
        <v>6</v>
      </c>
      <c r="E29" s="4">
        <v>758</v>
      </c>
      <c r="F29" s="4">
        <v>11</v>
      </c>
      <c r="G29" s="10">
        <f t="shared" si="0"/>
        <v>68.909090909090907</v>
      </c>
      <c r="H29" s="4">
        <v>1</v>
      </c>
    </row>
    <row r="30" spans="1:8" x14ac:dyDescent="0.2">
      <c r="A30" s="4">
        <v>5419</v>
      </c>
      <c r="B30" s="4" t="s">
        <v>41</v>
      </c>
      <c r="C30" s="4" t="s">
        <v>42</v>
      </c>
      <c r="D30" s="4">
        <f>VLOOKUP(A30,Orders!$A:$E,5,FALSE)</f>
        <v>10</v>
      </c>
      <c r="E30" s="4">
        <v>78</v>
      </c>
      <c r="F30" s="4">
        <v>17</v>
      </c>
      <c r="G30" s="10">
        <f t="shared" si="0"/>
        <v>4.5882352941176467</v>
      </c>
      <c r="H30" s="4">
        <v>1</v>
      </c>
    </row>
    <row r="31" spans="1:8" x14ac:dyDescent="0.2">
      <c r="A31" s="4">
        <v>5441</v>
      </c>
      <c r="B31" s="4" t="s">
        <v>41</v>
      </c>
      <c r="C31" s="4" t="s">
        <v>42</v>
      </c>
      <c r="D31" s="4">
        <f>VLOOKUP(A31,Orders!$A:$E,5,FALSE)</f>
        <v>5</v>
      </c>
      <c r="E31" s="4">
        <v>1583</v>
      </c>
      <c r="F31" s="4">
        <v>18</v>
      </c>
      <c r="G31" s="10">
        <f t="shared" si="0"/>
        <v>87.944444444444443</v>
      </c>
      <c r="H31" s="4">
        <v>2</v>
      </c>
    </row>
    <row r="32" spans="1:8" x14ac:dyDescent="0.2">
      <c r="A32" s="4">
        <v>5442</v>
      </c>
      <c r="B32" s="4" t="s">
        <v>41</v>
      </c>
      <c r="C32" s="4" t="s">
        <v>42</v>
      </c>
      <c r="D32" s="4">
        <f>VLOOKUP(A32,Orders!$A:$E,5,FALSE)</f>
        <v>4</v>
      </c>
      <c r="E32" s="4">
        <v>893</v>
      </c>
      <c r="F32" s="4">
        <v>22</v>
      </c>
      <c r="G32" s="10">
        <f t="shared" si="0"/>
        <v>40.590909090909093</v>
      </c>
      <c r="H32" s="4">
        <v>1</v>
      </c>
    </row>
    <row r="33" spans="1:8" x14ac:dyDescent="0.2">
      <c r="A33" s="4">
        <v>5444</v>
      </c>
      <c r="B33" s="4" t="s">
        <v>41</v>
      </c>
      <c r="C33" s="4" t="s">
        <v>42</v>
      </c>
      <c r="D33" s="4">
        <f>VLOOKUP(A33,Orders!$A:$E,5,FALSE)</f>
        <v>8</v>
      </c>
      <c r="E33" s="4">
        <v>278</v>
      </c>
      <c r="F33" s="4">
        <v>13</v>
      </c>
      <c r="G33" s="10">
        <f t="shared" si="0"/>
        <v>21.384615384615383</v>
      </c>
      <c r="H33" s="4">
        <v>2</v>
      </c>
    </row>
    <row r="34" spans="1:8" x14ac:dyDescent="0.2">
      <c r="A34" s="4">
        <v>5449</v>
      </c>
      <c r="B34" s="4" t="s">
        <v>41</v>
      </c>
      <c r="C34" s="4" t="s">
        <v>42</v>
      </c>
      <c r="D34" s="4">
        <f>VLOOKUP(A34,Orders!$A:$E,5,FALSE)</f>
        <v>6</v>
      </c>
      <c r="E34" s="4">
        <v>1124</v>
      </c>
      <c r="F34" s="4">
        <v>9</v>
      </c>
      <c r="G34" s="10">
        <f t="shared" si="0"/>
        <v>124.88888888888889</v>
      </c>
      <c r="H34" s="4">
        <v>3</v>
      </c>
    </row>
    <row r="35" spans="1:8" x14ac:dyDescent="0.2">
      <c r="A35" s="4">
        <v>5535</v>
      </c>
      <c r="B35" s="4" t="s">
        <v>41</v>
      </c>
      <c r="C35" s="4" t="s">
        <v>42</v>
      </c>
      <c r="D35" s="4">
        <f>VLOOKUP(A35,Orders!$A:$E,5,FALSE)</f>
        <v>6</v>
      </c>
      <c r="E35" s="4">
        <v>945</v>
      </c>
      <c r="F35" s="4">
        <v>5</v>
      </c>
      <c r="G35" s="10">
        <f t="shared" si="0"/>
        <v>189</v>
      </c>
      <c r="H35" s="4">
        <v>3</v>
      </c>
    </row>
    <row r="36" spans="1:8" x14ac:dyDescent="0.2">
      <c r="A36" s="4">
        <v>5537</v>
      </c>
      <c r="B36" s="4" t="s">
        <v>41</v>
      </c>
      <c r="C36" s="4" t="s">
        <v>42</v>
      </c>
      <c r="D36" s="4">
        <f>VLOOKUP(A36,Orders!$A:$E,5,FALSE)</f>
        <v>2</v>
      </c>
      <c r="E36" s="4">
        <v>215</v>
      </c>
      <c r="F36" s="4">
        <v>7</v>
      </c>
      <c r="G36" s="10">
        <f t="shared" si="0"/>
        <v>30.714285714285715</v>
      </c>
      <c r="H36" s="4">
        <v>1</v>
      </c>
    </row>
    <row r="37" spans="1:8" x14ac:dyDescent="0.2">
      <c r="A37" s="4">
        <v>5539</v>
      </c>
      <c r="B37" s="4" t="s">
        <v>41</v>
      </c>
      <c r="C37" s="4" t="s">
        <v>42</v>
      </c>
      <c r="D37" s="4">
        <f>VLOOKUP(A37,Orders!$A:$E,5,FALSE)</f>
        <v>8</v>
      </c>
      <c r="E37" s="4">
        <v>1779</v>
      </c>
      <c r="F37" s="4">
        <v>4</v>
      </c>
      <c r="G37" s="10">
        <f t="shared" si="0"/>
        <v>444.75</v>
      </c>
      <c r="H37" s="4">
        <v>1</v>
      </c>
    </row>
    <row r="38" spans="1:8" x14ac:dyDescent="0.2">
      <c r="A38" s="4">
        <v>5545</v>
      </c>
      <c r="B38" s="4" t="s">
        <v>41</v>
      </c>
      <c r="C38" s="4" t="s">
        <v>42</v>
      </c>
      <c r="D38" s="4">
        <f>VLOOKUP(A38,Orders!$A:$E,5,FALSE)</f>
        <v>8</v>
      </c>
      <c r="E38" s="4">
        <v>1418</v>
      </c>
      <c r="F38" s="4">
        <v>7</v>
      </c>
      <c r="G38" s="10">
        <f t="shared" si="0"/>
        <v>202.57142857142858</v>
      </c>
      <c r="H38" s="4">
        <v>3</v>
      </c>
    </row>
    <row r="39" spans="1:8" x14ac:dyDescent="0.2">
      <c r="A39" s="4">
        <v>5549</v>
      </c>
      <c r="B39" s="4" t="s">
        <v>41</v>
      </c>
      <c r="C39" s="4" t="s">
        <v>42</v>
      </c>
      <c r="D39" s="4">
        <f>VLOOKUP(A39,Orders!$A:$E,5,FALSE)</f>
        <v>4</v>
      </c>
      <c r="E39" s="4">
        <v>524</v>
      </c>
      <c r="F39" s="4">
        <v>13</v>
      </c>
      <c r="G39" s="10">
        <f t="shared" si="0"/>
        <v>40.307692307692307</v>
      </c>
      <c r="H39" s="4">
        <v>1</v>
      </c>
    </row>
    <row r="40" spans="1:8" x14ac:dyDescent="0.2">
      <c r="A40" s="4">
        <v>5567</v>
      </c>
      <c r="B40" s="4" t="s">
        <v>41</v>
      </c>
      <c r="C40" s="4" t="s">
        <v>42</v>
      </c>
      <c r="D40" s="4">
        <f>VLOOKUP(A40,Orders!$A:$E,5,FALSE)</f>
        <v>2</v>
      </c>
      <c r="E40" s="4">
        <v>29</v>
      </c>
      <c r="F40" s="4">
        <v>9</v>
      </c>
      <c r="G40" s="10">
        <f t="shared" si="0"/>
        <v>3.2222222222222223</v>
      </c>
      <c r="H40" s="4">
        <v>3</v>
      </c>
    </row>
    <row r="41" spans="1:8" x14ac:dyDescent="0.2">
      <c r="A41" s="4">
        <v>5626</v>
      </c>
      <c r="B41" s="4" t="s">
        <v>41</v>
      </c>
      <c r="C41" s="4" t="s">
        <v>42</v>
      </c>
      <c r="D41" s="4">
        <f>VLOOKUP(A41,Orders!$A:$E,5,FALSE)</f>
        <v>2</v>
      </c>
      <c r="E41" s="4">
        <v>1927</v>
      </c>
      <c r="F41" s="4">
        <v>13</v>
      </c>
      <c r="G41" s="10">
        <f t="shared" si="0"/>
        <v>148.23076923076923</v>
      </c>
      <c r="H41" s="4">
        <v>1</v>
      </c>
    </row>
    <row r="42" spans="1:8" x14ac:dyDescent="0.2">
      <c r="A42" s="4">
        <v>5635</v>
      </c>
      <c r="B42" s="4" t="s">
        <v>41</v>
      </c>
      <c r="C42" s="4" t="s">
        <v>42</v>
      </c>
      <c r="D42" s="4">
        <f>VLOOKUP(A42,Orders!$A:$E,5,FALSE)</f>
        <v>4</v>
      </c>
      <c r="E42" s="4">
        <v>1926</v>
      </c>
      <c r="F42" s="4">
        <v>16</v>
      </c>
      <c r="G42" s="10">
        <f t="shared" si="0"/>
        <v>120.375</v>
      </c>
      <c r="H42" s="4">
        <v>3</v>
      </c>
    </row>
    <row r="43" spans="1:8" x14ac:dyDescent="0.2">
      <c r="A43" s="4">
        <v>5677</v>
      </c>
      <c r="B43" s="4" t="s">
        <v>41</v>
      </c>
      <c r="C43" s="4" t="s">
        <v>42</v>
      </c>
      <c r="D43" s="4">
        <f>VLOOKUP(A43,Orders!$A:$E,5,FALSE)</f>
        <v>8</v>
      </c>
      <c r="E43" s="4">
        <v>1509</v>
      </c>
      <c r="F43" s="4">
        <v>12</v>
      </c>
      <c r="G43" s="10">
        <f t="shared" si="0"/>
        <v>125.75</v>
      </c>
      <c r="H43" s="4">
        <v>2</v>
      </c>
    </row>
    <row r="44" spans="1:8" x14ac:dyDescent="0.2">
      <c r="A44" s="4">
        <v>5692</v>
      </c>
      <c r="B44" s="4" t="s">
        <v>41</v>
      </c>
      <c r="C44" s="4" t="s">
        <v>42</v>
      </c>
      <c r="D44" s="4">
        <f>VLOOKUP(A44,Orders!$A:$E,5,FALSE)</f>
        <v>7</v>
      </c>
      <c r="E44" s="4">
        <v>1989</v>
      </c>
      <c r="F44" s="4">
        <v>5</v>
      </c>
      <c r="G44" s="10">
        <f t="shared" si="0"/>
        <v>397.8</v>
      </c>
      <c r="H44" s="4">
        <v>1</v>
      </c>
    </row>
    <row r="45" spans="1:8" x14ac:dyDescent="0.2">
      <c r="A45" s="4">
        <v>5714</v>
      </c>
      <c r="B45" s="4" t="s">
        <v>41</v>
      </c>
      <c r="C45" s="4" t="s">
        <v>42</v>
      </c>
      <c r="D45" s="4">
        <f>VLOOKUP(A45,Orders!$A:$E,5,FALSE)</f>
        <v>10</v>
      </c>
      <c r="E45" s="4">
        <v>1522</v>
      </c>
      <c r="F45" s="4">
        <v>3</v>
      </c>
      <c r="G45" s="10">
        <f t="shared" si="0"/>
        <v>507.33333333333331</v>
      </c>
      <c r="H45" s="4">
        <v>3</v>
      </c>
    </row>
    <row r="46" spans="1:8" x14ac:dyDescent="0.2">
      <c r="A46" s="4">
        <v>5716</v>
      </c>
      <c r="B46" s="4" t="s">
        <v>41</v>
      </c>
      <c r="C46" s="4" t="s">
        <v>42</v>
      </c>
      <c r="D46" s="4">
        <f>VLOOKUP(A46,Orders!$A:$E,5,FALSE)</f>
        <v>6</v>
      </c>
      <c r="E46" s="4">
        <v>554</v>
      </c>
      <c r="F46" s="4">
        <v>8</v>
      </c>
      <c r="G46" s="10">
        <f t="shared" si="0"/>
        <v>69.25</v>
      </c>
      <c r="H46" s="4">
        <v>1</v>
      </c>
    </row>
    <row r="47" spans="1:8" x14ac:dyDescent="0.2">
      <c r="A47" s="4">
        <v>5727</v>
      </c>
      <c r="B47" s="4" t="s">
        <v>41</v>
      </c>
      <c r="C47" s="4" t="s">
        <v>42</v>
      </c>
      <c r="D47" s="4">
        <f>VLOOKUP(A47,Orders!$A:$E,5,FALSE)</f>
        <v>3</v>
      </c>
      <c r="E47" s="4">
        <v>683</v>
      </c>
      <c r="F47" s="4">
        <v>20</v>
      </c>
      <c r="G47" s="10">
        <f t="shared" si="0"/>
        <v>34.15</v>
      </c>
      <c r="H47" s="4">
        <v>3</v>
      </c>
    </row>
    <row r="48" spans="1:8" x14ac:dyDescent="0.2">
      <c r="A48" s="4">
        <v>5744</v>
      </c>
      <c r="B48" s="4" t="s">
        <v>41</v>
      </c>
      <c r="C48" s="4" t="s">
        <v>42</v>
      </c>
      <c r="D48" s="4">
        <f>VLOOKUP(A48,Orders!$A:$E,5,FALSE)</f>
        <v>10</v>
      </c>
      <c r="E48" s="4">
        <v>1457</v>
      </c>
      <c r="F48" s="4">
        <v>4</v>
      </c>
      <c r="G48" s="10">
        <f t="shared" si="0"/>
        <v>364.25</v>
      </c>
      <c r="H48" s="4">
        <v>3</v>
      </c>
    </row>
    <row r="49" spans="1:8" x14ac:dyDescent="0.2">
      <c r="A49" s="4">
        <v>5746</v>
      </c>
      <c r="B49" s="4" t="s">
        <v>41</v>
      </c>
      <c r="C49" s="4" t="s">
        <v>42</v>
      </c>
      <c r="D49" s="4">
        <f>VLOOKUP(A49,Orders!$A:$E,5,FALSE)</f>
        <v>7</v>
      </c>
      <c r="E49" s="4">
        <v>564</v>
      </c>
      <c r="F49" s="4">
        <v>19</v>
      </c>
      <c r="G49" s="10">
        <f t="shared" si="0"/>
        <v>29.684210526315791</v>
      </c>
      <c r="H49" s="4">
        <v>2</v>
      </c>
    </row>
    <row r="50" spans="1:8" x14ac:dyDescent="0.2">
      <c r="A50" s="4">
        <v>5762</v>
      </c>
      <c r="B50" s="4" t="s">
        <v>41</v>
      </c>
      <c r="C50" s="4" t="s">
        <v>42</v>
      </c>
      <c r="D50" s="4">
        <f>VLOOKUP(A50,Orders!$A:$E,5,FALSE)</f>
        <v>6</v>
      </c>
      <c r="E50" s="4">
        <v>931</v>
      </c>
      <c r="F50" s="4">
        <v>14</v>
      </c>
      <c r="G50" s="10">
        <f t="shared" si="0"/>
        <v>66.5</v>
      </c>
      <c r="H50" s="4">
        <v>3</v>
      </c>
    </row>
    <row r="51" spans="1:8" x14ac:dyDescent="0.2">
      <c r="A51" s="4">
        <v>5775</v>
      </c>
      <c r="B51" s="4" t="s">
        <v>41</v>
      </c>
      <c r="C51" s="4" t="s">
        <v>42</v>
      </c>
      <c r="D51" s="4">
        <f>VLOOKUP(A51,Orders!$A:$E,5,FALSE)</f>
        <v>10</v>
      </c>
      <c r="E51" s="4">
        <v>1473</v>
      </c>
      <c r="F51" s="4">
        <v>11</v>
      </c>
      <c r="G51" s="10">
        <f t="shared" si="0"/>
        <v>133.90909090909091</v>
      </c>
      <c r="H51" s="4">
        <v>3</v>
      </c>
    </row>
    <row r="52" spans="1:8" x14ac:dyDescent="0.2">
      <c r="A52" s="4">
        <v>5819</v>
      </c>
      <c r="B52" s="4" t="s">
        <v>41</v>
      </c>
      <c r="C52" s="4" t="s">
        <v>42</v>
      </c>
      <c r="D52" s="4">
        <f>VLOOKUP(A52,Orders!$A:$E,5,FALSE)</f>
        <v>5</v>
      </c>
      <c r="E52" s="4">
        <v>1219</v>
      </c>
      <c r="F52" s="4">
        <v>5</v>
      </c>
      <c r="G52" s="10">
        <f t="shared" si="0"/>
        <v>243.8</v>
      </c>
      <c r="H52" s="4">
        <v>3</v>
      </c>
    </row>
    <row r="53" spans="1:8" x14ac:dyDescent="0.2">
      <c r="A53" s="4">
        <v>5841</v>
      </c>
      <c r="B53" s="4" t="s">
        <v>41</v>
      </c>
      <c r="C53" s="4" t="s">
        <v>42</v>
      </c>
      <c r="D53" s="4">
        <f>VLOOKUP(A53,Orders!$A:$E,5,FALSE)</f>
        <v>7</v>
      </c>
      <c r="E53" s="4">
        <v>1823</v>
      </c>
      <c r="F53" s="4">
        <v>6</v>
      </c>
      <c r="G53" s="10">
        <f t="shared" si="0"/>
        <v>303.83333333333331</v>
      </c>
      <c r="H53" s="4">
        <v>2</v>
      </c>
    </row>
    <row r="54" spans="1:8" x14ac:dyDescent="0.2">
      <c r="A54" s="4">
        <v>5861</v>
      </c>
      <c r="B54" s="4" t="s">
        <v>41</v>
      </c>
      <c r="C54" s="4" t="s">
        <v>42</v>
      </c>
      <c r="D54" s="4">
        <f>VLOOKUP(A54,Orders!$A:$E,5,FALSE)</f>
        <v>3</v>
      </c>
      <c r="E54" s="4">
        <v>1308</v>
      </c>
      <c r="F54" s="4">
        <v>10</v>
      </c>
      <c r="G54" s="10">
        <f t="shared" si="0"/>
        <v>130.80000000000001</v>
      </c>
      <c r="H54" s="4">
        <v>2</v>
      </c>
    </row>
    <row r="55" spans="1:8" x14ac:dyDescent="0.2">
      <c r="A55" s="4">
        <v>5880</v>
      </c>
      <c r="B55" s="4" t="s">
        <v>41</v>
      </c>
      <c r="C55" s="4" t="s">
        <v>42</v>
      </c>
      <c r="D55" s="4">
        <f>VLOOKUP(A55,Orders!$A:$E,5,FALSE)</f>
        <v>2</v>
      </c>
      <c r="E55" s="4">
        <v>240</v>
      </c>
      <c r="F55" s="4">
        <v>19</v>
      </c>
      <c r="G55" s="10">
        <f t="shared" si="0"/>
        <v>12.631578947368421</v>
      </c>
      <c r="H55" s="4">
        <v>3</v>
      </c>
    </row>
    <row r="56" spans="1:8" x14ac:dyDescent="0.2">
      <c r="A56" s="4">
        <v>5913</v>
      </c>
      <c r="B56" s="4" t="s">
        <v>41</v>
      </c>
      <c r="C56" s="4" t="s">
        <v>42</v>
      </c>
      <c r="D56" s="4">
        <f>VLOOKUP(A56,Orders!$A:$E,5,FALSE)</f>
        <v>3</v>
      </c>
      <c r="E56" s="4">
        <v>182</v>
      </c>
      <c r="F56" s="4">
        <v>18</v>
      </c>
      <c r="G56" s="10">
        <f t="shared" si="0"/>
        <v>10.111111111111111</v>
      </c>
      <c r="H56" s="4">
        <v>2</v>
      </c>
    </row>
    <row r="57" spans="1:8" x14ac:dyDescent="0.2">
      <c r="A57" s="4">
        <v>5942</v>
      </c>
      <c r="B57" s="4" t="s">
        <v>41</v>
      </c>
      <c r="C57" s="4" t="s">
        <v>42</v>
      </c>
      <c r="D57" s="4">
        <f>VLOOKUP(A57,Orders!$A:$E,5,FALSE)</f>
        <v>5</v>
      </c>
      <c r="E57" s="4">
        <v>786</v>
      </c>
      <c r="F57" s="4">
        <v>3</v>
      </c>
      <c r="G57" s="10">
        <f t="shared" si="0"/>
        <v>262</v>
      </c>
      <c r="H57" s="4">
        <v>2</v>
      </c>
    </row>
    <row r="58" spans="1:8" x14ac:dyDescent="0.2">
      <c r="A58" s="4">
        <v>5944</v>
      </c>
      <c r="B58" s="4" t="s">
        <v>41</v>
      </c>
      <c r="C58" s="4" t="s">
        <v>42</v>
      </c>
      <c r="D58" s="4">
        <f>VLOOKUP(A58,Orders!$A:$E,5,FALSE)</f>
        <v>9</v>
      </c>
      <c r="E58" s="4">
        <v>746</v>
      </c>
      <c r="F58" s="4">
        <v>18</v>
      </c>
      <c r="G58" s="10">
        <f t="shared" si="0"/>
        <v>41.444444444444443</v>
      </c>
      <c r="H58" s="4">
        <v>3</v>
      </c>
    </row>
    <row r="59" spans="1:8" x14ac:dyDescent="0.2">
      <c r="A59" s="4">
        <v>5976</v>
      </c>
      <c r="B59" s="4" t="s">
        <v>41</v>
      </c>
      <c r="C59" s="4" t="s">
        <v>42</v>
      </c>
      <c r="D59" s="4">
        <f>VLOOKUP(A59,Orders!$A:$E,5,FALSE)</f>
        <v>7</v>
      </c>
      <c r="E59" s="4">
        <v>502</v>
      </c>
      <c r="F59" s="4">
        <v>17</v>
      </c>
      <c r="G59" s="10">
        <f t="shared" si="0"/>
        <v>29.529411764705884</v>
      </c>
      <c r="H59" s="4">
        <v>2</v>
      </c>
    </row>
    <row r="60" spans="1:8" x14ac:dyDescent="0.2">
      <c r="A60" s="4">
        <v>6002</v>
      </c>
      <c r="B60" s="4" t="s">
        <v>41</v>
      </c>
      <c r="C60" s="4" t="s">
        <v>42</v>
      </c>
      <c r="D60" s="4">
        <f>VLOOKUP(A60,Orders!$A:$E,5,FALSE)</f>
        <v>10</v>
      </c>
      <c r="E60" s="4">
        <v>340</v>
      </c>
      <c r="F60" s="4">
        <v>14</v>
      </c>
      <c r="G60" s="10">
        <f t="shared" si="0"/>
        <v>24.285714285714285</v>
      </c>
      <c r="H60" s="4">
        <v>1</v>
      </c>
    </row>
    <row r="61" spans="1:8" x14ac:dyDescent="0.2">
      <c r="A61" s="4">
        <v>6043</v>
      </c>
      <c r="B61" s="4" t="s">
        <v>41</v>
      </c>
      <c r="C61" s="4" t="s">
        <v>42</v>
      </c>
      <c r="D61" s="4">
        <f>VLOOKUP(A61,Orders!$A:$E,5,FALSE)</f>
        <v>7</v>
      </c>
      <c r="E61" s="4">
        <v>1767</v>
      </c>
      <c r="F61" s="4">
        <v>14</v>
      </c>
      <c r="G61" s="10">
        <f t="shared" si="0"/>
        <v>126.21428571428571</v>
      </c>
      <c r="H61" s="4">
        <v>2</v>
      </c>
    </row>
    <row r="62" spans="1:8" x14ac:dyDescent="0.2">
      <c r="A62" s="4">
        <v>6049</v>
      </c>
      <c r="B62" s="4" t="s">
        <v>41</v>
      </c>
      <c r="C62" s="4" t="s">
        <v>42</v>
      </c>
      <c r="D62" s="4">
        <f>VLOOKUP(A62,Orders!$A:$E,5,FALSE)</f>
        <v>6</v>
      </c>
      <c r="E62" s="4">
        <v>1348</v>
      </c>
      <c r="F62" s="4">
        <v>12</v>
      </c>
      <c r="G62" s="10">
        <f t="shared" si="0"/>
        <v>112.33333333333333</v>
      </c>
      <c r="H62" s="4">
        <v>2</v>
      </c>
    </row>
    <row r="63" spans="1:8" x14ac:dyDescent="0.2">
      <c r="A63" s="4">
        <v>6050</v>
      </c>
      <c r="B63" s="4" t="s">
        <v>41</v>
      </c>
      <c r="C63" s="4" t="s">
        <v>42</v>
      </c>
      <c r="D63" s="4">
        <f>VLOOKUP(A63,Orders!$A:$E,5,FALSE)</f>
        <v>5</v>
      </c>
      <c r="E63" s="4">
        <v>1785</v>
      </c>
      <c r="F63" s="4">
        <v>16</v>
      </c>
      <c r="G63" s="10">
        <f t="shared" si="0"/>
        <v>111.5625</v>
      </c>
      <c r="H63" s="4">
        <v>1</v>
      </c>
    </row>
    <row r="64" spans="1:8" x14ac:dyDescent="0.2">
      <c r="A64" s="4">
        <v>6061</v>
      </c>
      <c r="B64" s="4" t="s">
        <v>41</v>
      </c>
      <c r="C64" s="4" t="s">
        <v>42</v>
      </c>
      <c r="D64" s="4">
        <f>VLOOKUP(A64,Orders!$A:$E,5,FALSE)</f>
        <v>5</v>
      </c>
      <c r="E64" s="4">
        <v>252</v>
      </c>
      <c r="F64" s="4">
        <v>5</v>
      </c>
      <c r="G64" s="10">
        <f t="shared" si="0"/>
        <v>50.4</v>
      </c>
      <c r="H64" s="4">
        <v>2</v>
      </c>
    </row>
    <row r="65" spans="1:8" x14ac:dyDescent="0.2">
      <c r="A65" s="4">
        <v>6071</v>
      </c>
      <c r="B65" s="4" t="s">
        <v>41</v>
      </c>
      <c r="C65" s="4" t="s">
        <v>42</v>
      </c>
      <c r="D65" s="4">
        <f>VLOOKUP(A65,Orders!$A:$E,5,FALSE)</f>
        <v>2</v>
      </c>
      <c r="E65" s="4">
        <v>364</v>
      </c>
      <c r="F65" s="4">
        <v>7</v>
      </c>
      <c r="G65" s="10">
        <f t="shared" si="0"/>
        <v>52</v>
      </c>
      <c r="H65" s="4">
        <v>3</v>
      </c>
    </row>
    <row r="66" spans="1:8" x14ac:dyDescent="0.2">
      <c r="A66" s="4">
        <v>6089</v>
      </c>
      <c r="B66" s="4" t="s">
        <v>41</v>
      </c>
      <c r="C66" s="4" t="s">
        <v>42</v>
      </c>
      <c r="D66" s="4">
        <f>VLOOKUP(A66,Orders!$A:$E,5,FALSE)</f>
        <v>5</v>
      </c>
      <c r="E66" s="4">
        <v>685</v>
      </c>
      <c r="F66" s="4">
        <v>15</v>
      </c>
      <c r="G66" s="10">
        <f t="shared" ref="G66:G129" si="1">E66/F66</f>
        <v>45.666666666666664</v>
      </c>
      <c r="H66" s="4">
        <v>2</v>
      </c>
    </row>
    <row r="67" spans="1:8" x14ac:dyDescent="0.2">
      <c r="A67" s="4">
        <v>6093</v>
      </c>
      <c r="B67" s="4" t="s">
        <v>41</v>
      </c>
      <c r="C67" s="4" t="s">
        <v>42</v>
      </c>
      <c r="D67" s="4">
        <f>VLOOKUP(A67,Orders!$A:$E,5,FALSE)</f>
        <v>5</v>
      </c>
      <c r="E67" s="4">
        <v>26</v>
      </c>
      <c r="F67" s="4">
        <v>15</v>
      </c>
      <c r="G67" s="10">
        <f t="shared" si="1"/>
        <v>1.7333333333333334</v>
      </c>
      <c r="H67" s="4">
        <v>2</v>
      </c>
    </row>
    <row r="68" spans="1:8" x14ac:dyDescent="0.2">
      <c r="A68" s="4">
        <v>6131</v>
      </c>
      <c r="B68" s="4" t="s">
        <v>41</v>
      </c>
      <c r="C68" s="4" t="s">
        <v>42</v>
      </c>
      <c r="D68" s="4">
        <f>VLOOKUP(A68,Orders!$A:$E,5,FALSE)</f>
        <v>7</v>
      </c>
      <c r="E68" s="4">
        <v>414</v>
      </c>
      <c r="F68" s="4">
        <v>7</v>
      </c>
      <c r="G68" s="10">
        <f t="shared" si="1"/>
        <v>59.142857142857146</v>
      </c>
      <c r="H68" s="4">
        <v>1</v>
      </c>
    </row>
    <row r="69" spans="1:8" x14ac:dyDescent="0.2">
      <c r="A69" s="4">
        <v>6164</v>
      </c>
      <c r="B69" s="4" t="s">
        <v>41</v>
      </c>
      <c r="C69" s="4" t="s">
        <v>42</v>
      </c>
      <c r="D69" s="4">
        <f>VLOOKUP(A69,Orders!$A:$E,5,FALSE)</f>
        <v>7</v>
      </c>
      <c r="E69" s="4">
        <v>1561</v>
      </c>
      <c r="F69" s="4">
        <v>11</v>
      </c>
      <c r="G69" s="10">
        <f t="shared" si="1"/>
        <v>141.90909090909091</v>
      </c>
      <c r="H69" s="4">
        <v>2</v>
      </c>
    </row>
    <row r="70" spans="1:8" x14ac:dyDescent="0.2">
      <c r="A70" s="4">
        <v>6168</v>
      </c>
      <c r="B70" s="4" t="s">
        <v>41</v>
      </c>
      <c r="C70" s="4" t="s">
        <v>42</v>
      </c>
      <c r="D70" s="4">
        <f>VLOOKUP(A70,Orders!$A:$E,5,FALSE)</f>
        <v>4</v>
      </c>
      <c r="E70" s="4">
        <v>797</v>
      </c>
      <c r="F70" s="4">
        <v>17</v>
      </c>
      <c r="G70" s="10">
        <f t="shared" si="1"/>
        <v>46.882352941176471</v>
      </c>
      <c r="H70" s="4">
        <v>1</v>
      </c>
    </row>
    <row r="71" spans="1:8" x14ac:dyDescent="0.2">
      <c r="A71" s="4">
        <v>6175</v>
      </c>
      <c r="B71" s="4" t="s">
        <v>41</v>
      </c>
      <c r="C71" s="4" t="s">
        <v>42</v>
      </c>
      <c r="D71" s="4">
        <f>VLOOKUP(A71,Orders!$A:$E,5,FALSE)</f>
        <v>2</v>
      </c>
      <c r="E71" s="4">
        <v>655</v>
      </c>
      <c r="F71" s="4">
        <v>7</v>
      </c>
      <c r="G71" s="10">
        <f t="shared" si="1"/>
        <v>93.571428571428569</v>
      </c>
      <c r="H71" s="4">
        <v>3</v>
      </c>
    </row>
    <row r="72" spans="1:8" x14ac:dyDescent="0.2">
      <c r="A72" s="4">
        <v>6201</v>
      </c>
      <c r="B72" s="4" t="s">
        <v>41</v>
      </c>
      <c r="C72" s="4" t="s">
        <v>42</v>
      </c>
      <c r="D72" s="4">
        <f>VLOOKUP(A72,Orders!$A:$E,5,FALSE)</f>
        <v>4</v>
      </c>
      <c r="E72" s="4">
        <v>509</v>
      </c>
      <c r="F72" s="4">
        <v>8</v>
      </c>
      <c r="G72" s="10">
        <f t="shared" si="1"/>
        <v>63.625</v>
      </c>
      <c r="H72" s="4">
        <v>1</v>
      </c>
    </row>
    <row r="73" spans="1:8" x14ac:dyDescent="0.2">
      <c r="A73" s="4">
        <v>6228</v>
      </c>
      <c r="B73" s="4" t="s">
        <v>41</v>
      </c>
      <c r="C73" s="4" t="s">
        <v>42</v>
      </c>
      <c r="D73" s="4">
        <f>VLOOKUP(A73,Orders!$A:$E,5,FALSE)</f>
        <v>6</v>
      </c>
      <c r="E73" s="4">
        <v>506</v>
      </c>
      <c r="F73" s="4">
        <v>17</v>
      </c>
      <c r="G73" s="10">
        <f t="shared" si="1"/>
        <v>29.764705882352942</v>
      </c>
      <c r="H73" s="4">
        <v>2</v>
      </c>
    </row>
    <row r="74" spans="1:8" x14ac:dyDescent="0.2">
      <c r="A74" s="4">
        <v>6244</v>
      </c>
      <c r="B74" s="4" t="s">
        <v>41</v>
      </c>
      <c r="C74" s="4" t="s">
        <v>42</v>
      </c>
      <c r="D74" s="4">
        <f>VLOOKUP(A74,Orders!$A:$E,5,FALSE)</f>
        <v>10</v>
      </c>
      <c r="E74" s="4">
        <v>944</v>
      </c>
      <c r="F74" s="4">
        <v>24</v>
      </c>
      <c r="G74" s="10">
        <f t="shared" si="1"/>
        <v>39.333333333333336</v>
      </c>
      <c r="H74" s="4">
        <v>3</v>
      </c>
    </row>
    <row r="75" spans="1:8" x14ac:dyDescent="0.2">
      <c r="A75" s="4">
        <v>6246</v>
      </c>
      <c r="B75" s="4" t="s">
        <v>41</v>
      </c>
      <c r="C75" s="4" t="s">
        <v>42</v>
      </c>
      <c r="D75" s="4">
        <f>VLOOKUP(A75,Orders!$A:$E,5,FALSE)</f>
        <v>9</v>
      </c>
      <c r="E75" s="4">
        <v>605</v>
      </c>
      <c r="F75" s="4">
        <v>20</v>
      </c>
      <c r="G75" s="10">
        <f t="shared" si="1"/>
        <v>30.25</v>
      </c>
      <c r="H75" s="4">
        <v>1</v>
      </c>
    </row>
    <row r="76" spans="1:8" x14ac:dyDescent="0.2">
      <c r="A76" s="4">
        <v>6262</v>
      </c>
      <c r="B76" s="4" t="s">
        <v>41</v>
      </c>
      <c r="C76" s="4" t="s">
        <v>42</v>
      </c>
      <c r="D76" s="4">
        <f>VLOOKUP(A76,Orders!$A:$E,5,FALSE)</f>
        <v>7</v>
      </c>
      <c r="E76" s="4">
        <v>1715</v>
      </c>
      <c r="F76" s="4">
        <v>2</v>
      </c>
      <c r="G76" s="10">
        <f t="shared" si="1"/>
        <v>857.5</v>
      </c>
      <c r="H76" s="4">
        <v>2</v>
      </c>
    </row>
    <row r="77" spans="1:8" x14ac:dyDescent="0.2">
      <c r="A77" s="4">
        <v>6279</v>
      </c>
      <c r="B77" s="4" t="s">
        <v>41</v>
      </c>
      <c r="C77" s="4" t="s">
        <v>42</v>
      </c>
      <c r="D77" s="4">
        <f>VLOOKUP(A77,Orders!$A:$E,5,FALSE)</f>
        <v>4</v>
      </c>
      <c r="E77" s="4">
        <v>184</v>
      </c>
      <c r="F77" s="4">
        <v>11</v>
      </c>
      <c r="G77" s="10">
        <f t="shared" si="1"/>
        <v>16.727272727272727</v>
      </c>
      <c r="H77" s="4">
        <v>3</v>
      </c>
    </row>
    <row r="78" spans="1:8" x14ac:dyDescent="0.2">
      <c r="A78" s="4">
        <v>6280</v>
      </c>
      <c r="B78" s="4" t="s">
        <v>41</v>
      </c>
      <c r="C78" s="4" t="s">
        <v>42</v>
      </c>
      <c r="D78" s="4">
        <f>VLOOKUP(A78,Orders!$A:$E,5,FALSE)</f>
        <v>3</v>
      </c>
      <c r="E78" s="4">
        <v>131</v>
      </c>
      <c r="F78" s="4">
        <v>16</v>
      </c>
      <c r="G78" s="10">
        <f t="shared" si="1"/>
        <v>8.1875</v>
      </c>
      <c r="H78" s="4">
        <v>2</v>
      </c>
    </row>
    <row r="79" spans="1:8" x14ac:dyDescent="0.2">
      <c r="A79" s="4">
        <v>6289</v>
      </c>
      <c r="B79" s="4" t="s">
        <v>41</v>
      </c>
      <c r="C79" s="4" t="s">
        <v>42</v>
      </c>
      <c r="D79" s="4">
        <f>VLOOKUP(A79,Orders!$A:$E,5,FALSE)</f>
        <v>2</v>
      </c>
      <c r="E79" s="4">
        <v>66</v>
      </c>
      <c r="F79" s="4">
        <v>14</v>
      </c>
      <c r="G79" s="10">
        <f t="shared" si="1"/>
        <v>4.7142857142857144</v>
      </c>
      <c r="H79" s="4">
        <v>3</v>
      </c>
    </row>
    <row r="80" spans="1:8" x14ac:dyDescent="0.2">
      <c r="A80" s="4">
        <v>6327</v>
      </c>
      <c r="B80" s="4" t="s">
        <v>41</v>
      </c>
      <c r="C80" s="4" t="s">
        <v>42</v>
      </c>
      <c r="D80" s="4">
        <f>VLOOKUP(A80,Orders!$A:$E,5,FALSE)</f>
        <v>3</v>
      </c>
      <c r="E80" s="4">
        <v>1655</v>
      </c>
      <c r="F80" s="4">
        <v>3</v>
      </c>
      <c r="G80" s="10">
        <f t="shared" si="1"/>
        <v>551.66666666666663</v>
      </c>
      <c r="H80" s="4">
        <v>3</v>
      </c>
    </row>
    <row r="81" spans="1:8" x14ac:dyDescent="0.2">
      <c r="A81" s="4">
        <v>6333</v>
      </c>
      <c r="B81" s="4" t="s">
        <v>41</v>
      </c>
      <c r="C81" s="4" t="s">
        <v>42</v>
      </c>
      <c r="D81" s="4">
        <f>VLOOKUP(A81,Orders!$A:$E,5,FALSE)</f>
        <v>3</v>
      </c>
      <c r="E81" s="4">
        <v>1911</v>
      </c>
      <c r="F81" s="4">
        <v>7</v>
      </c>
      <c r="G81" s="10">
        <f t="shared" si="1"/>
        <v>273</v>
      </c>
      <c r="H81" s="4">
        <v>1</v>
      </c>
    </row>
    <row r="82" spans="1:8" x14ac:dyDescent="0.2">
      <c r="A82" s="4">
        <v>6343</v>
      </c>
      <c r="B82" s="4" t="s">
        <v>41</v>
      </c>
      <c r="C82" s="4" t="s">
        <v>42</v>
      </c>
      <c r="D82" s="4">
        <f>VLOOKUP(A82,Orders!$A:$E,5,FALSE)</f>
        <v>9</v>
      </c>
      <c r="E82" s="4">
        <v>1567</v>
      </c>
      <c r="F82" s="4">
        <v>14</v>
      </c>
      <c r="G82" s="10">
        <f t="shared" si="1"/>
        <v>111.92857142857143</v>
      </c>
      <c r="H82" s="4">
        <v>2</v>
      </c>
    </row>
    <row r="83" spans="1:8" x14ac:dyDescent="0.2">
      <c r="A83" s="4">
        <v>6351</v>
      </c>
      <c r="B83" s="4" t="s">
        <v>41</v>
      </c>
      <c r="C83" s="4" t="s">
        <v>42</v>
      </c>
      <c r="D83" s="4">
        <f>VLOOKUP(A83,Orders!$A:$E,5,FALSE)</f>
        <v>3</v>
      </c>
      <c r="E83" s="4">
        <v>849</v>
      </c>
      <c r="F83" s="4">
        <v>7</v>
      </c>
      <c r="G83" s="10">
        <f t="shared" si="1"/>
        <v>121.28571428571429</v>
      </c>
      <c r="H83" s="4">
        <v>2</v>
      </c>
    </row>
    <row r="84" spans="1:8" x14ac:dyDescent="0.2">
      <c r="A84" s="4">
        <v>6352</v>
      </c>
      <c r="B84" s="4" t="s">
        <v>41</v>
      </c>
      <c r="C84" s="4" t="s">
        <v>42</v>
      </c>
      <c r="D84" s="4">
        <f>VLOOKUP(A84,Orders!$A:$E,5,FALSE)</f>
        <v>5</v>
      </c>
      <c r="E84" s="4">
        <v>402</v>
      </c>
      <c r="F84" s="4">
        <v>19</v>
      </c>
      <c r="G84" s="10">
        <f t="shared" si="1"/>
        <v>21.157894736842106</v>
      </c>
      <c r="H84" s="4">
        <v>2</v>
      </c>
    </row>
    <row r="85" spans="1:8" x14ac:dyDescent="0.2">
      <c r="A85" s="4">
        <v>6387</v>
      </c>
      <c r="B85" s="4" t="s">
        <v>41</v>
      </c>
      <c r="C85" s="4" t="s">
        <v>42</v>
      </c>
      <c r="D85" s="4">
        <f>VLOOKUP(A85,Orders!$A:$E,5,FALSE)</f>
        <v>10</v>
      </c>
      <c r="E85" s="4">
        <v>1798</v>
      </c>
      <c r="F85" s="4">
        <v>12</v>
      </c>
      <c r="G85" s="10">
        <f t="shared" si="1"/>
        <v>149.83333333333334</v>
      </c>
      <c r="H85" s="4">
        <v>1</v>
      </c>
    </row>
    <row r="86" spans="1:8" x14ac:dyDescent="0.2">
      <c r="A86" s="4">
        <v>6436</v>
      </c>
      <c r="B86" s="4" t="s">
        <v>41</v>
      </c>
      <c r="C86" s="4" t="s">
        <v>42</v>
      </c>
      <c r="D86" s="4">
        <f>VLOOKUP(A86,Orders!$A:$E,5,FALSE)</f>
        <v>7</v>
      </c>
      <c r="E86" s="4">
        <v>638</v>
      </c>
      <c r="F86" s="4">
        <v>9</v>
      </c>
      <c r="G86" s="10">
        <f t="shared" si="1"/>
        <v>70.888888888888886</v>
      </c>
      <c r="H86" s="4">
        <v>2</v>
      </c>
    </row>
    <row r="87" spans="1:8" x14ac:dyDescent="0.2">
      <c r="A87" s="4">
        <v>6437</v>
      </c>
      <c r="B87" s="4" t="s">
        <v>41</v>
      </c>
      <c r="C87" s="4" t="s">
        <v>42</v>
      </c>
      <c r="D87" s="4">
        <f>VLOOKUP(A87,Orders!$A:$E,5,FALSE)</f>
        <v>10</v>
      </c>
      <c r="E87" s="4">
        <v>244</v>
      </c>
      <c r="F87" s="4">
        <v>16</v>
      </c>
      <c r="G87" s="10">
        <f t="shared" si="1"/>
        <v>15.25</v>
      </c>
      <c r="H87" s="4">
        <v>1</v>
      </c>
    </row>
    <row r="88" spans="1:8" x14ac:dyDescent="0.2">
      <c r="A88" s="4">
        <v>6468</v>
      </c>
      <c r="B88" s="4" t="s">
        <v>41</v>
      </c>
      <c r="C88" s="4" t="s">
        <v>42</v>
      </c>
      <c r="D88" s="4">
        <f>VLOOKUP(A88,Orders!$A:$E,5,FALSE)</f>
        <v>4</v>
      </c>
      <c r="E88" s="4">
        <v>1948</v>
      </c>
      <c r="F88" s="4">
        <v>4</v>
      </c>
      <c r="G88" s="10">
        <f t="shared" si="1"/>
        <v>487</v>
      </c>
      <c r="H88" s="4">
        <v>3</v>
      </c>
    </row>
    <row r="89" spans="1:8" x14ac:dyDescent="0.2">
      <c r="A89" s="4">
        <v>6478</v>
      </c>
      <c r="B89" s="4" t="s">
        <v>41</v>
      </c>
      <c r="C89" s="4" t="s">
        <v>42</v>
      </c>
      <c r="D89" s="4">
        <f>VLOOKUP(A89,Orders!$A:$E,5,FALSE)</f>
        <v>10</v>
      </c>
      <c r="E89" s="4">
        <v>1879</v>
      </c>
      <c r="F89" s="4">
        <v>14</v>
      </c>
      <c r="G89" s="10">
        <f t="shared" si="1"/>
        <v>134.21428571428572</v>
      </c>
      <c r="H89" s="4">
        <v>2</v>
      </c>
    </row>
    <row r="90" spans="1:8" x14ac:dyDescent="0.2">
      <c r="A90" s="4">
        <v>6480</v>
      </c>
      <c r="B90" s="4" t="s">
        <v>41</v>
      </c>
      <c r="C90" s="4" t="s">
        <v>42</v>
      </c>
      <c r="D90" s="4">
        <f>VLOOKUP(A90,Orders!$A:$E,5,FALSE)</f>
        <v>10</v>
      </c>
      <c r="E90" s="4">
        <v>926</v>
      </c>
      <c r="F90" s="4">
        <v>20</v>
      </c>
      <c r="G90" s="10">
        <f t="shared" si="1"/>
        <v>46.3</v>
      </c>
      <c r="H90" s="4">
        <v>3</v>
      </c>
    </row>
    <row r="91" spans="1:8" x14ac:dyDescent="0.2">
      <c r="A91" s="4">
        <v>6500</v>
      </c>
      <c r="B91" s="4" t="s">
        <v>41</v>
      </c>
      <c r="C91" s="4" t="s">
        <v>42</v>
      </c>
      <c r="D91" s="4">
        <f>VLOOKUP(A91,Orders!$A:$E,5,FALSE)</f>
        <v>2</v>
      </c>
      <c r="E91" s="4">
        <v>427</v>
      </c>
      <c r="F91" s="4">
        <v>23</v>
      </c>
      <c r="G91" s="10">
        <f t="shared" si="1"/>
        <v>18.565217391304348</v>
      </c>
      <c r="H91" s="4">
        <v>1</v>
      </c>
    </row>
    <row r="92" spans="1:8" x14ac:dyDescent="0.2">
      <c r="A92" s="4">
        <v>5009</v>
      </c>
      <c r="B92" s="4" t="s">
        <v>47</v>
      </c>
      <c r="C92" s="4" t="s">
        <v>42</v>
      </c>
      <c r="D92" s="4">
        <f>VLOOKUP(A92,Orders!$A:$E,5,FALSE)</f>
        <v>3</v>
      </c>
      <c r="E92" s="4">
        <v>1588</v>
      </c>
      <c r="F92" s="4">
        <v>10</v>
      </c>
      <c r="G92" s="10">
        <f t="shared" si="1"/>
        <v>158.80000000000001</v>
      </c>
      <c r="H92" s="4">
        <v>2</v>
      </c>
    </row>
    <row r="93" spans="1:8" x14ac:dyDescent="0.2">
      <c r="A93" s="4">
        <v>5036</v>
      </c>
      <c r="B93" s="4" t="s">
        <v>47</v>
      </c>
      <c r="C93" s="4" t="s">
        <v>42</v>
      </c>
      <c r="D93" s="4">
        <f>VLOOKUP(A93,Orders!$A:$E,5,FALSE)</f>
        <v>3</v>
      </c>
      <c r="E93" s="4">
        <v>1649</v>
      </c>
      <c r="F93" s="4">
        <v>11</v>
      </c>
      <c r="G93" s="10">
        <f t="shared" si="1"/>
        <v>149.90909090909091</v>
      </c>
      <c r="H93" s="4">
        <v>2</v>
      </c>
    </row>
    <row r="94" spans="1:8" x14ac:dyDescent="0.2">
      <c r="A94" s="4">
        <v>5044</v>
      </c>
      <c r="B94" s="4" t="s">
        <v>47</v>
      </c>
      <c r="C94" s="4" t="s">
        <v>42</v>
      </c>
      <c r="D94" s="4">
        <f>VLOOKUP(A94,Orders!$A:$E,5,FALSE)</f>
        <v>10</v>
      </c>
      <c r="E94" s="4">
        <v>263</v>
      </c>
      <c r="F94" s="4">
        <v>12</v>
      </c>
      <c r="G94" s="10">
        <f t="shared" si="1"/>
        <v>21.916666666666668</v>
      </c>
      <c r="H94" s="4">
        <v>2</v>
      </c>
    </row>
    <row r="95" spans="1:8" x14ac:dyDescent="0.2">
      <c r="A95" s="4">
        <v>5050</v>
      </c>
      <c r="B95" s="4" t="s">
        <v>47</v>
      </c>
      <c r="C95" s="4" t="s">
        <v>42</v>
      </c>
      <c r="D95" s="4">
        <f>VLOOKUP(A95,Orders!$A:$E,5,FALSE)</f>
        <v>5</v>
      </c>
      <c r="E95" s="4">
        <v>1954</v>
      </c>
      <c r="F95" s="4">
        <v>5</v>
      </c>
      <c r="G95" s="10">
        <f t="shared" si="1"/>
        <v>390.8</v>
      </c>
      <c r="H95" s="4">
        <v>1</v>
      </c>
    </row>
    <row r="96" spans="1:8" x14ac:dyDescent="0.2">
      <c r="A96" s="4">
        <v>5061</v>
      </c>
      <c r="B96" s="4" t="s">
        <v>47</v>
      </c>
      <c r="C96" s="4" t="s">
        <v>42</v>
      </c>
      <c r="D96" s="4">
        <f>VLOOKUP(A96,Orders!$A:$E,5,FALSE)</f>
        <v>3</v>
      </c>
      <c r="E96" s="4">
        <v>1948</v>
      </c>
      <c r="F96" s="4">
        <v>20</v>
      </c>
      <c r="G96" s="10">
        <f t="shared" si="1"/>
        <v>97.4</v>
      </c>
      <c r="H96" s="4">
        <v>2</v>
      </c>
    </row>
    <row r="97" spans="1:8" x14ac:dyDescent="0.2">
      <c r="A97" s="4">
        <v>5077</v>
      </c>
      <c r="B97" s="4" t="s">
        <v>47</v>
      </c>
      <c r="C97" s="4" t="s">
        <v>42</v>
      </c>
      <c r="D97" s="4">
        <f>VLOOKUP(A97,Orders!$A:$E,5,FALSE)</f>
        <v>4</v>
      </c>
      <c r="E97" s="4">
        <v>1011</v>
      </c>
      <c r="F97" s="4">
        <v>18</v>
      </c>
      <c r="G97" s="10">
        <f t="shared" si="1"/>
        <v>56.166666666666664</v>
      </c>
      <c r="H97" s="4">
        <v>3</v>
      </c>
    </row>
    <row r="98" spans="1:8" x14ac:dyDescent="0.2">
      <c r="A98" s="4">
        <v>5078</v>
      </c>
      <c r="B98" s="4" t="s">
        <v>47</v>
      </c>
      <c r="C98" s="4" t="s">
        <v>42</v>
      </c>
      <c r="D98" s="4">
        <f>VLOOKUP(A98,Orders!$A:$E,5,FALSE)</f>
        <v>7</v>
      </c>
      <c r="E98" s="4">
        <v>1741</v>
      </c>
      <c r="F98" s="4">
        <v>9</v>
      </c>
      <c r="G98" s="10">
        <f t="shared" si="1"/>
        <v>193.44444444444446</v>
      </c>
      <c r="H98" s="4">
        <v>2</v>
      </c>
    </row>
    <row r="99" spans="1:8" x14ac:dyDescent="0.2">
      <c r="A99" s="4">
        <v>5095</v>
      </c>
      <c r="B99" s="4" t="s">
        <v>47</v>
      </c>
      <c r="C99" s="4" t="s">
        <v>42</v>
      </c>
      <c r="D99" s="4">
        <f>VLOOKUP(A99,Orders!$A:$E,5,FALSE)</f>
        <v>8</v>
      </c>
      <c r="E99" s="4">
        <v>1116</v>
      </c>
      <c r="F99" s="4">
        <v>8</v>
      </c>
      <c r="G99" s="10">
        <f t="shared" si="1"/>
        <v>139.5</v>
      </c>
      <c r="H99" s="4">
        <v>1</v>
      </c>
    </row>
    <row r="100" spans="1:8" x14ac:dyDescent="0.2">
      <c r="A100" s="4">
        <v>5100</v>
      </c>
      <c r="B100" s="4" t="s">
        <v>47</v>
      </c>
      <c r="C100" s="4" t="s">
        <v>42</v>
      </c>
      <c r="D100" s="4">
        <f>VLOOKUP(A100,Orders!$A:$E,5,FALSE)</f>
        <v>9</v>
      </c>
      <c r="E100" s="4">
        <v>637</v>
      </c>
      <c r="F100" s="4">
        <v>2</v>
      </c>
      <c r="G100" s="10">
        <f t="shared" si="1"/>
        <v>318.5</v>
      </c>
      <c r="H100" s="4">
        <v>1</v>
      </c>
    </row>
    <row r="101" spans="1:8" x14ac:dyDescent="0.2">
      <c r="A101" s="4">
        <v>5106</v>
      </c>
      <c r="B101" s="4" t="s">
        <v>47</v>
      </c>
      <c r="C101" s="4" t="s">
        <v>42</v>
      </c>
      <c r="D101" s="4">
        <f>VLOOKUP(A101,Orders!$A:$E,5,FALSE)</f>
        <v>8</v>
      </c>
      <c r="E101" s="4">
        <v>1627</v>
      </c>
      <c r="F101" s="4">
        <v>12</v>
      </c>
      <c r="G101" s="10">
        <f t="shared" si="1"/>
        <v>135.58333333333334</v>
      </c>
      <c r="H101" s="4">
        <v>2</v>
      </c>
    </row>
    <row r="102" spans="1:8" x14ac:dyDescent="0.2">
      <c r="A102" s="4">
        <v>5132</v>
      </c>
      <c r="B102" s="4" t="s">
        <v>47</v>
      </c>
      <c r="C102" s="4" t="s">
        <v>42</v>
      </c>
      <c r="D102" s="4">
        <f>VLOOKUP(A102,Orders!$A:$E,5,FALSE)</f>
        <v>2</v>
      </c>
      <c r="E102" s="4">
        <v>1083</v>
      </c>
      <c r="F102" s="4">
        <v>21</v>
      </c>
      <c r="G102" s="10">
        <f t="shared" si="1"/>
        <v>51.571428571428569</v>
      </c>
      <c r="H102" s="4">
        <v>2</v>
      </c>
    </row>
    <row r="103" spans="1:8" x14ac:dyDescent="0.2">
      <c r="A103" s="4">
        <v>5140</v>
      </c>
      <c r="B103" s="4" t="s">
        <v>47</v>
      </c>
      <c r="C103" s="4" t="s">
        <v>42</v>
      </c>
      <c r="D103" s="4">
        <f>VLOOKUP(A103,Orders!$A:$E,5,FALSE)</f>
        <v>8</v>
      </c>
      <c r="E103" s="4">
        <v>1307</v>
      </c>
      <c r="F103" s="4">
        <v>2</v>
      </c>
      <c r="G103" s="10">
        <f t="shared" si="1"/>
        <v>653.5</v>
      </c>
      <c r="H103" s="4">
        <v>1</v>
      </c>
    </row>
    <row r="104" spans="1:8" x14ac:dyDescent="0.2">
      <c r="A104" s="4">
        <v>5144</v>
      </c>
      <c r="B104" s="4" t="s">
        <v>47</v>
      </c>
      <c r="C104" s="4" t="s">
        <v>42</v>
      </c>
      <c r="D104" s="4">
        <f>VLOOKUP(A104,Orders!$A:$E,5,FALSE)</f>
        <v>3</v>
      </c>
      <c r="E104" s="4">
        <v>385</v>
      </c>
      <c r="F104" s="4">
        <v>10</v>
      </c>
      <c r="G104" s="10">
        <f t="shared" si="1"/>
        <v>38.5</v>
      </c>
      <c r="H104" s="4">
        <v>3</v>
      </c>
    </row>
    <row r="105" spans="1:8" x14ac:dyDescent="0.2">
      <c r="A105" s="4">
        <v>5155</v>
      </c>
      <c r="B105" s="4" t="s">
        <v>47</v>
      </c>
      <c r="C105" s="4" t="s">
        <v>42</v>
      </c>
      <c r="D105" s="4">
        <f>VLOOKUP(A105,Orders!$A:$E,5,FALSE)</f>
        <v>2</v>
      </c>
      <c r="E105" s="4">
        <v>1476</v>
      </c>
      <c r="F105" s="4">
        <v>6</v>
      </c>
      <c r="G105" s="10">
        <f t="shared" si="1"/>
        <v>246</v>
      </c>
      <c r="H105" s="4">
        <v>2</v>
      </c>
    </row>
    <row r="106" spans="1:8" x14ac:dyDescent="0.2">
      <c r="A106" s="4">
        <v>5174</v>
      </c>
      <c r="B106" s="4" t="s">
        <v>47</v>
      </c>
      <c r="C106" s="4" t="s">
        <v>42</v>
      </c>
      <c r="D106" s="4">
        <f>VLOOKUP(A106,Orders!$A:$E,5,FALSE)</f>
        <v>9</v>
      </c>
      <c r="E106" s="4">
        <v>1077</v>
      </c>
      <c r="F106" s="4">
        <v>2</v>
      </c>
      <c r="G106" s="10">
        <f t="shared" si="1"/>
        <v>538.5</v>
      </c>
      <c r="H106" s="4">
        <v>3</v>
      </c>
    </row>
    <row r="107" spans="1:8" x14ac:dyDescent="0.2">
      <c r="A107" s="4">
        <v>5209</v>
      </c>
      <c r="B107" s="4" t="s">
        <v>47</v>
      </c>
      <c r="C107" s="4" t="s">
        <v>42</v>
      </c>
      <c r="D107" s="4">
        <f>VLOOKUP(A107,Orders!$A:$E,5,FALSE)</f>
        <v>6</v>
      </c>
      <c r="E107" s="4">
        <v>1634</v>
      </c>
      <c r="F107" s="4">
        <v>3</v>
      </c>
      <c r="G107" s="10">
        <f t="shared" si="1"/>
        <v>544.66666666666663</v>
      </c>
      <c r="H107" s="4">
        <v>1</v>
      </c>
    </row>
    <row r="108" spans="1:8" x14ac:dyDescent="0.2">
      <c r="A108" s="4">
        <v>5222</v>
      </c>
      <c r="B108" s="4" t="s">
        <v>47</v>
      </c>
      <c r="C108" s="4" t="s">
        <v>42</v>
      </c>
      <c r="D108" s="4">
        <f>VLOOKUP(A108,Orders!$A:$E,5,FALSE)</f>
        <v>8</v>
      </c>
      <c r="E108" s="4">
        <v>761</v>
      </c>
      <c r="F108" s="4">
        <v>12</v>
      </c>
      <c r="G108" s="10">
        <f t="shared" si="1"/>
        <v>63.416666666666664</v>
      </c>
      <c r="H108" s="4">
        <v>3</v>
      </c>
    </row>
    <row r="109" spans="1:8" x14ac:dyDescent="0.2">
      <c r="A109" s="4">
        <v>5225</v>
      </c>
      <c r="B109" s="4" t="s">
        <v>47</v>
      </c>
      <c r="C109" s="4" t="s">
        <v>42</v>
      </c>
      <c r="D109" s="4">
        <f>VLOOKUP(A109,Orders!$A:$E,5,FALSE)</f>
        <v>8</v>
      </c>
      <c r="E109" s="4">
        <v>911</v>
      </c>
      <c r="F109" s="4">
        <v>4</v>
      </c>
      <c r="G109" s="10">
        <f t="shared" si="1"/>
        <v>227.75</v>
      </c>
      <c r="H109" s="4">
        <v>2</v>
      </c>
    </row>
    <row r="110" spans="1:8" x14ac:dyDescent="0.2">
      <c r="A110" s="4">
        <v>5256</v>
      </c>
      <c r="B110" s="4" t="s">
        <v>47</v>
      </c>
      <c r="C110" s="4" t="s">
        <v>42</v>
      </c>
      <c r="D110" s="4">
        <f>VLOOKUP(A110,Orders!$A:$E,5,FALSE)</f>
        <v>4</v>
      </c>
      <c r="E110" s="4">
        <v>640</v>
      </c>
      <c r="F110" s="4">
        <v>21</v>
      </c>
      <c r="G110" s="10">
        <f t="shared" si="1"/>
        <v>30.476190476190474</v>
      </c>
      <c r="H110" s="4">
        <v>3</v>
      </c>
    </row>
    <row r="111" spans="1:8" x14ac:dyDescent="0.2">
      <c r="A111" s="4">
        <v>5271</v>
      </c>
      <c r="B111" s="4" t="s">
        <v>47</v>
      </c>
      <c r="C111" s="4" t="s">
        <v>42</v>
      </c>
      <c r="D111" s="4">
        <f>VLOOKUP(A111,Orders!$A:$E,5,FALSE)</f>
        <v>9</v>
      </c>
      <c r="E111" s="4">
        <v>642</v>
      </c>
      <c r="F111" s="4">
        <v>11</v>
      </c>
      <c r="G111" s="10">
        <f t="shared" si="1"/>
        <v>58.363636363636367</v>
      </c>
      <c r="H111" s="4">
        <v>2</v>
      </c>
    </row>
    <row r="112" spans="1:8" x14ac:dyDescent="0.2">
      <c r="A112" s="4">
        <v>5273</v>
      </c>
      <c r="B112" s="4" t="s">
        <v>47</v>
      </c>
      <c r="C112" s="4" t="s">
        <v>42</v>
      </c>
      <c r="D112" s="4">
        <f>VLOOKUP(A112,Orders!$A:$E,5,FALSE)</f>
        <v>3</v>
      </c>
      <c r="E112" s="4">
        <v>1176</v>
      </c>
      <c r="F112" s="4">
        <v>15</v>
      </c>
      <c r="G112" s="10">
        <f t="shared" si="1"/>
        <v>78.400000000000006</v>
      </c>
      <c r="H112" s="4">
        <v>2</v>
      </c>
    </row>
    <row r="113" spans="1:8" x14ac:dyDescent="0.2">
      <c r="A113" s="4">
        <v>5293</v>
      </c>
      <c r="B113" s="4" t="s">
        <v>47</v>
      </c>
      <c r="C113" s="4" t="s">
        <v>42</v>
      </c>
      <c r="D113" s="4">
        <f>VLOOKUP(A113,Orders!$A:$E,5,FALSE)</f>
        <v>8</v>
      </c>
      <c r="E113" s="4">
        <v>291</v>
      </c>
      <c r="F113" s="4">
        <v>11</v>
      </c>
      <c r="G113" s="10">
        <f t="shared" si="1"/>
        <v>26.454545454545453</v>
      </c>
      <c r="H113" s="4">
        <v>1</v>
      </c>
    </row>
    <row r="114" spans="1:8" x14ac:dyDescent="0.2">
      <c r="A114" s="4">
        <v>5304</v>
      </c>
      <c r="B114" s="4" t="s">
        <v>47</v>
      </c>
      <c r="C114" s="4" t="s">
        <v>42</v>
      </c>
      <c r="D114" s="4">
        <f>VLOOKUP(A114,Orders!$A:$E,5,FALSE)</f>
        <v>6</v>
      </c>
      <c r="E114" s="4">
        <v>1572</v>
      </c>
      <c r="F114" s="4">
        <v>20</v>
      </c>
      <c r="G114" s="10">
        <f t="shared" si="1"/>
        <v>78.599999999999994</v>
      </c>
      <c r="H114" s="4">
        <v>1</v>
      </c>
    </row>
    <row r="115" spans="1:8" x14ac:dyDescent="0.2">
      <c r="A115" s="4">
        <v>5305</v>
      </c>
      <c r="B115" s="4" t="s">
        <v>47</v>
      </c>
      <c r="C115" s="4" t="s">
        <v>42</v>
      </c>
      <c r="D115" s="4">
        <f>VLOOKUP(A115,Orders!$A:$E,5,FALSE)</f>
        <v>6</v>
      </c>
      <c r="E115" s="4">
        <v>865</v>
      </c>
      <c r="F115" s="4">
        <v>23</v>
      </c>
      <c r="G115" s="10">
        <f t="shared" si="1"/>
        <v>37.608695652173914</v>
      </c>
      <c r="H115" s="4">
        <v>2</v>
      </c>
    </row>
    <row r="116" spans="1:8" x14ac:dyDescent="0.2">
      <c r="A116" s="4">
        <v>5309</v>
      </c>
      <c r="B116" s="4" t="s">
        <v>47</v>
      </c>
      <c r="C116" s="4" t="s">
        <v>42</v>
      </c>
      <c r="D116" s="4">
        <f>VLOOKUP(A116,Orders!$A:$E,5,FALSE)</f>
        <v>6</v>
      </c>
      <c r="E116" s="4">
        <v>721</v>
      </c>
      <c r="F116" s="4">
        <v>11</v>
      </c>
      <c r="G116" s="10">
        <f t="shared" si="1"/>
        <v>65.545454545454547</v>
      </c>
      <c r="H116" s="4">
        <v>3</v>
      </c>
    </row>
    <row r="117" spans="1:8" x14ac:dyDescent="0.2">
      <c r="A117" s="4">
        <v>5312</v>
      </c>
      <c r="B117" s="4" t="s">
        <v>47</v>
      </c>
      <c r="C117" s="4" t="s">
        <v>42</v>
      </c>
      <c r="D117" s="4">
        <f>VLOOKUP(A117,Orders!$A:$E,5,FALSE)</f>
        <v>4</v>
      </c>
      <c r="E117" s="4">
        <v>73</v>
      </c>
      <c r="F117" s="4">
        <v>9</v>
      </c>
      <c r="G117" s="10">
        <f t="shared" si="1"/>
        <v>8.1111111111111107</v>
      </c>
      <c r="H117" s="4">
        <v>2</v>
      </c>
    </row>
    <row r="118" spans="1:8" x14ac:dyDescent="0.2">
      <c r="A118" s="4">
        <v>5316</v>
      </c>
      <c r="B118" s="4" t="s">
        <v>47</v>
      </c>
      <c r="C118" s="4" t="s">
        <v>42</v>
      </c>
      <c r="D118" s="4">
        <f>VLOOKUP(A118,Orders!$A:$E,5,FALSE)</f>
        <v>8</v>
      </c>
      <c r="E118" s="4">
        <v>1779</v>
      </c>
      <c r="F118" s="4">
        <v>14</v>
      </c>
      <c r="G118" s="10">
        <f t="shared" si="1"/>
        <v>127.07142857142857</v>
      </c>
      <c r="H118" s="4">
        <v>2</v>
      </c>
    </row>
    <row r="119" spans="1:8" x14ac:dyDescent="0.2">
      <c r="A119" s="4">
        <v>5350</v>
      </c>
      <c r="B119" s="4" t="s">
        <v>47</v>
      </c>
      <c r="C119" s="4" t="s">
        <v>42</v>
      </c>
      <c r="D119" s="4">
        <f>VLOOKUP(A119,Orders!$A:$E,5,FALSE)</f>
        <v>6</v>
      </c>
      <c r="E119" s="4">
        <v>1047</v>
      </c>
      <c r="F119" s="4">
        <v>11</v>
      </c>
      <c r="G119" s="10">
        <f t="shared" si="1"/>
        <v>95.181818181818187</v>
      </c>
      <c r="H119" s="4">
        <v>2</v>
      </c>
    </row>
    <row r="120" spans="1:8" x14ac:dyDescent="0.2">
      <c r="A120" s="4">
        <v>5354</v>
      </c>
      <c r="B120" s="4" t="s">
        <v>47</v>
      </c>
      <c r="C120" s="4" t="s">
        <v>42</v>
      </c>
      <c r="D120" s="4">
        <f>VLOOKUP(A120,Orders!$A:$E,5,FALSE)</f>
        <v>9</v>
      </c>
      <c r="E120" s="4">
        <v>1979</v>
      </c>
      <c r="F120" s="4">
        <v>18</v>
      </c>
      <c r="G120" s="10">
        <f t="shared" si="1"/>
        <v>109.94444444444444</v>
      </c>
      <c r="H120" s="4">
        <v>2</v>
      </c>
    </row>
    <row r="121" spans="1:8" x14ac:dyDescent="0.2">
      <c r="A121" s="4">
        <v>5361</v>
      </c>
      <c r="B121" s="4" t="s">
        <v>47</v>
      </c>
      <c r="C121" s="4" t="s">
        <v>42</v>
      </c>
      <c r="D121" s="4">
        <f>VLOOKUP(A121,Orders!$A:$E,5,FALSE)</f>
        <v>3</v>
      </c>
      <c r="E121" s="4">
        <v>623</v>
      </c>
      <c r="F121" s="4">
        <v>13</v>
      </c>
      <c r="G121" s="10">
        <f t="shared" si="1"/>
        <v>47.92307692307692</v>
      </c>
      <c r="H121" s="4">
        <v>1</v>
      </c>
    </row>
    <row r="122" spans="1:8" x14ac:dyDescent="0.2">
      <c r="A122" s="4">
        <v>5367</v>
      </c>
      <c r="B122" s="4" t="s">
        <v>47</v>
      </c>
      <c r="C122" s="4" t="s">
        <v>42</v>
      </c>
      <c r="D122" s="4">
        <f>VLOOKUP(A122,Orders!$A:$E,5,FALSE)</f>
        <v>9</v>
      </c>
      <c r="E122" s="4">
        <v>1262</v>
      </c>
      <c r="F122" s="4">
        <v>20</v>
      </c>
      <c r="G122" s="10">
        <f t="shared" si="1"/>
        <v>63.1</v>
      </c>
      <c r="H122" s="4">
        <v>2</v>
      </c>
    </row>
    <row r="123" spans="1:8" x14ac:dyDescent="0.2">
      <c r="A123" s="4">
        <v>5373</v>
      </c>
      <c r="B123" s="4" t="s">
        <v>47</v>
      </c>
      <c r="C123" s="4" t="s">
        <v>42</v>
      </c>
      <c r="D123" s="4">
        <f>VLOOKUP(A123,Orders!$A:$E,5,FALSE)</f>
        <v>9</v>
      </c>
      <c r="E123" s="4">
        <v>1192</v>
      </c>
      <c r="F123" s="4">
        <v>19</v>
      </c>
      <c r="G123" s="10">
        <f t="shared" si="1"/>
        <v>62.736842105263158</v>
      </c>
      <c r="H123" s="4">
        <v>3</v>
      </c>
    </row>
    <row r="124" spans="1:8" x14ac:dyDescent="0.2">
      <c r="A124" s="4">
        <v>5387</v>
      </c>
      <c r="B124" s="4" t="s">
        <v>47</v>
      </c>
      <c r="C124" s="4" t="s">
        <v>42</v>
      </c>
      <c r="D124" s="4">
        <f>VLOOKUP(A124,Orders!$A:$E,5,FALSE)</f>
        <v>8</v>
      </c>
      <c r="E124" s="4">
        <v>169</v>
      </c>
      <c r="F124" s="4">
        <v>7</v>
      </c>
      <c r="G124" s="10">
        <f t="shared" si="1"/>
        <v>24.142857142857142</v>
      </c>
      <c r="H124" s="4">
        <v>3</v>
      </c>
    </row>
    <row r="125" spans="1:8" x14ac:dyDescent="0.2">
      <c r="A125" s="4">
        <v>5416</v>
      </c>
      <c r="B125" s="4" t="s">
        <v>47</v>
      </c>
      <c r="C125" s="4" t="s">
        <v>42</v>
      </c>
      <c r="D125" s="4">
        <f>VLOOKUP(A125,Orders!$A:$E,5,FALSE)</f>
        <v>4</v>
      </c>
      <c r="E125" s="4">
        <v>1820</v>
      </c>
      <c r="F125" s="4">
        <v>5</v>
      </c>
      <c r="G125" s="10">
        <f t="shared" si="1"/>
        <v>364</v>
      </c>
      <c r="H125" s="4">
        <v>1</v>
      </c>
    </row>
    <row r="126" spans="1:8" x14ac:dyDescent="0.2">
      <c r="A126" s="4">
        <v>5450</v>
      </c>
      <c r="B126" s="4" t="s">
        <v>47</v>
      </c>
      <c r="C126" s="4" t="s">
        <v>42</v>
      </c>
      <c r="D126" s="4">
        <f>VLOOKUP(A126,Orders!$A:$E,5,FALSE)</f>
        <v>2</v>
      </c>
      <c r="E126" s="4">
        <v>345</v>
      </c>
      <c r="F126" s="4">
        <v>5</v>
      </c>
      <c r="G126" s="10">
        <f t="shared" si="1"/>
        <v>69</v>
      </c>
      <c r="H126" s="4">
        <v>3</v>
      </c>
    </row>
    <row r="127" spans="1:8" x14ac:dyDescent="0.2">
      <c r="A127" s="4">
        <v>5461</v>
      </c>
      <c r="B127" s="4" t="s">
        <v>47</v>
      </c>
      <c r="C127" s="4" t="s">
        <v>42</v>
      </c>
      <c r="D127" s="4">
        <f>VLOOKUP(A127,Orders!$A:$E,5,FALSE)</f>
        <v>10</v>
      </c>
      <c r="E127" s="4">
        <v>307</v>
      </c>
      <c r="F127" s="4">
        <v>14</v>
      </c>
      <c r="G127" s="10">
        <f t="shared" si="1"/>
        <v>21.928571428571427</v>
      </c>
      <c r="H127" s="4">
        <v>1</v>
      </c>
    </row>
    <row r="128" spans="1:8" x14ac:dyDescent="0.2">
      <c r="A128" s="4">
        <v>5491</v>
      </c>
      <c r="B128" s="4" t="s">
        <v>47</v>
      </c>
      <c r="C128" s="4" t="s">
        <v>42</v>
      </c>
      <c r="D128" s="4">
        <f>VLOOKUP(A128,Orders!$A:$E,5,FALSE)</f>
        <v>10</v>
      </c>
      <c r="E128" s="4">
        <v>1717</v>
      </c>
      <c r="F128" s="4">
        <v>11</v>
      </c>
      <c r="G128" s="10">
        <f t="shared" si="1"/>
        <v>156.09090909090909</v>
      </c>
      <c r="H128" s="4">
        <v>1</v>
      </c>
    </row>
    <row r="129" spans="1:8" x14ac:dyDescent="0.2">
      <c r="A129" s="4">
        <v>5496</v>
      </c>
      <c r="B129" s="4" t="s">
        <v>47</v>
      </c>
      <c r="C129" s="4" t="s">
        <v>42</v>
      </c>
      <c r="D129" s="4">
        <f>VLOOKUP(A129,Orders!$A:$E,5,FALSE)</f>
        <v>4</v>
      </c>
      <c r="E129" s="4">
        <v>1881</v>
      </c>
      <c r="F129" s="4">
        <v>18</v>
      </c>
      <c r="G129" s="10">
        <f t="shared" si="1"/>
        <v>104.5</v>
      </c>
      <c r="H129" s="4">
        <v>3</v>
      </c>
    </row>
    <row r="130" spans="1:8" x14ac:dyDescent="0.2">
      <c r="A130" s="4">
        <v>5510</v>
      </c>
      <c r="B130" s="4" t="s">
        <v>47</v>
      </c>
      <c r="C130" s="4" t="s">
        <v>42</v>
      </c>
      <c r="D130" s="4">
        <f>VLOOKUP(A130,Orders!$A:$E,5,FALSE)</f>
        <v>7</v>
      </c>
      <c r="E130" s="4">
        <v>1126</v>
      </c>
      <c r="F130" s="4">
        <v>13</v>
      </c>
      <c r="G130" s="10">
        <f t="shared" ref="G130:G193" si="2">E130/F130</f>
        <v>86.615384615384613</v>
      </c>
      <c r="H130" s="4">
        <v>1</v>
      </c>
    </row>
    <row r="131" spans="1:8" x14ac:dyDescent="0.2">
      <c r="A131" s="4">
        <v>5511</v>
      </c>
      <c r="B131" s="4" t="s">
        <v>47</v>
      </c>
      <c r="C131" s="4" t="s">
        <v>42</v>
      </c>
      <c r="D131" s="4">
        <f>VLOOKUP(A131,Orders!$A:$E,5,FALSE)</f>
        <v>5</v>
      </c>
      <c r="E131" s="4">
        <v>1781</v>
      </c>
      <c r="F131" s="4">
        <v>24</v>
      </c>
      <c r="G131" s="10">
        <f t="shared" si="2"/>
        <v>74.208333333333329</v>
      </c>
      <c r="H131" s="4">
        <v>1</v>
      </c>
    </row>
    <row r="132" spans="1:8" x14ac:dyDescent="0.2">
      <c r="A132" s="4">
        <v>5531</v>
      </c>
      <c r="B132" s="4" t="s">
        <v>47</v>
      </c>
      <c r="C132" s="4" t="s">
        <v>42</v>
      </c>
      <c r="D132" s="4">
        <f>VLOOKUP(A132,Orders!$A:$E,5,FALSE)</f>
        <v>6</v>
      </c>
      <c r="E132" s="4">
        <v>394</v>
      </c>
      <c r="F132" s="4">
        <v>5</v>
      </c>
      <c r="G132" s="10">
        <f t="shared" si="2"/>
        <v>78.8</v>
      </c>
      <c r="H132" s="4">
        <v>2</v>
      </c>
    </row>
    <row r="133" spans="1:8" x14ac:dyDescent="0.2">
      <c r="A133" s="4">
        <v>5547</v>
      </c>
      <c r="B133" s="4" t="s">
        <v>47</v>
      </c>
      <c r="C133" s="4" t="s">
        <v>42</v>
      </c>
      <c r="D133" s="4">
        <f>VLOOKUP(A133,Orders!$A:$E,5,FALSE)</f>
        <v>9</v>
      </c>
      <c r="E133" s="4">
        <v>1940</v>
      </c>
      <c r="F133" s="4">
        <v>16</v>
      </c>
      <c r="G133" s="10">
        <f t="shared" si="2"/>
        <v>121.25</v>
      </c>
      <c r="H133" s="4">
        <v>3</v>
      </c>
    </row>
    <row r="134" spans="1:8" x14ac:dyDescent="0.2">
      <c r="A134" s="4">
        <v>5559</v>
      </c>
      <c r="B134" s="4" t="s">
        <v>47</v>
      </c>
      <c r="C134" s="4" t="s">
        <v>42</v>
      </c>
      <c r="D134" s="4">
        <f>VLOOKUP(A134,Orders!$A:$E,5,FALSE)</f>
        <v>2</v>
      </c>
      <c r="E134" s="4">
        <v>1533</v>
      </c>
      <c r="F134" s="4">
        <v>3</v>
      </c>
      <c r="G134" s="10">
        <f t="shared" si="2"/>
        <v>511</v>
      </c>
      <c r="H134" s="4">
        <v>3</v>
      </c>
    </row>
    <row r="135" spans="1:8" x14ac:dyDescent="0.2">
      <c r="A135" s="4">
        <v>5561</v>
      </c>
      <c r="B135" s="4" t="s">
        <v>47</v>
      </c>
      <c r="C135" s="4" t="s">
        <v>42</v>
      </c>
      <c r="D135" s="4">
        <f>VLOOKUP(A135,Orders!$A:$E,5,FALSE)</f>
        <v>2</v>
      </c>
      <c r="E135" s="4">
        <v>1994</v>
      </c>
      <c r="F135" s="4">
        <v>19</v>
      </c>
      <c r="G135" s="10">
        <f t="shared" si="2"/>
        <v>104.94736842105263</v>
      </c>
      <c r="H135" s="4">
        <v>1</v>
      </c>
    </row>
    <row r="136" spans="1:8" x14ac:dyDescent="0.2">
      <c r="A136" s="4">
        <v>5564</v>
      </c>
      <c r="B136" s="4" t="s">
        <v>47</v>
      </c>
      <c r="C136" s="4" t="s">
        <v>42</v>
      </c>
      <c r="D136" s="4">
        <f>VLOOKUP(A136,Orders!$A:$E,5,FALSE)</f>
        <v>10</v>
      </c>
      <c r="E136" s="4">
        <v>169</v>
      </c>
      <c r="F136" s="4">
        <v>24</v>
      </c>
      <c r="G136" s="10">
        <f t="shared" si="2"/>
        <v>7.041666666666667</v>
      </c>
      <c r="H136" s="4">
        <v>1</v>
      </c>
    </row>
    <row r="137" spans="1:8" x14ac:dyDescent="0.2">
      <c r="A137" s="4">
        <v>5570</v>
      </c>
      <c r="B137" s="4" t="s">
        <v>47</v>
      </c>
      <c r="C137" s="4" t="s">
        <v>42</v>
      </c>
      <c r="D137" s="4">
        <f>VLOOKUP(A137,Orders!$A:$E,5,FALSE)</f>
        <v>3</v>
      </c>
      <c r="E137" s="4">
        <v>1826</v>
      </c>
      <c r="F137" s="4">
        <v>15</v>
      </c>
      <c r="G137" s="10">
        <f t="shared" si="2"/>
        <v>121.73333333333333</v>
      </c>
      <c r="H137" s="4">
        <v>3</v>
      </c>
    </row>
    <row r="138" spans="1:8" x14ac:dyDescent="0.2">
      <c r="A138" s="4">
        <v>5593</v>
      </c>
      <c r="B138" s="4" t="s">
        <v>47</v>
      </c>
      <c r="C138" s="4" t="s">
        <v>42</v>
      </c>
      <c r="D138" s="4">
        <f>VLOOKUP(A138,Orders!$A:$E,5,FALSE)</f>
        <v>4</v>
      </c>
      <c r="E138" s="4">
        <v>1160</v>
      </c>
      <c r="F138" s="4">
        <v>7</v>
      </c>
      <c r="G138" s="10">
        <f t="shared" si="2"/>
        <v>165.71428571428572</v>
      </c>
      <c r="H138" s="4">
        <v>1</v>
      </c>
    </row>
    <row r="139" spans="1:8" x14ac:dyDescent="0.2">
      <c r="A139" s="4">
        <v>5605</v>
      </c>
      <c r="B139" s="4" t="s">
        <v>47</v>
      </c>
      <c r="C139" s="4" t="s">
        <v>42</v>
      </c>
      <c r="D139" s="4">
        <f>VLOOKUP(A139,Orders!$A:$E,5,FALSE)</f>
        <v>9</v>
      </c>
      <c r="E139" s="4">
        <v>1324</v>
      </c>
      <c r="F139" s="4">
        <v>7</v>
      </c>
      <c r="G139" s="10">
        <f t="shared" si="2"/>
        <v>189.14285714285714</v>
      </c>
      <c r="H139" s="4">
        <v>2</v>
      </c>
    </row>
    <row r="140" spans="1:8" x14ac:dyDescent="0.2">
      <c r="A140" s="4">
        <v>5629</v>
      </c>
      <c r="B140" s="4" t="s">
        <v>47</v>
      </c>
      <c r="C140" s="4" t="s">
        <v>42</v>
      </c>
      <c r="D140" s="4">
        <f>VLOOKUP(A140,Orders!$A:$E,5,FALSE)</f>
        <v>4</v>
      </c>
      <c r="E140" s="4">
        <v>641</v>
      </c>
      <c r="F140" s="4">
        <v>5</v>
      </c>
      <c r="G140" s="10">
        <f t="shared" si="2"/>
        <v>128.19999999999999</v>
      </c>
      <c r="H140" s="4">
        <v>3</v>
      </c>
    </row>
    <row r="141" spans="1:8" x14ac:dyDescent="0.2">
      <c r="A141" s="4">
        <v>5642</v>
      </c>
      <c r="B141" s="4" t="s">
        <v>47</v>
      </c>
      <c r="C141" s="4" t="s">
        <v>42</v>
      </c>
      <c r="D141" s="4">
        <f>VLOOKUP(A141,Orders!$A:$E,5,FALSE)</f>
        <v>4</v>
      </c>
      <c r="E141" s="4">
        <v>1763</v>
      </c>
      <c r="F141" s="4">
        <v>10</v>
      </c>
      <c r="G141" s="10">
        <f t="shared" si="2"/>
        <v>176.3</v>
      </c>
      <c r="H141" s="4">
        <v>1</v>
      </c>
    </row>
    <row r="142" spans="1:8" x14ac:dyDescent="0.2">
      <c r="A142" s="4">
        <v>5669</v>
      </c>
      <c r="B142" s="4" t="s">
        <v>47</v>
      </c>
      <c r="C142" s="4" t="s">
        <v>42</v>
      </c>
      <c r="D142" s="4">
        <f>VLOOKUP(A142,Orders!$A:$E,5,FALSE)</f>
        <v>10</v>
      </c>
      <c r="E142" s="4">
        <v>1568</v>
      </c>
      <c r="F142" s="4">
        <v>9</v>
      </c>
      <c r="G142" s="10">
        <f t="shared" si="2"/>
        <v>174.22222222222223</v>
      </c>
      <c r="H142" s="4">
        <v>1</v>
      </c>
    </row>
    <row r="143" spans="1:8" x14ac:dyDescent="0.2">
      <c r="A143" s="4">
        <v>5696</v>
      </c>
      <c r="B143" s="4" t="s">
        <v>47</v>
      </c>
      <c r="C143" s="4" t="s">
        <v>42</v>
      </c>
      <c r="D143" s="4">
        <f>VLOOKUP(A143,Orders!$A:$E,5,FALSE)</f>
        <v>9</v>
      </c>
      <c r="E143" s="4">
        <v>1311</v>
      </c>
      <c r="F143" s="4">
        <v>11</v>
      </c>
      <c r="G143" s="10">
        <f t="shared" si="2"/>
        <v>119.18181818181819</v>
      </c>
      <c r="H143" s="4">
        <v>3</v>
      </c>
    </row>
    <row r="144" spans="1:8" x14ac:dyDescent="0.2">
      <c r="A144" s="4">
        <v>5699</v>
      </c>
      <c r="B144" s="4" t="s">
        <v>47</v>
      </c>
      <c r="C144" s="4" t="s">
        <v>42</v>
      </c>
      <c r="D144" s="4">
        <f>VLOOKUP(A144,Orders!$A:$E,5,FALSE)</f>
        <v>2</v>
      </c>
      <c r="E144" s="4">
        <v>1177</v>
      </c>
      <c r="F144" s="4">
        <v>17</v>
      </c>
      <c r="G144" s="10">
        <f t="shared" si="2"/>
        <v>69.235294117647058</v>
      </c>
      <c r="H144" s="4">
        <v>1</v>
      </c>
    </row>
    <row r="145" spans="1:8" x14ac:dyDescent="0.2">
      <c r="A145" s="4">
        <v>5701</v>
      </c>
      <c r="B145" s="4" t="s">
        <v>47</v>
      </c>
      <c r="C145" s="4" t="s">
        <v>42</v>
      </c>
      <c r="D145" s="4">
        <f>VLOOKUP(A145,Orders!$A:$E,5,FALSE)</f>
        <v>3</v>
      </c>
      <c r="E145" s="4">
        <v>1429</v>
      </c>
      <c r="F145" s="4">
        <v>9</v>
      </c>
      <c r="G145" s="10">
        <f t="shared" si="2"/>
        <v>158.77777777777777</v>
      </c>
      <c r="H145" s="4">
        <v>2</v>
      </c>
    </row>
    <row r="146" spans="1:8" x14ac:dyDescent="0.2">
      <c r="A146" s="4">
        <v>5709</v>
      </c>
      <c r="B146" s="4" t="s">
        <v>47</v>
      </c>
      <c r="C146" s="4" t="s">
        <v>42</v>
      </c>
      <c r="D146" s="4">
        <f>VLOOKUP(A146,Orders!$A:$E,5,FALSE)</f>
        <v>4</v>
      </c>
      <c r="E146" s="4">
        <v>1756</v>
      </c>
      <c r="F146" s="4">
        <v>3</v>
      </c>
      <c r="G146" s="10">
        <f t="shared" si="2"/>
        <v>585.33333333333337</v>
      </c>
      <c r="H146" s="4">
        <v>2</v>
      </c>
    </row>
    <row r="147" spans="1:8" x14ac:dyDescent="0.2">
      <c r="A147" s="4">
        <v>5715</v>
      </c>
      <c r="B147" s="4" t="s">
        <v>47</v>
      </c>
      <c r="C147" s="4" t="s">
        <v>42</v>
      </c>
      <c r="D147" s="4">
        <f>VLOOKUP(A147,Orders!$A:$E,5,FALSE)</f>
        <v>10</v>
      </c>
      <c r="E147" s="4">
        <v>528</v>
      </c>
      <c r="F147" s="4">
        <v>14</v>
      </c>
      <c r="G147" s="10">
        <f t="shared" si="2"/>
        <v>37.714285714285715</v>
      </c>
      <c r="H147" s="4">
        <v>2</v>
      </c>
    </row>
    <row r="148" spans="1:8" x14ac:dyDescent="0.2">
      <c r="A148" s="4">
        <v>5755</v>
      </c>
      <c r="B148" s="4" t="s">
        <v>47</v>
      </c>
      <c r="C148" s="4" t="s">
        <v>42</v>
      </c>
      <c r="D148" s="4">
        <f>VLOOKUP(A148,Orders!$A:$E,5,FALSE)</f>
        <v>5</v>
      </c>
      <c r="E148" s="4">
        <v>464</v>
      </c>
      <c r="F148" s="4">
        <v>18</v>
      </c>
      <c r="G148" s="10">
        <f t="shared" si="2"/>
        <v>25.777777777777779</v>
      </c>
      <c r="H148" s="4">
        <v>1</v>
      </c>
    </row>
    <row r="149" spans="1:8" x14ac:dyDescent="0.2">
      <c r="A149" s="4">
        <v>5782</v>
      </c>
      <c r="B149" s="4" t="s">
        <v>47</v>
      </c>
      <c r="C149" s="4" t="s">
        <v>42</v>
      </c>
      <c r="D149" s="4">
        <f>VLOOKUP(A149,Orders!$A:$E,5,FALSE)</f>
        <v>4</v>
      </c>
      <c r="E149" s="4">
        <v>1525</v>
      </c>
      <c r="F149" s="4">
        <v>22</v>
      </c>
      <c r="G149" s="10">
        <f t="shared" si="2"/>
        <v>69.318181818181813</v>
      </c>
      <c r="H149" s="4">
        <v>2</v>
      </c>
    </row>
    <row r="150" spans="1:8" x14ac:dyDescent="0.2">
      <c r="A150" s="4">
        <v>5789</v>
      </c>
      <c r="B150" s="4" t="s">
        <v>47</v>
      </c>
      <c r="C150" s="4" t="s">
        <v>42</v>
      </c>
      <c r="D150" s="4">
        <f>VLOOKUP(A150,Orders!$A:$E,5,FALSE)</f>
        <v>9</v>
      </c>
      <c r="E150" s="4">
        <v>1126</v>
      </c>
      <c r="F150" s="4">
        <v>22</v>
      </c>
      <c r="G150" s="10">
        <f t="shared" si="2"/>
        <v>51.18181818181818</v>
      </c>
      <c r="H150" s="4">
        <v>3</v>
      </c>
    </row>
    <row r="151" spans="1:8" x14ac:dyDescent="0.2">
      <c r="A151" s="4">
        <v>5863</v>
      </c>
      <c r="B151" s="4" t="s">
        <v>47</v>
      </c>
      <c r="C151" s="4" t="s">
        <v>42</v>
      </c>
      <c r="D151" s="4">
        <f>VLOOKUP(A151,Orders!$A:$E,5,FALSE)</f>
        <v>3</v>
      </c>
      <c r="E151" s="4">
        <v>647</v>
      </c>
      <c r="F151" s="4">
        <v>8</v>
      </c>
      <c r="G151" s="10">
        <f t="shared" si="2"/>
        <v>80.875</v>
      </c>
      <c r="H151" s="4">
        <v>2</v>
      </c>
    </row>
    <row r="152" spans="1:8" x14ac:dyDescent="0.2">
      <c r="A152" s="4">
        <v>5866</v>
      </c>
      <c r="B152" s="4" t="s">
        <v>47</v>
      </c>
      <c r="C152" s="4" t="s">
        <v>42</v>
      </c>
      <c r="D152" s="4">
        <f>VLOOKUP(A152,Orders!$A:$E,5,FALSE)</f>
        <v>4</v>
      </c>
      <c r="E152" s="4">
        <v>1479</v>
      </c>
      <c r="F152" s="4">
        <v>19</v>
      </c>
      <c r="G152" s="10">
        <f t="shared" si="2"/>
        <v>77.84210526315789</v>
      </c>
      <c r="H152" s="4">
        <v>3</v>
      </c>
    </row>
    <row r="153" spans="1:8" x14ac:dyDescent="0.2">
      <c r="A153" s="4">
        <v>5885</v>
      </c>
      <c r="B153" s="4" t="s">
        <v>47</v>
      </c>
      <c r="C153" s="4" t="s">
        <v>42</v>
      </c>
      <c r="D153" s="4">
        <f>VLOOKUP(A153,Orders!$A:$E,5,FALSE)</f>
        <v>9</v>
      </c>
      <c r="E153" s="4">
        <v>1920</v>
      </c>
      <c r="F153" s="4">
        <v>19</v>
      </c>
      <c r="G153" s="10">
        <f t="shared" si="2"/>
        <v>101.05263157894737</v>
      </c>
      <c r="H153" s="4">
        <v>2</v>
      </c>
    </row>
    <row r="154" spans="1:8" x14ac:dyDescent="0.2">
      <c r="A154" s="4">
        <v>5902</v>
      </c>
      <c r="B154" s="4" t="s">
        <v>47</v>
      </c>
      <c r="C154" s="4" t="s">
        <v>42</v>
      </c>
      <c r="D154" s="4">
        <f>VLOOKUP(A154,Orders!$A:$E,5,FALSE)</f>
        <v>3</v>
      </c>
      <c r="E154" s="4">
        <v>743</v>
      </c>
      <c r="F154" s="4">
        <v>14</v>
      </c>
      <c r="G154" s="10">
        <f t="shared" si="2"/>
        <v>53.071428571428569</v>
      </c>
      <c r="H154" s="4">
        <v>2</v>
      </c>
    </row>
    <row r="155" spans="1:8" x14ac:dyDescent="0.2">
      <c r="A155" s="4">
        <v>5903</v>
      </c>
      <c r="B155" s="4" t="s">
        <v>47</v>
      </c>
      <c r="C155" s="4" t="s">
        <v>42</v>
      </c>
      <c r="D155" s="4">
        <f>VLOOKUP(A155,Orders!$A:$E,5,FALSE)</f>
        <v>7</v>
      </c>
      <c r="E155" s="4">
        <v>1860</v>
      </c>
      <c r="F155" s="4">
        <v>9</v>
      </c>
      <c r="G155" s="10">
        <f t="shared" si="2"/>
        <v>206.66666666666666</v>
      </c>
      <c r="H155" s="4">
        <v>2</v>
      </c>
    </row>
    <row r="156" spans="1:8" x14ac:dyDescent="0.2">
      <c r="A156" s="4">
        <v>5937</v>
      </c>
      <c r="B156" s="4" t="s">
        <v>47</v>
      </c>
      <c r="C156" s="4" t="s">
        <v>42</v>
      </c>
      <c r="D156" s="4">
        <f>VLOOKUP(A156,Orders!$A:$E,5,FALSE)</f>
        <v>7</v>
      </c>
      <c r="E156" s="4">
        <v>831</v>
      </c>
      <c r="F156" s="4">
        <v>9</v>
      </c>
      <c r="G156" s="10">
        <f t="shared" si="2"/>
        <v>92.333333333333329</v>
      </c>
      <c r="H156" s="4">
        <v>1</v>
      </c>
    </row>
    <row r="157" spans="1:8" x14ac:dyDescent="0.2">
      <c r="A157" s="4">
        <v>5979</v>
      </c>
      <c r="B157" s="4" t="s">
        <v>47</v>
      </c>
      <c r="C157" s="4" t="s">
        <v>42</v>
      </c>
      <c r="D157" s="4">
        <f>VLOOKUP(A157,Orders!$A:$E,5,FALSE)</f>
        <v>10</v>
      </c>
      <c r="E157" s="4">
        <v>1235</v>
      </c>
      <c r="F157" s="4">
        <v>14</v>
      </c>
      <c r="G157" s="10">
        <f t="shared" si="2"/>
        <v>88.214285714285708</v>
      </c>
      <c r="H157" s="4">
        <v>1</v>
      </c>
    </row>
    <row r="158" spans="1:8" x14ac:dyDescent="0.2">
      <c r="A158" s="4">
        <v>6020</v>
      </c>
      <c r="B158" s="4" t="s">
        <v>47</v>
      </c>
      <c r="C158" s="4" t="s">
        <v>42</v>
      </c>
      <c r="D158" s="4">
        <f>VLOOKUP(A158,Orders!$A:$E,5,FALSE)</f>
        <v>6</v>
      </c>
      <c r="E158" s="4">
        <v>1729</v>
      </c>
      <c r="F158" s="4">
        <v>20</v>
      </c>
      <c r="G158" s="10">
        <f t="shared" si="2"/>
        <v>86.45</v>
      </c>
      <c r="H158" s="4">
        <v>1</v>
      </c>
    </row>
    <row r="159" spans="1:8" x14ac:dyDescent="0.2">
      <c r="A159" s="4">
        <v>6022</v>
      </c>
      <c r="B159" s="4" t="s">
        <v>47</v>
      </c>
      <c r="C159" s="4" t="s">
        <v>42</v>
      </c>
      <c r="D159" s="4">
        <f>VLOOKUP(A159,Orders!$A:$E,5,FALSE)</f>
        <v>5</v>
      </c>
      <c r="E159" s="4">
        <v>828</v>
      </c>
      <c r="F159" s="4">
        <v>10</v>
      </c>
      <c r="G159" s="10">
        <f t="shared" si="2"/>
        <v>82.8</v>
      </c>
      <c r="H159" s="4">
        <v>1</v>
      </c>
    </row>
    <row r="160" spans="1:8" x14ac:dyDescent="0.2">
      <c r="A160" s="4">
        <v>6033</v>
      </c>
      <c r="B160" s="4" t="s">
        <v>47</v>
      </c>
      <c r="C160" s="4" t="s">
        <v>42</v>
      </c>
      <c r="D160" s="4">
        <f>VLOOKUP(A160,Orders!$A:$E,5,FALSE)</f>
        <v>7</v>
      </c>
      <c r="E160" s="4">
        <v>219</v>
      </c>
      <c r="F160" s="4">
        <v>11</v>
      </c>
      <c r="G160" s="10">
        <f t="shared" si="2"/>
        <v>19.90909090909091</v>
      </c>
      <c r="H160" s="4">
        <v>2</v>
      </c>
    </row>
    <row r="161" spans="1:8" x14ac:dyDescent="0.2">
      <c r="A161" s="4">
        <v>6057</v>
      </c>
      <c r="B161" s="4" t="s">
        <v>47</v>
      </c>
      <c r="C161" s="4" t="s">
        <v>42</v>
      </c>
      <c r="D161" s="4">
        <f>VLOOKUP(A161,Orders!$A:$E,5,FALSE)</f>
        <v>6</v>
      </c>
      <c r="E161" s="4">
        <v>716</v>
      </c>
      <c r="F161" s="4">
        <v>15</v>
      </c>
      <c r="G161" s="10">
        <f t="shared" si="2"/>
        <v>47.733333333333334</v>
      </c>
      <c r="H161" s="4">
        <v>1</v>
      </c>
    </row>
    <row r="162" spans="1:8" x14ac:dyDescent="0.2">
      <c r="A162" s="4">
        <v>6128</v>
      </c>
      <c r="B162" s="4" t="s">
        <v>47</v>
      </c>
      <c r="C162" s="4" t="s">
        <v>42</v>
      </c>
      <c r="D162" s="4">
        <f>VLOOKUP(A162,Orders!$A:$E,5,FALSE)</f>
        <v>9</v>
      </c>
      <c r="E162" s="4">
        <v>20</v>
      </c>
      <c r="F162" s="4">
        <v>15</v>
      </c>
      <c r="G162" s="10">
        <f t="shared" si="2"/>
        <v>1.3333333333333333</v>
      </c>
      <c r="H162" s="4">
        <v>3</v>
      </c>
    </row>
    <row r="163" spans="1:8" x14ac:dyDescent="0.2">
      <c r="A163" s="4">
        <v>6157</v>
      </c>
      <c r="B163" s="4" t="s">
        <v>47</v>
      </c>
      <c r="C163" s="4" t="s">
        <v>42</v>
      </c>
      <c r="D163" s="4">
        <f>VLOOKUP(A163,Orders!$A:$E,5,FALSE)</f>
        <v>9</v>
      </c>
      <c r="E163" s="4">
        <v>1755</v>
      </c>
      <c r="F163" s="4">
        <v>12</v>
      </c>
      <c r="G163" s="10">
        <f t="shared" si="2"/>
        <v>146.25</v>
      </c>
      <c r="H163" s="4">
        <v>1</v>
      </c>
    </row>
    <row r="164" spans="1:8" x14ac:dyDescent="0.2">
      <c r="A164" s="4">
        <v>6202</v>
      </c>
      <c r="B164" s="4" t="s">
        <v>47</v>
      </c>
      <c r="C164" s="4" t="s">
        <v>42</v>
      </c>
      <c r="D164" s="4">
        <f>VLOOKUP(A164,Orders!$A:$E,5,FALSE)</f>
        <v>8</v>
      </c>
      <c r="E164" s="4">
        <v>417</v>
      </c>
      <c r="F164" s="4">
        <v>18</v>
      </c>
      <c r="G164" s="10">
        <f t="shared" si="2"/>
        <v>23.166666666666668</v>
      </c>
      <c r="H164" s="4">
        <v>2</v>
      </c>
    </row>
    <row r="165" spans="1:8" x14ac:dyDescent="0.2">
      <c r="A165" s="4">
        <v>6232</v>
      </c>
      <c r="B165" s="4" t="s">
        <v>47</v>
      </c>
      <c r="C165" s="4" t="s">
        <v>42</v>
      </c>
      <c r="D165" s="4">
        <f>VLOOKUP(A165,Orders!$A:$E,5,FALSE)</f>
        <v>9</v>
      </c>
      <c r="E165" s="4">
        <v>819</v>
      </c>
      <c r="F165" s="4">
        <v>14</v>
      </c>
      <c r="G165" s="10">
        <f t="shared" si="2"/>
        <v>58.5</v>
      </c>
      <c r="H165" s="4">
        <v>3</v>
      </c>
    </row>
    <row r="166" spans="1:8" x14ac:dyDescent="0.2">
      <c r="A166" s="4">
        <v>6240</v>
      </c>
      <c r="B166" s="4" t="s">
        <v>47</v>
      </c>
      <c r="C166" s="4" t="s">
        <v>42</v>
      </c>
      <c r="D166" s="4">
        <f>VLOOKUP(A166,Orders!$A:$E,5,FALSE)</f>
        <v>5</v>
      </c>
      <c r="E166" s="4">
        <v>1855</v>
      </c>
      <c r="F166" s="4">
        <v>19</v>
      </c>
      <c r="G166" s="10">
        <f t="shared" si="2"/>
        <v>97.631578947368425</v>
      </c>
      <c r="H166" s="4">
        <v>1</v>
      </c>
    </row>
    <row r="167" spans="1:8" x14ac:dyDescent="0.2">
      <c r="A167" s="4">
        <v>6243</v>
      </c>
      <c r="B167" s="4" t="s">
        <v>47</v>
      </c>
      <c r="C167" s="4" t="s">
        <v>42</v>
      </c>
      <c r="D167" s="4">
        <f>VLOOKUP(A167,Orders!$A:$E,5,FALSE)</f>
        <v>3</v>
      </c>
      <c r="E167" s="4">
        <v>1278</v>
      </c>
      <c r="F167" s="4">
        <v>5</v>
      </c>
      <c r="G167" s="10">
        <f t="shared" si="2"/>
        <v>255.6</v>
      </c>
      <c r="H167" s="4">
        <v>1</v>
      </c>
    </row>
    <row r="168" spans="1:8" x14ac:dyDescent="0.2">
      <c r="A168" s="4">
        <v>6251</v>
      </c>
      <c r="B168" s="4" t="s">
        <v>47</v>
      </c>
      <c r="C168" s="4" t="s">
        <v>42</v>
      </c>
      <c r="D168" s="4">
        <f>VLOOKUP(A168,Orders!$A:$E,5,FALSE)</f>
        <v>8</v>
      </c>
      <c r="E168" s="4">
        <v>1206</v>
      </c>
      <c r="F168" s="4">
        <v>14</v>
      </c>
      <c r="G168" s="10">
        <f t="shared" si="2"/>
        <v>86.142857142857139</v>
      </c>
      <c r="H168" s="4">
        <v>3</v>
      </c>
    </row>
    <row r="169" spans="1:8" x14ac:dyDescent="0.2">
      <c r="A169" s="4">
        <v>6271</v>
      </c>
      <c r="B169" s="4" t="s">
        <v>47</v>
      </c>
      <c r="C169" s="4" t="s">
        <v>42</v>
      </c>
      <c r="D169" s="4">
        <f>VLOOKUP(A169,Orders!$A:$E,5,FALSE)</f>
        <v>3</v>
      </c>
      <c r="E169" s="4">
        <v>836</v>
      </c>
      <c r="F169" s="4">
        <v>19</v>
      </c>
      <c r="G169" s="10">
        <f t="shared" si="2"/>
        <v>44</v>
      </c>
      <c r="H169" s="4">
        <v>1</v>
      </c>
    </row>
    <row r="170" spans="1:8" x14ac:dyDescent="0.2">
      <c r="A170" s="4">
        <v>6272</v>
      </c>
      <c r="B170" s="4" t="s">
        <v>47</v>
      </c>
      <c r="C170" s="4" t="s">
        <v>42</v>
      </c>
      <c r="D170" s="4">
        <f>VLOOKUP(A170,Orders!$A:$E,5,FALSE)</f>
        <v>10</v>
      </c>
      <c r="E170" s="4">
        <v>1760</v>
      </c>
      <c r="F170" s="4">
        <v>18</v>
      </c>
      <c r="G170" s="10">
        <f t="shared" si="2"/>
        <v>97.777777777777771</v>
      </c>
      <c r="H170" s="4">
        <v>2</v>
      </c>
    </row>
    <row r="171" spans="1:8" x14ac:dyDescent="0.2">
      <c r="A171" s="4">
        <v>6301</v>
      </c>
      <c r="B171" s="4" t="s">
        <v>47</v>
      </c>
      <c r="C171" s="4" t="s">
        <v>42</v>
      </c>
      <c r="D171" s="4">
        <f>VLOOKUP(A171,Orders!$A:$E,5,FALSE)</f>
        <v>6</v>
      </c>
      <c r="E171" s="4">
        <v>117</v>
      </c>
      <c r="F171" s="4">
        <v>6</v>
      </c>
      <c r="G171" s="10">
        <f t="shared" si="2"/>
        <v>19.5</v>
      </c>
      <c r="H171" s="4">
        <v>2</v>
      </c>
    </row>
    <row r="172" spans="1:8" x14ac:dyDescent="0.2">
      <c r="A172" s="4">
        <v>6304</v>
      </c>
      <c r="B172" s="4" t="s">
        <v>47</v>
      </c>
      <c r="C172" s="4" t="s">
        <v>42</v>
      </c>
      <c r="D172" s="4">
        <f>VLOOKUP(A172,Orders!$A:$E,5,FALSE)</f>
        <v>6</v>
      </c>
      <c r="E172" s="4">
        <v>1723</v>
      </c>
      <c r="F172" s="4">
        <v>5</v>
      </c>
      <c r="G172" s="10">
        <f t="shared" si="2"/>
        <v>344.6</v>
      </c>
      <c r="H172" s="4">
        <v>2</v>
      </c>
    </row>
    <row r="173" spans="1:8" x14ac:dyDescent="0.2">
      <c r="A173" s="4">
        <v>6342</v>
      </c>
      <c r="B173" s="4" t="s">
        <v>47</v>
      </c>
      <c r="C173" s="4" t="s">
        <v>42</v>
      </c>
      <c r="D173" s="4">
        <f>VLOOKUP(A173,Orders!$A:$E,5,FALSE)</f>
        <v>10</v>
      </c>
      <c r="E173" s="4">
        <v>126</v>
      </c>
      <c r="F173" s="4">
        <v>24</v>
      </c>
      <c r="G173" s="10">
        <f t="shared" si="2"/>
        <v>5.25</v>
      </c>
      <c r="H173" s="4">
        <v>2</v>
      </c>
    </row>
    <row r="174" spans="1:8" x14ac:dyDescent="0.2">
      <c r="A174" s="4">
        <v>6348</v>
      </c>
      <c r="B174" s="4" t="s">
        <v>47</v>
      </c>
      <c r="C174" s="4" t="s">
        <v>42</v>
      </c>
      <c r="D174" s="4">
        <f>VLOOKUP(A174,Orders!$A:$E,5,FALSE)</f>
        <v>10</v>
      </c>
      <c r="E174" s="4">
        <v>1712</v>
      </c>
      <c r="F174" s="4">
        <v>21</v>
      </c>
      <c r="G174" s="10">
        <f t="shared" si="2"/>
        <v>81.523809523809518</v>
      </c>
      <c r="H174" s="4">
        <v>2</v>
      </c>
    </row>
    <row r="175" spans="1:8" x14ac:dyDescent="0.2">
      <c r="A175" s="4">
        <v>6355</v>
      </c>
      <c r="B175" s="4" t="s">
        <v>47</v>
      </c>
      <c r="C175" s="4" t="s">
        <v>42</v>
      </c>
      <c r="D175" s="4">
        <f>VLOOKUP(A175,Orders!$A:$E,5,FALSE)</f>
        <v>5</v>
      </c>
      <c r="E175" s="4">
        <v>1104</v>
      </c>
      <c r="F175" s="4">
        <v>21</v>
      </c>
      <c r="G175" s="10">
        <f t="shared" si="2"/>
        <v>52.571428571428569</v>
      </c>
      <c r="H175" s="4">
        <v>3</v>
      </c>
    </row>
    <row r="176" spans="1:8" x14ac:dyDescent="0.2">
      <c r="A176" s="4">
        <v>6368</v>
      </c>
      <c r="B176" s="4" t="s">
        <v>47</v>
      </c>
      <c r="C176" s="4" t="s">
        <v>42</v>
      </c>
      <c r="D176" s="4">
        <f>VLOOKUP(A176,Orders!$A:$E,5,FALSE)</f>
        <v>8</v>
      </c>
      <c r="E176" s="4">
        <v>1288</v>
      </c>
      <c r="F176" s="4">
        <v>8</v>
      </c>
      <c r="G176" s="10">
        <f t="shared" si="2"/>
        <v>161</v>
      </c>
      <c r="H176" s="4">
        <v>2</v>
      </c>
    </row>
    <row r="177" spans="1:8" x14ac:dyDescent="0.2">
      <c r="A177" s="4">
        <v>6440</v>
      </c>
      <c r="B177" s="4" t="s">
        <v>47</v>
      </c>
      <c r="C177" s="4" t="s">
        <v>42</v>
      </c>
      <c r="D177" s="4">
        <f>VLOOKUP(A177,Orders!$A:$E,5,FALSE)</f>
        <v>3</v>
      </c>
      <c r="E177" s="4">
        <v>1379</v>
      </c>
      <c r="F177" s="4">
        <v>2</v>
      </c>
      <c r="G177" s="10">
        <f t="shared" si="2"/>
        <v>689.5</v>
      </c>
      <c r="H177" s="4">
        <v>1</v>
      </c>
    </row>
    <row r="178" spans="1:8" x14ac:dyDescent="0.2">
      <c r="A178" s="4">
        <v>6482</v>
      </c>
      <c r="B178" s="4" t="s">
        <v>47</v>
      </c>
      <c r="C178" s="4" t="s">
        <v>42</v>
      </c>
      <c r="D178" s="4">
        <f>VLOOKUP(A178,Orders!$A:$E,5,FALSE)</f>
        <v>7</v>
      </c>
      <c r="E178" s="4">
        <v>1002</v>
      </c>
      <c r="F178" s="4">
        <v>5</v>
      </c>
      <c r="G178" s="10">
        <f t="shared" si="2"/>
        <v>200.4</v>
      </c>
      <c r="H178" s="4">
        <v>1</v>
      </c>
    </row>
    <row r="179" spans="1:8" x14ac:dyDescent="0.2">
      <c r="A179" s="4">
        <v>5002</v>
      </c>
      <c r="B179" s="4" t="s">
        <v>49</v>
      </c>
      <c r="C179" s="4" t="s">
        <v>42</v>
      </c>
      <c r="D179" s="4">
        <f>VLOOKUP(A179,Orders!$A:$E,5,FALSE)</f>
        <v>9</v>
      </c>
      <c r="E179" s="4">
        <v>1370</v>
      </c>
      <c r="F179" s="4">
        <v>10</v>
      </c>
      <c r="G179" s="10">
        <f t="shared" si="2"/>
        <v>137</v>
      </c>
      <c r="H179" s="4">
        <v>3</v>
      </c>
    </row>
    <row r="180" spans="1:8" x14ac:dyDescent="0.2">
      <c r="A180" s="4">
        <v>5004</v>
      </c>
      <c r="B180" s="4" t="s">
        <v>49</v>
      </c>
      <c r="C180" s="4" t="s">
        <v>42</v>
      </c>
      <c r="D180" s="4">
        <f>VLOOKUP(A180,Orders!$A:$E,5,FALSE)</f>
        <v>10</v>
      </c>
      <c r="E180" s="4">
        <v>1755</v>
      </c>
      <c r="F180" s="4">
        <v>7</v>
      </c>
      <c r="G180" s="10">
        <f t="shared" si="2"/>
        <v>250.71428571428572</v>
      </c>
      <c r="H180" s="4">
        <v>2</v>
      </c>
    </row>
    <row r="181" spans="1:8" x14ac:dyDescent="0.2">
      <c r="A181" s="4">
        <v>5008</v>
      </c>
      <c r="B181" s="4" t="s">
        <v>49</v>
      </c>
      <c r="C181" s="4" t="s">
        <v>42</v>
      </c>
      <c r="D181" s="4">
        <f>VLOOKUP(A181,Orders!$A:$E,5,FALSE)</f>
        <v>4</v>
      </c>
      <c r="E181" s="4">
        <v>1972</v>
      </c>
      <c r="F181" s="4">
        <v>4</v>
      </c>
      <c r="G181" s="10">
        <f t="shared" si="2"/>
        <v>493</v>
      </c>
      <c r="H181" s="4">
        <v>2</v>
      </c>
    </row>
    <row r="182" spans="1:8" x14ac:dyDescent="0.2">
      <c r="A182" s="4">
        <v>5020</v>
      </c>
      <c r="B182" s="4" t="s">
        <v>49</v>
      </c>
      <c r="C182" s="4" t="s">
        <v>42</v>
      </c>
      <c r="D182" s="4">
        <f>VLOOKUP(A182,Orders!$A:$E,5,FALSE)</f>
        <v>8</v>
      </c>
      <c r="E182" s="4">
        <v>855</v>
      </c>
      <c r="F182" s="4">
        <v>22</v>
      </c>
      <c r="G182" s="10">
        <f t="shared" si="2"/>
        <v>38.863636363636367</v>
      </c>
      <c r="H182" s="4">
        <v>2</v>
      </c>
    </row>
    <row r="183" spans="1:8" x14ac:dyDescent="0.2">
      <c r="A183" s="4">
        <v>5054</v>
      </c>
      <c r="B183" s="4" t="s">
        <v>49</v>
      </c>
      <c r="C183" s="4" t="s">
        <v>42</v>
      </c>
      <c r="D183" s="4">
        <f>VLOOKUP(A183,Orders!$A:$E,5,FALSE)</f>
        <v>9</v>
      </c>
      <c r="E183" s="4">
        <v>223</v>
      </c>
      <c r="F183" s="4">
        <v>13</v>
      </c>
      <c r="G183" s="10">
        <f t="shared" si="2"/>
        <v>17.153846153846153</v>
      </c>
      <c r="H183" s="4">
        <v>2</v>
      </c>
    </row>
    <row r="184" spans="1:8" x14ac:dyDescent="0.2">
      <c r="A184" s="4">
        <v>5067</v>
      </c>
      <c r="B184" s="4" t="s">
        <v>49</v>
      </c>
      <c r="C184" s="4" t="s">
        <v>42</v>
      </c>
      <c r="D184" s="4">
        <f>VLOOKUP(A184,Orders!$A:$E,5,FALSE)</f>
        <v>7</v>
      </c>
      <c r="E184" s="4">
        <v>948</v>
      </c>
      <c r="F184" s="4">
        <v>22</v>
      </c>
      <c r="G184" s="10">
        <f t="shared" si="2"/>
        <v>43.090909090909093</v>
      </c>
      <c r="H184" s="4">
        <v>3</v>
      </c>
    </row>
    <row r="185" spans="1:8" x14ac:dyDescent="0.2">
      <c r="A185" s="4">
        <v>5087</v>
      </c>
      <c r="B185" s="4" t="s">
        <v>49</v>
      </c>
      <c r="C185" s="4" t="s">
        <v>42</v>
      </c>
      <c r="D185" s="4">
        <f>VLOOKUP(A185,Orders!$A:$E,5,FALSE)</f>
        <v>3</v>
      </c>
      <c r="E185" s="4">
        <v>862</v>
      </c>
      <c r="F185" s="4">
        <v>14</v>
      </c>
      <c r="G185" s="10">
        <f t="shared" si="2"/>
        <v>61.571428571428569</v>
      </c>
      <c r="H185" s="4">
        <v>2</v>
      </c>
    </row>
    <row r="186" spans="1:8" x14ac:dyDescent="0.2">
      <c r="A186" s="4">
        <v>5130</v>
      </c>
      <c r="B186" s="4" t="s">
        <v>49</v>
      </c>
      <c r="C186" s="4" t="s">
        <v>42</v>
      </c>
      <c r="D186" s="4">
        <f>VLOOKUP(A186,Orders!$A:$E,5,FALSE)</f>
        <v>3</v>
      </c>
      <c r="E186" s="4">
        <v>1090</v>
      </c>
      <c r="F186" s="4">
        <v>12</v>
      </c>
      <c r="G186" s="10">
        <f t="shared" si="2"/>
        <v>90.833333333333329</v>
      </c>
      <c r="H186" s="4">
        <v>3</v>
      </c>
    </row>
    <row r="187" spans="1:8" x14ac:dyDescent="0.2">
      <c r="A187" s="4">
        <v>5141</v>
      </c>
      <c r="B187" s="4" t="s">
        <v>49</v>
      </c>
      <c r="C187" s="4" t="s">
        <v>42</v>
      </c>
      <c r="D187" s="4">
        <f>VLOOKUP(A187,Orders!$A:$E,5,FALSE)</f>
        <v>5</v>
      </c>
      <c r="E187" s="4">
        <v>1700</v>
      </c>
      <c r="F187" s="4">
        <v>15</v>
      </c>
      <c r="G187" s="10">
        <f t="shared" si="2"/>
        <v>113.33333333333333</v>
      </c>
      <c r="H187" s="4">
        <v>3</v>
      </c>
    </row>
    <row r="188" spans="1:8" x14ac:dyDescent="0.2">
      <c r="A188" s="4">
        <v>5142</v>
      </c>
      <c r="B188" s="4" t="s">
        <v>49</v>
      </c>
      <c r="C188" s="4" t="s">
        <v>42</v>
      </c>
      <c r="D188" s="4">
        <f>VLOOKUP(A188,Orders!$A:$E,5,FALSE)</f>
        <v>8</v>
      </c>
      <c r="E188" s="4">
        <v>1298</v>
      </c>
      <c r="F188" s="4">
        <v>14</v>
      </c>
      <c r="G188" s="10">
        <f t="shared" si="2"/>
        <v>92.714285714285708</v>
      </c>
      <c r="H188" s="4">
        <v>2</v>
      </c>
    </row>
    <row r="189" spans="1:8" x14ac:dyDescent="0.2">
      <c r="A189" s="4">
        <v>5166</v>
      </c>
      <c r="B189" s="4" t="s">
        <v>49</v>
      </c>
      <c r="C189" s="4" t="s">
        <v>42</v>
      </c>
      <c r="D189" s="4">
        <f>VLOOKUP(A189,Orders!$A:$E,5,FALSE)</f>
        <v>3</v>
      </c>
      <c r="E189" s="4">
        <v>1300</v>
      </c>
      <c r="F189" s="4">
        <v>3</v>
      </c>
      <c r="G189" s="10">
        <f t="shared" si="2"/>
        <v>433.33333333333331</v>
      </c>
      <c r="H189" s="4">
        <v>3</v>
      </c>
    </row>
    <row r="190" spans="1:8" x14ac:dyDescent="0.2">
      <c r="A190" s="4">
        <v>5190</v>
      </c>
      <c r="B190" s="4" t="s">
        <v>49</v>
      </c>
      <c r="C190" s="4" t="s">
        <v>42</v>
      </c>
      <c r="D190" s="4">
        <f>VLOOKUP(A190,Orders!$A:$E,5,FALSE)</f>
        <v>3</v>
      </c>
      <c r="E190" s="4">
        <v>1601</v>
      </c>
      <c r="F190" s="4">
        <v>22</v>
      </c>
      <c r="G190" s="10">
        <f t="shared" si="2"/>
        <v>72.772727272727266</v>
      </c>
      <c r="H190" s="4">
        <v>3</v>
      </c>
    </row>
    <row r="191" spans="1:8" x14ac:dyDescent="0.2">
      <c r="A191" s="4">
        <v>5197</v>
      </c>
      <c r="B191" s="4" t="s">
        <v>49</v>
      </c>
      <c r="C191" s="4" t="s">
        <v>42</v>
      </c>
      <c r="D191" s="4">
        <f>VLOOKUP(A191,Orders!$A:$E,5,FALSE)</f>
        <v>2</v>
      </c>
      <c r="E191" s="4">
        <v>1174</v>
      </c>
      <c r="F191" s="4">
        <v>14</v>
      </c>
      <c r="G191" s="10">
        <f t="shared" si="2"/>
        <v>83.857142857142861</v>
      </c>
      <c r="H191" s="4">
        <v>3</v>
      </c>
    </row>
    <row r="192" spans="1:8" x14ac:dyDescent="0.2">
      <c r="A192" s="4">
        <v>5200</v>
      </c>
      <c r="B192" s="4" t="s">
        <v>49</v>
      </c>
      <c r="C192" s="4" t="s">
        <v>42</v>
      </c>
      <c r="D192" s="4">
        <f>VLOOKUP(A192,Orders!$A:$E,5,FALSE)</f>
        <v>6</v>
      </c>
      <c r="E192" s="4">
        <v>1346</v>
      </c>
      <c r="F192" s="4">
        <v>5</v>
      </c>
      <c r="G192" s="10">
        <f t="shared" si="2"/>
        <v>269.2</v>
      </c>
      <c r="H192" s="4">
        <v>1</v>
      </c>
    </row>
    <row r="193" spans="1:8" x14ac:dyDescent="0.2">
      <c r="A193" s="4">
        <v>5201</v>
      </c>
      <c r="B193" s="4" t="s">
        <v>49</v>
      </c>
      <c r="C193" s="4" t="s">
        <v>42</v>
      </c>
      <c r="D193" s="4">
        <f>VLOOKUP(A193,Orders!$A:$E,5,FALSE)</f>
        <v>8</v>
      </c>
      <c r="E193" s="4">
        <v>353</v>
      </c>
      <c r="F193" s="4">
        <v>16</v>
      </c>
      <c r="G193" s="10">
        <f t="shared" si="2"/>
        <v>22.0625</v>
      </c>
      <c r="H193" s="4">
        <v>3</v>
      </c>
    </row>
    <row r="194" spans="1:8" x14ac:dyDescent="0.2">
      <c r="A194" s="4">
        <v>5204</v>
      </c>
      <c r="B194" s="4" t="s">
        <v>49</v>
      </c>
      <c r="C194" s="4" t="s">
        <v>42</v>
      </c>
      <c r="D194" s="4">
        <f>VLOOKUP(A194,Orders!$A:$E,5,FALSE)</f>
        <v>4</v>
      </c>
      <c r="E194" s="4">
        <v>1008</v>
      </c>
      <c r="F194" s="4">
        <v>23</v>
      </c>
      <c r="G194" s="10">
        <f t="shared" ref="G194:G257" si="3">E194/F194</f>
        <v>43.826086956521742</v>
      </c>
      <c r="H194" s="4">
        <v>2</v>
      </c>
    </row>
    <row r="195" spans="1:8" x14ac:dyDescent="0.2">
      <c r="A195" s="4">
        <v>5236</v>
      </c>
      <c r="B195" s="4" t="s">
        <v>49</v>
      </c>
      <c r="C195" s="4" t="s">
        <v>42</v>
      </c>
      <c r="D195" s="4">
        <f>VLOOKUP(A195,Orders!$A:$E,5,FALSE)</f>
        <v>10</v>
      </c>
      <c r="E195" s="4">
        <v>248</v>
      </c>
      <c r="F195" s="4">
        <v>7</v>
      </c>
      <c r="G195" s="10">
        <f t="shared" si="3"/>
        <v>35.428571428571431</v>
      </c>
      <c r="H195" s="4">
        <v>2</v>
      </c>
    </row>
    <row r="196" spans="1:8" x14ac:dyDescent="0.2">
      <c r="A196" s="4">
        <v>5242</v>
      </c>
      <c r="B196" s="4" t="s">
        <v>49</v>
      </c>
      <c r="C196" s="4" t="s">
        <v>42</v>
      </c>
      <c r="D196" s="4">
        <f>VLOOKUP(A196,Orders!$A:$E,5,FALSE)</f>
        <v>6</v>
      </c>
      <c r="E196" s="4">
        <v>891</v>
      </c>
      <c r="F196" s="4">
        <v>12</v>
      </c>
      <c r="G196" s="10">
        <f t="shared" si="3"/>
        <v>74.25</v>
      </c>
      <c r="H196" s="4">
        <v>3</v>
      </c>
    </row>
    <row r="197" spans="1:8" x14ac:dyDescent="0.2">
      <c r="A197" s="4">
        <v>5244</v>
      </c>
      <c r="B197" s="4" t="s">
        <v>49</v>
      </c>
      <c r="C197" s="4" t="s">
        <v>42</v>
      </c>
      <c r="D197" s="4">
        <f>VLOOKUP(A197,Orders!$A:$E,5,FALSE)</f>
        <v>8</v>
      </c>
      <c r="E197" s="4">
        <v>874</v>
      </c>
      <c r="F197" s="4">
        <v>2</v>
      </c>
      <c r="G197" s="10">
        <f t="shared" si="3"/>
        <v>437</v>
      </c>
      <c r="H197" s="4">
        <v>2</v>
      </c>
    </row>
    <row r="198" spans="1:8" x14ac:dyDescent="0.2">
      <c r="A198" s="4">
        <v>5245</v>
      </c>
      <c r="B198" s="4" t="s">
        <v>49</v>
      </c>
      <c r="C198" s="4" t="s">
        <v>42</v>
      </c>
      <c r="D198" s="4">
        <f>VLOOKUP(A198,Orders!$A:$E,5,FALSE)</f>
        <v>9</v>
      </c>
      <c r="E198" s="4">
        <v>1322</v>
      </c>
      <c r="F198" s="4">
        <v>3</v>
      </c>
      <c r="G198" s="10">
        <f t="shared" si="3"/>
        <v>440.66666666666669</v>
      </c>
      <c r="H198" s="4">
        <v>3</v>
      </c>
    </row>
    <row r="199" spans="1:8" x14ac:dyDescent="0.2">
      <c r="A199" s="4">
        <v>5260</v>
      </c>
      <c r="B199" s="4" t="s">
        <v>49</v>
      </c>
      <c r="C199" s="4" t="s">
        <v>42</v>
      </c>
      <c r="D199" s="4">
        <f>VLOOKUP(A199,Orders!$A:$E,5,FALSE)</f>
        <v>10</v>
      </c>
      <c r="E199" s="4">
        <v>30</v>
      </c>
      <c r="F199" s="4">
        <v>15</v>
      </c>
      <c r="G199" s="10">
        <f t="shared" si="3"/>
        <v>2</v>
      </c>
      <c r="H199" s="4">
        <v>1</v>
      </c>
    </row>
    <row r="200" spans="1:8" x14ac:dyDescent="0.2">
      <c r="A200" s="4">
        <v>5267</v>
      </c>
      <c r="B200" s="4" t="s">
        <v>49</v>
      </c>
      <c r="C200" s="4" t="s">
        <v>42</v>
      </c>
      <c r="D200" s="4">
        <f>VLOOKUP(A200,Orders!$A:$E,5,FALSE)</f>
        <v>10</v>
      </c>
      <c r="E200" s="4">
        <v>674</v>
      </c>
      <c r="F200" s="4">
        <v>13</v>
      </c>
      <c r="G200" s="10">
        <f t="shared" si="3"/>
        <v>51.846153846153847</v>
      </c>
      <c r="H200" s="4">
        <v>2</v>
      </c>
    </row>
    <row r="201" spans="1:8" x14ac:dyDescent="0.2">
      <c r="A201" s="4">
        <v>5279</v>
      </c>
      <c r="B201" s="4" t="s">
        <v>49</v>
      </c>
      <c r="C201" s="4" t="s">
        <v>42</v>
      </c>
      <c r="D201" s="4">
        <f>VLOOKUP(A201,Orders!$A:$E,5,FALSE)</f>
        <v>3</v>
      </c>
      <c r="E201" s="4">
        <v>1597</v>
      </c>
      <c r="F201" s="4">
        <v>13</v>
      </c>
      <c r="G201" s="10">
        <f t="shared" si="3"/>
        <v>122.84615384615384</v>
      </c>
      <c r="H201" s="4">
        <v>3</v>
      </c>
    </row>
    <row r="202" spans="1:8" x14ac:dyDescent="0.2">
      <c r="A202" s="4">
        <v>5311</v>
      </c>
      <c r="B202" s="4" t="s">
        <v>49</v>
      </c>
      <c r="C202" s="4" t="s">
        <v>42</v>
      </c>
      <c r="D202" s="4">
        <f>VLOOKUP(A202,Orders!$A:$E,5,FALSE)</f>
        <v>7</v>
      </c>
      <c r="E202" s="4">
        <v>1237</v>
      </c>
      <c r="F202" s="4">
        <v>3</v>
      </c>
      <c r="G202" s="10">
        <f t="shared" si="3"/>
        <v>412.33333333333331</v>
      </c>
      <c r="H202" s="4">
        <v>1</v>
      </c>
    </row>
    <row r="203" spans="1:8" x14ac:dyDescent="0.2">
      <c r="A203" s="4">
        <v>5313</v>
      </c>
      <c r="B203" s="4" t="s">
        <v>49</v>
      </c>
      <c r="C203" s="4" t="s">
        <v>42</v>
      </c>
      <c r="D203" s="4">
        <f>VLOOKUP(A203,Orders!$A:$E,5,FALSE)</f>
        <v>3</v>
      </c>
      <c r="E203" s="4">
        <v>648</v>
      </c>
      <c r="F203" s="4">
        <v>24</v>
      </c>
      <c r="G203" s="10">
        <f t="shared" si="3"/>
        <v>27</v>
      </c>
      <c r="H203" s="4">
        <v>1</v>
      </c>
    </row>
    <row r="204" spans="1:8" x14ac:dyDescent="0.2">
      <c r="A204" s="4">
        <v>5356</v>
      </c>
      <c r="B204" s="4" t="s">
        <v>49</v>
      </c>
      <c r="C204" s="4" t="s">
        <v>42</v>
      </c>
      <c r="D204" s="4">
        <f>VLOOKUP(A204,Orders!$A:$E,5,FALSE)</f>
        <v>5</v>
      </c>
      <c r="E204" s="4">
        <v>316</v>
      </c>
      <c r="F204" s="4">
        <v>11</v>
      </c>
      <c r="G204" s="10">
        <f t="shared" si="3"/>
        <v>28.727272727272727</v>
      </c>
      <c r="H204" s="4">
        <v>2</v>
      </c>
    </row>
    <row r="205" spans="1:8" x14ac:dyDescent="0.2">
      <c r="A205" s="4">
        <v>5357</v>
      </c>
      <c r="B205" s="4" t="s">
        <v>49</v>
      </c>
      <c r="C205" s="4" t="s">
        <v>42</v>
      </c>
      <c r="D205" s="4">
        <f>VLOOKUP(A205,Orders!$A:$E,5,FALSE)</f>
        <v>9</v>
      </c>
      <c r="E205" s="4">
        <v>941</v>
      </c>
      <c r="F205" s="4">
        <v>11</v>
      </c>
      <c r="G205" s="10">
        <f t="shared" si="3"/>
        <v>85.545454545454547</v>
      </c>
      <c r="H205" s="4">
        <v>2</v>
      </c>
    </row>
    <row r="206" spans="1:8" x14ac:dyDescent="0.2">
      <c r="A206" s="4">
        <v>5369</v>
      </c>
      <c r="B206" s="4" t="s">
        <v>49</v>
      </c>
      <c r="C206" s="4" t="s">
        <v>42</v>
      </c>
      <c r="D206" s="4">
        <f>VLOOKUP(A206,Orders!$A:$E,5,FALSE)</f>
        <v>6</v>
      </c>
      <c r="E206" s="4">
        <v>917</v>
      </c>
      <c r="F206" s="4">
        <v>11</v>
      </c>
      <c r="G206" s="10">
        <f t="shared" si="3"/>
        <v>83.36363636363636</v>
      </c>
      <c r="H206" s="4">
        <v>1</v>
      </c>
    </row>
    <row r="207" spans="1:8" x14ac:dyDescent="0.2">
      <c r="A207" s="4">
        <v>5374</v>
      </c>
      <c r="B207" s="4" t="s">
        <v>49</v>
      </c>
      <c r="C207" s="4" t="s">
        <v>42</v>
      </c>
      <c r="D207" s="4">
        <f>VLOOKUP(A207,Orders!$A:$E,5,FALSE)</f>
        <v>9</v>
      </c>
      <c r="E207" s="4">
        <v>1432</v>
      </c>
      <c r="F207" s="4">
        <v>2</v>
      </c>
      <c r="G207" s="10">
        <f t="shared" si="3"/>
        <v>716</v>
      </c>
      <c r="H207" s="4">
        <v>1</v>
      </c>
    </row>
    <row r="208" spans="1:8" x14ac:dyDescent="0.2">
      <c r="A208" s="4">
        <v>5378</v>
      </c>
      <c r="B208" s="4" t="s">
        <v>49</v>
      </c>
      <c r="C208" s="4" t="s">
        <v>42</v>
      </c>
      <c r="D208" s="4">
        <f>VLOOKUP(A208,Orders!$A:$E,5,FALSE)</f>
        <v>5</v>
      </c>
      <c r="E208" s="4">
        <v>1256</v>
      </c>
      <c r="F208" s="4">
        <v>2</v>
      </c>
      <c r="G208" s="10">
        <f t="shared" si="3"/>
        <v>628</v>
      </c>
      <c r="H208" s="4">
        <v>1</v>
      </c>
    </row>
    <row r="209" spans="1:8" x14ac:dyDescent="0.2">
      <c r="A209" s="4">
        <v>5396</v>
      </c>
      <c r="B209" s="4" t="s">
        <v>49</v>
      </c>
      <c r="C209" s="4" t="s">
        <v>42</v>
      </c>
      <c r="D209" s="4">
        <f>VLOOKUP(A209,Orders!$A:$E,5,FALSE)</f>
        <v>3</v>
      </c>
      <c r="E209" s="4">
        <v>1921</v>
      </c>
      <c r="F209" s="4">
        <v>9</v>
      </c>
      <c r="G209" s="10">
        <f t="shared" si="3"/>
        <v>213.44444444444446</v>
      </c>
      <c r="H209" s="4">
        <v>3</v>
      </c>
    </row>
    <row r="210" spans="1:8" x14ac:dyDescent="0.2">
      <c r="A210" s="4">
        <v>5414</v>
      </c>
      <c r="B210" s="4" t="s">
        <v>49</v>
      </c>
      <c r="C210" s="4" t="s">
        <v>42</v>
      </c>
      <c r="D210" s="4">
        <f>VLOOKUP(A210,Orders!$A:$E,5,FALSE)</f>
        <v>8</v>
      </c>
      <c r="E210" s="4">
        <v>1284</v>
      </c>
      <c r="F210" s="4">
        <v>15</v>
      </c>
      <c r="G210" s="10">
        <f t="shared" si="3"/>
        <v>85.6</v>
      </c>
      <c r="H210" s="4">
        <v>1</v>
      </c>
    </row>
    <row r="211" spans="1:8" x14ac:dyDescent="0.2">
      <c r="A211" s="4">
        <v>5418</v>
      </c>
      <c r="B211" s="4" t="s">
        <v>49</v>
      </c>
      <c r="C211" s="4" t="s">
        <v>42</v>
      </c>
      <c r="D211" s="4">
        <f>VLOOKUP(A211,Orders!$A:$E,5,FALSE)</f>
        <v>8</v>
      </c>
      <c r="E211" s="4">
        <v>1293</v>
      </c>
      <c r="F211" s="4">
        <v>12</v>
      </c>
      <c r="G211" s="10">
        <f t="shared" si="3"/>
        <v>107.75</v>
      </c>
      <c r="H211" s="4">
        <v>1</v>
      </c>
    </row>
    <row r="212" spans="1:8" x14ac:dyDescent="0.2">
      <c r="A212" s="4">
        <v>5431</v>
      </c>
      <c r="B212" s="4" t="s">
        <v>49</v>
      </c>
      <c r="C212" s="4" t="s">
        <v>42</v>
      </c>
      <c r="D212" s="4">
        <f>VLOOKUP(A212,Orders!$A:$E,5,FALSE)</f>
        <v>4</v>
      </c>
      <c r="E212" s="4">
        <v>1475</v>
      </c>
      <c r="F212" s="4">
        <v>16</v>
      </c>
      <c r="G212" s="10">
        <f t="shared" si="3"/>
        <v>92.1875</v>
      </c>
      <c r="H212" s="4">
        <v>3</v>
      </c>
    </row>
    <row r="213" spans="1:8" x14ac:dyDescent="0.2">
      <c r="A213" s="4">
        <v>5439</v>
      </c>
      <c r="B213" s="4" t="s">
        <v>49</v>
      </c>
      <c r="C213" s="4" t="s">
        <v>42</v>
      </c>
      <c r="D213" s="4">
        <f>VLOOKUP(A213,Orders!$A:$E,5,FALSE)</f>
        <v>10</v>
      </c>
      <c r="E213" s="4">
        <v>1847</v>
      </c>
      <c r="F213" s="4">
        <v>7</v>
      </c>
      <c r="G213" s="10">
        <f t="shared" si="3"/>
        <v>263.85714285714283</v>
      </c>
      <c r="H213" s="4">
        <v>2</v>
      </c>
    </row>
    <row r="214" spans="1:8" x14ac:dyDescent="0.2">
      <c r="A214" s="4">
        <v>5463</v>
      </c>
      <c r="B214" s="4" t="s">
        <v>49</v>
      </c>
      <c r="C214" s="4" t="s">
        <v>42</v>
      </c>
      <c r="D214" s="4">
        <f>VLOOKUP(A214,Orders!$A:$E,5,FALSE)</f>
        <v>6</v>
      </c>
      <c r="E214" s="4">
        <v>42</v>
      </c>
      <c r="F214" s="4">
        <v>22</v>
      </c>
      <c r="G214" s="10">
        <f t="shared" si="3"/>
        <v>1.9090909090909092</v>
      </c>
      <c r="H214" s="4">
        <v>1</v>
      </c>
    </row>
    <row r="215" spans="1:8" x14ac:dyDescent="0.2">
      <c r="A215" s="4">
        <v>5467</v>
      </c>
      <c r="B215" s="4" t="s">
        <v>49</v>
      </c>
      <c r="C215" s="4" t="s">
        <v>42</v>
      </c>
      <c r="D215" s="4">
        <f>VLOOKUP(A215,Orders!$A:$E,5,FALSE)</f>
        <v>7</v>
      </c>
      <c r="E215" s="4">
        <v>1964</v>
      </c>
      <c r="F215" s="4">
        <v>3</v>
      </c>
      <c r="G215" s="10">
        <f t="shared" si="3"/>
        <v>654.66666666666663</v>
      </c>
      <c r="H215" s="4">
        <v>2</v>
      </c>
    </row>
    <row r="216" spans="1:8" x14ac:dyDescent="0.2">
      <c r="A216" s="4">
        <v>5473</v>
      </c>
      <c r="B216" s="4" t="s">
        <v>49</v>
      </c>
      <c r="C216" s="4" t="s">
        <v>42</v>
      </c>
      <c r="D216" s="4">
        <f>VLOOKUP(A216,Orders!$A:$E,5,FALSE)</f>
        <v>10</v>
      </c>
      <c r="E216" s="4">
        <v>1872</v>
      </c>
      <c r="F216" s="4">
        <v>10</v>
      </c>
      <c r="G216" s="10">
        <f t="shared" si="3"/>
        <v>187.2</v>
      </c>
      <c r="H216" s="4">
        <v>3</v>
      </c>
    </row>
    <row r="217" spans="1:8" x14ac:dyDescent="0.2">
      <c r="A217" s="4">
        <v>5509</v>
      </c>
      <c r="B217" s="4" t="s">
        <v>49</v>
      </c>
      <c r="C217" s="4" t="s">
        <v>42</v>
      </c>
      <c r="D217" s="4">
        <f>VLOOKUP(A217,Orders!$A:$E,5,FALSE)</f>
        <v>8</v>
      </c>
      <c r="E217" s="4">
        <v>903</v>
      </c>
      <c r="F217" s="4">
        <v>13</v>
      </c>
      <c r="G217" s="10">
        <f t="shared" si="3"/>
        <v>69.461538461538467</v>
      </c>
      <c r="H217" s="4">
        <v>2</v>
      </c>
    </row>
    <row r="218" spans="1:8" x14ac:dyDescent="0.2">
      <c r="A218" s="4">
        <v>5519</v>
      </c>
      <c r="B218" s="4" t="s">
        <v>49</v>
      </c>
      <c r="C218" s="4" t="s">
        <v>42</v>
      </c>
      <c r="D218" s="4">
        <f>VLOOKUP(A218,Orders!$A:$E,5,FALSE)</f>
        <v>9</v>
      </c>
      <c r="E218" s="4">
        <v>1960</v>
      </c>
      <c r="F218" s="4">
        <v>2</v>
      </c>
      <c r="G218" s="10">
        <f t="shared" si="3"/>
        <v>980</v>
      </c>
      <c r="H218" s="4">
        <v>3</v>
      </c>
    </row>
    <row r="219" spans="1:8" x14ac:dyDescent="0.2">
      <c r="A219" s="4">
        <v>5522</v>
      </c>
      <c r="B219" s="4" t="s">
        <v>49</v>
      </c>
      <c r="C219" s="4" t="s">
        <v>42</v>
      </c>
      <c r="D219" s="4">
        <f>VLOOKUP(A219,Orders!$A:$E,5,FALSE)</f>
        <v>10</v>
      </c>
      <c r="E219" s="4">
        <v>496</v>
      </c>
      <c r="F219" s="4">
        <v>20</v>
      </c>
      <c r="G219" s="10">
        <f t="shared" si="3"/>
        <v>24.8</v>
      </c>
      <c r="H219" s="4">
        <v>3</v>
      </c>
    </row>
    <row r="220" spans="1:8" x14ac:dyDescent="0.2">
      <c r="A220" s="4">
        <v>5588</v>
      </c>
      <c r="B220" s="4" t="s">
        <v>49</v>
      </c>
      <c r="C220" s="4" t="s">
        <v>42</v>
      </c>
      <c r="D220" s="4">
        <f>VLOOKUP(A220,Orders!$A:$E,5,FALSE)</f>
        <v>2</v>
      </c>
      <c r="E220" s="4">
        <v>1907</v>
      </c>
      <c r="F220" s="4">
        <v>7</v>
      </c>
      <c r="G220" s="10">
        <f t="shared" si="3"/>
        <v>272.42857142857144</v>
      </c>
      <c r="H220" s="4">
        <v>2</v>
      </c>
    </row>
    <row r="221" spans="1:8" x14ac:dyDescent="0.2">
      <c r="A221" s="4">
        <v>5596</v>
      </c>
      <c r="B221" s="4" t="s">
        <v>49</v>
      </c>
      <c r="C221" s="4" t="s">
        <v>42</v>
      </c>
      <c r="D221" s="4">
        <f>VLOOKUP(A221,Orders!$A:$E,5,FALSE)</f>
        <v>10</v>
      </c>
      <c r="E221" s="4">
        <v>98</v>
      </c>
      <c r="F221" s="4">
        <v>6</v>
      </c>
      <c r="G221" s="10">
        <f t="shared" si="3"/>
        <v>16.333333333333332</v>
      </c>
      <c r="H221" s="4">
        <v>1</v>
      </c>
    </row>
    <row r="222" spans="1:8" x14ac:dyDescent="0.2">
      <c r="A222" s="4">
        <v>5603</v>
      </c>
      <c r="B222" s="4" t="s">
        <v>49</v>
      </c>
      <c r="C222" s="4" t="s">
        <v>42</v>
      </c>
      <c r="D222" s="4">
        <f>VLOOKUP(A222,Orders!$A:$E,5,FALSE)</f>
        <v>9</v>
      </c>
      <c r="E222" s="4">
        <v>1323</v>
      </c>
      <c r="F222" s="4">
        <v>16</v>
      </c>
      <c r="G222" s="10">
        <f t="shared" si="3"/>
        <v>82.6875</v>
      </c>
      <c r="H222" s="4">
        <v>2</v>
      </c>
    </row>
    <row r="223" spans="1:8" x14ac:dyDescent="0.2">
      <c r="A223" s="4">
        <v>5611</v>
      </c>
      <c r="B223" s="4" t="s">
        <v>49</v>
      </c>
      <c r="C223" s="4" t="s">
        <v>42</v>
      </c>
      <c r="D223" s="4">
        <f>VLOOKUP(A223,Orders!$A:$E,5,FALSE)</f>
        <v>10</v>
      </c>
      <c r="E223" s="4">
        <v>687</v>
      </c>
      <c r="F223" s="4">
        <v>23</v>
      </c>
      <c r="G223" s="10">
        <f t="shared" si="3"/>
        <v>29.869565217391305</v>
      </c>
      <c r="H223" s="4">
        <v>2</v>
      </c>
    </row>
    <row r="224" spans="1:8" x14ac:dyDescent="0.2">
      <c r="A224" s="4">
        <v>5637</v>
      </c>
      <c r="B224" s="4" t="s">
        <v>49</v>
      </c>
      <c r="C224" s="4" t="s">
        <v>42</v>
      </c>
      <c r="D224" s="4">
        <f>VLOOKUP(A224,Orders!$A:$E,5,FALSE)</f>
        <v>2</v>
      </c>
      <c r="E224" s="4">
        <v>194</v>
      </c>
      <c r="F224" s="4">
        <v>13</v>
      </c>
      <c r="G224" s="10">
        <f t="shared" si="3"/>
        <v>14.923076923076923</v>
      </c>
      <c r="H224" s="4">
        <v>1</v>
      </c>
    </row>
    <row r="225" spans="1:8" x14ac:dyDescent="0.2">
      <c r="A225" s="4">
        <v>5640</v>
      </c>
      <c r="B225" s="4" t="s">
        <v>49</v>
      </c>
      <c r="C225" s="4" t="s">
        <v>42</v>
      </c>
      <c r="D225" s="4">
        <f>VLOOKUP(A225,Orders!$A:$E,5,FALSE)</f>
        <v>4</v>
      </c>
      <c r="E225" s="4">
        <v>1476</v>
      </c>
      <c r="F225" s="4">
        <v>4</v>
      </c>
      <c r="G225" s="10">
        <f t="shared" si="3"/>
        <v>369</v>
      </c>
      <c r="H225" s="4">
        <v>2</v>
      </c>
    </row>
    <row r="226" spans="1:8" x14ac:dyDescent="0.2">
      <c r="A226" s="4">
        <v>5688</v>
      </c>
      <c r="B226" s="4" t="s">
        <v>49</v>
      </c>
      <c r="C226" s="4" t="s">
        <v>42</v>
      </c>
      <c r="D226" s="4">
        <f>VLOOKUP(A226,Orders!$A:$E,5,FALSE)</f>
        <v>9</v>
      </c>
      <c r="E226" s="4">
        <v>425</v>
      </c>
      <c r="F226" s="4">
        <v>2</v>
      </c>
      <c r="G226" s="10">
        <f t="shared" si="3"/>
        <v>212.5</v>
      </c>
      <c r="H226" s="4">
        <v>2</v>
      </c>
    </row>
    <row r="227" spans="1:8" x14ac:dyDescent="0.2">
      <c r="A227" s="4">
        <v>5698</v>
      </c>
      <c r="B227" s="4" t="s">
        <v>49</v>
      </c>
      <c r="C227" s="4" t="s">
        <v>42</v>
      </c>
      <c r="D227" s="4">
        <f>VLOOKUP(A227,Orders!$A:$E,5,FALSE)</f>
        <v>9</v>
      </c>
      <c r="E227" s="4">
        <v>1504</v>
      </c>
      <c r="F227" s="4">
        <v>13</v>
      </c>
      <c r="G227" s="10">
        <f t="shared" si="3"/>
        <v>115.69230769230769</v>
      </c>
      <c r="H227" s="4">
        <v>3</v>
      </c>
    </row>
    <row r="228" spans="1:8" x14ac:dyDescent="0.2">
      <c r="A228" s="4">
        <v>5748</v>
      </c>
      <c r="B228" s="4" t="s">
        <v>49</v>
      </c>
      <c r="C228" s="4" t="s">
        <v>42</v>
      </c>
      <c r="D228" s="4">
        <f>VLOOKUP(A228,Orders!$A:$E,5,FALSE)</f>
        <v>2</v>
      </c>
      <c r="E228" s="4">
        <v>420</v>
      </c>
      <c r="F228" s="4">
        <v>12</v>
      </c>
      <c r="G228" s="10">
        <f t="shared" si="3"/>
        <v>35</v>
      </c>
      <c r="H228" s="4">
        <v>2</v>
      </c>
    </row>
    <row r="229" spans="1:8" x14ac:dyDescent="0.2">
      <c r="A229" s="4">
        <v>5770</v>
      </c>
      <c r="B229" s="4" t="s">
        <v>49</v>
      </c>
      <c r="C229" s="4" t="s">
        <v>42</v>
      </c>
      <c r="D229" s="4">
        <f>VLOOKUP(A229,Orders!$A:$E,5,FALSE)</f>
        <v>5</v>
      </c>
      <c r="E229" s="4">
        <v>66</v>
      </c>
      <c r="F229" s="4">
        <v>24</v>
      </c>
      <c r="G229" s="10">
        <f t="shared" si="3"/>
        <v>2.75</v>
      </c>
      <c r="H229" s="4">
        <v>3</v>
      </c>
    </row>
    <row r="230" spans="1:8" x14ac:dyDescent="0.2">
      <c r="A230" s="4">
        <v>5836</v>
      </c>
      <c r="B230" s="4" t="s">
        <v>49</v>
      </c>
      <c r="C230" s="4" t="s">
        <v>42</v>
      </c>
      <c r="D230" s="4">
        <f>VLOOKUP(A230,Orders!$A:$E,5,FALSE)</f>
        <v>8</v>
      </c>
      <c r="E230" s="4">
        <v>998</v>
      </c>
      <c r="F230" s="4">
        <v>4</v>
      </c>
      <c r="G230" s="10">
        <f t="shared" si="3"/>
        <v>249.5</v>
      </c>
      <c r="H230" s="4">
        <v>3</v>
      </c>
    </row>
    <row r="231" spans="1:8" x14ac:dyDescent="0.2">
      <c r="A231" s="4">
        <v>5857</v>
      </c>
      <c r="B231" s="4" t="s">
        <v>49</v>
      </c>
      <c r="C231" s="4" t="s">
        <v>42</v>
      </c>
      <c r="D231" s="4">
        <f>VLOOKUP(A231,Orders!$A:$E,5,FALSE)</f>
        <v>10</v>
      </c>
      <c r="E231" s="4">
        <v>1771</v>
      </c>
      <c r="F231" s="4">
        <v>17</v>
      </c>
      <c r="G231" s="10">
        <f t="shared" si="3"/>
        <v>104.17647058823529</v>
      </c>
      <c r="H231" s="4">
        <v>3</v>
      </c>
    </row>
    <row r="232" spans="1:8" x14ac:dyDescent="0.2">
      <c r="A232" s="4">
        <v>5884</v>
      </c>
      <c r="B232" s="4" t="s">
        <v>49</v>
      </c>
      <c r="C232" s="4" t="s">
        <v>42</v>
      </c>
      <c r="D232" s="4">
        <f>VLOOKUP(A232,Orders!$A:$E,5,FALSE)</f>
        <v>6</v>
      </c>
      <c r="E232" s="4">
        <v>900</v>
      </c>
      <c r="F232" s="4">
        <v>9</v>
      </c>
      <c r="G232" s="10">
        <f t="shared" si="3"/>
        <v>100</v>
      </c>
      <c r="H232" s="4">
        <v>1</v>
      </c>
    </row>
    <row r="233" spans="1:8" x14ac:dyDescent="0.2">
      <c r="A233" s="4">
        <v>5906</v>
      </c>
      <c r="B233" s="4" t="s">
        <v>49</v>
      </c>
      <c r="C233" s="4" t="s">
        <v>42</v>
      </c>
      <c r="D233" s="4">
        <f>VLOOKUP(A233,Orders!$A:$E,5,FALSE)</f>
        <v>7</v>
      </c>
      <c r="E233" s="4">
        <v>800</v>
      </c>
      <c r="F233" s="4">
        <v>2</v>
      </c>
      <c r="G233" s="10">
        <f t="shared" si="3"/>
        <v>400</v>
      </c>
      <c r="H233" s="4">
        <v>2</v>
      </c>
    </row>
    <row r="234" spans="1:8" x14ac:dyDescent="0.2">
      <c r="A234" s="4">
        <v>5909</v>
      </c>
      <c r="B234" s="4" t="s">
        <v>49</v>
      </c>
      <c r="C234" s="4" t="s">
        <v>42</v>
      </c>
      <c r="D234" s="4">
        <f>VLOOKUP(A234,Orders!$A:$E,5,FALSE)</f>
        <v>7</v>
      </c>
      <c r="E234" s="4">
        <v>1000</v>
      </c>
      <c r="F234" s="4">
        <v>7</v>
      </c>
      <c r="G234" s="10">
        <f t="shared" si="3"/>
        <v>142.85714285714286</v>
      </c>
      <c r="H234" s="4">
        <v>1</v>
      </c>
    </row>
    <row r="235" spans="1:8" x14ac:dyDescent="0.2">
      <c r="A235" s="4">
        <v>5925</v>
      </c>
      <c r="B235" s="4" t="s">
        <v>49</v>
      </c>
      <c r="C235" s="4" t="s">
        <v>42</v>
      </c>
      <c r="D235" s="4">
        <f>VLOOKUP(A235,Orders!$A:$E,5,FALSE)</f>
        <v>8</v>
      </c>
      <c r="E235" s="4">
        <v>967</v>
      </c>
      <c r="F235" s="4">
        <v>9</v>
      </c>
      <c r="G235" s="10">
        <f t="shared" si="3"/>
        <v>107.44444444444444</v>
      </c>
      <c r="H235" s="4">
        <v>2</v>
      </c>
    </row>
    <row r="236" spans="1:8" x14ac:dyDescent="0.2">
      <c r="A236" s="4">
        <v>5946</v>
      </c>
      <c r="B236" s="4" t="s">
        <v>49</v>
      </c>
      <c r="C236" s="4" t="s">
        <v>42</v>
      </c>
      <c r="D236" s="4">
        <f>VLOOKUP(A236,Orders!$A:$E,5,FALSE)</f>
        <v>3</v>
      </c>
      <c r="E236" s="4">
        <v>416</v>
      </c>
      <c r="F236" s="4">
        <v>11</v>
      </c>
      <c r="G236" s="10">
        <f t="shared" si="3"/>
        <v>37.81818181818182</v>
      </c>
      <c r="H236" s="4">
        <v>3</v>
      </c>
    </row>
    <row r="237" spans="1:8" x14ac:dyDescent="0.2">
      <c r="A237" s="4">
        <v>5964</v>
      </c>
      <c r="B237" s="4" t="s">
        <v>49</v>
      </c>
      <c r="C237" s="4" t="s">
        <v>42</v>
      </c>
      <c r="D237" s="4">
        <f>VLOOKUP(A237,Orders!$A:$E,5,FALSE)</f>
        <v>9</v>
      </c>
      <c r="E237" s="4">
        <v>1098</v>
      </c>
      <c r="F237" s="4">
        <v>6</v>
      </c>
      <c r="G237" s="10">
        <f t="shared" si="3"/>
        <v>183</v>
      </c>
      <c r="H237" s="4">
        <v>3</v>
      </c>
    </row>
    <row r="238" spans="1:8" x14ac:dyDescent="0.2">
      <c r="A238" s="4">
        <v>5972</v>
      </c>
      <c r="B238" s="4" t="s">
        <v>49</v>
      </c>
      <c r="C238" s="4" t="s">
        <v>42</v>
      </c>
      <c r="D238" s="4">
        <f>VLOOKUP(A238,Orders!$A:$E,5,FALSE)</f>
        <v>6</v>
      </c>
      <c r="E238" s="4">
        <v>186</v>
      </c>
      <c r="F238" s="4">
        <v>9</v>
      </c>
      <c r="G238" s="10">
        <f t="shared" si="3"/>
        <v>20.666666666666668</v>
      </c>
      <c r="H238" s="4">
        <v>1</v>
      </c>
    </row>
    <row r="239" spans="1:8" x14ac:dyDescent="0.2">
      <c r="A239" s="4">
        <v>5993</v>
      </c>
      <c r="B239" s="4" t="s">
        <v>49</v>
      </c>
      <c r="C239" s="4" t="s">
        <v>42</v>
      </c>
      <c r="D239" s="4">
        <f>VLOOKUP(A239,Orders!$A:$E,5,FALSE)</f>
        <v>10</v>
      </c>
      <c r="E239" s="4">
        <v>1358</v>
      </c>
      <c r="F239" s="4">
        <v>24</v>
      </c>
      <c r="G239" s="10">
        <f t="shared" si="3"/>
        <v>56.583333333333336</v>
      </c>
      <c r="H239" s="4">
        <v>2</v>
      </c>
    </row>
    <row r="240" spans="1:8" x14ac:dyDescent="0.2">
      <c r="A240" s="4">
        <v>6012</v>
      </c>
      <c r="B240" s="4" t="s">
        <v>49</v>
      </c>
      <c r="C240" s="4" t="s">
        <v>42</v>
      </c>
      <c r="D240" s="4">
        <f>VLOOKUP(A240,Orders!$A:$E,5,FALSE)</f>
        <v>6</v>
      </c>
      <c r="E240" s="4">
        <v>1658</v>
      </c>
      <c r="F240" s="4">
        <v>21</v>
      </c>
      <c r="G240" s="10">
        <f t="shared" si="3"/>
        <v>78.952380952380949</v>
      </c>
      <c r="H240" s="4">
        <v>2</v>
      </c>
    </row>
    <row r="241" spans="1:8" x14ac:dyDescent="0.2">
      <c r="A241" s="4">
        <v>6062</v>
      </c>
      <c r="B241" s="4" t="s">
        <v>49</v>
      </c>
      <c r="C241" s="4" t="s">
        <v>42</v>
      </c>
      <c r="D241" s="4">
        <f>VLOOKUP(A241,Orders!$A:$E,5,FALSE)</f>
        <v>8</v>
      </c>
      <c r="E241" s="4">
        <v>1839</v>
      </c>
      <c r="F241" s="4">
        <v>5</v>
      </c>
      <c r="G241" s="10">
        <f t="shared" si="3"/>
        <v>367.8</v>
      </c>
      <c r="H241" s="4">
        <v>1</v>
      </c>
    </row>
    <row r="242" spans="1:8" x14ac:dyDescent="0.2">
      <c r="A242" s="4">
        <v>6065</v>
      </c>
      <c r="B242" s="4" t="s">
        <v>49</v>
      </c>
      <c r="C242" s="4" t="s">
        <v>42</v>
      </c>
      <c r="D242" s="4">
        <f>VLOOKUP(A242,Orders!$A:$E,5,FALSE)</f>
        <v>8</v>
      </c>
      <c r="E242" s="4">
        <v>225</v>
      </c>
      <c r="F242" s="4">
        <v>14</v>
      </c>
      <c r="G242" s="10">
        <f t="shared" si="3"/>
        <v>16.071428571428573</v>
      </c>
      <c r="H242" s="4">
        <v>1</v>
      </c>
    </row>
    <row r="243" spans="1:8" x14ac:dyDescent="0.2">
      <c r="A243" s="4">
        <v>6079</v>
      </c>
      <c r="B243" s="4" t="s">
        <v>49</v>
      </c>
      <c r="C243" s="4" t="s">
        <v>42</v>
      </c>
      <c r="D243" s="4">
        <f>VLOOKUP(A243,Orders!$A:$E,5,FALSE)</f>
        <v>9</v>
      </c>
      <c r="E243" s="4">
        <v>530</v>
      </c>
      <c r="F243" s="4">
        <v>21</v>
      </c>
      <c r="G243" s="10">
        <f t="shared" si="3"/>
        <v>25.238095238095237</v>
      </c>
      <c r="H243" s="4">
        <v>1</v>
      </c>
    </row>
    <row r="244" spans="1:8" x14ac:dyDescent="0.2">
      <c r="A244" s="4">
        <v>6129</v>
      </c>
      <c r="B244" s="4" t="s">
        <v>49</v>
      </c>
      <c r="C244" s="4" t="s">
        <v>42</v>
      </c>
      <c r="D244" s="4">
        <f>VLOOKUP(A244,Orders!$A:$E,5,FALSE)</f>
        <v>7</v>
      </c>
      <c r="E244" s="4">
        <v>1562</v>
      </c>
      <c r="F244" s="4">
        <v>16</v>
      </c>
      <c r="G244" s="10">
        <f t="shared" si="3"/>
        <v>97.625</v>
      </c>
      <c r="H244" s="4">
        <v>3</v>
      </c>
    </row>
    <row r="245" spans="1:8" x14ac:dyDescent="0.2">
      <c r="A245" s="4">
        <v>6172</v>
      </c>
      <c r="B245" s="4" t="s">
        <v>49</v>
      </c>
      <c r="C245" s="4" t="s">
        <v>42</v>
      </c>
      <c r="D245" s="4">
        <f>VLOOKUP(A245,Orders!$A:$E,5,FALSE)</f>
        <v>10</v>
      </c>
      <c r="E245" s="4">
        <v>1105</v>
      </c>
      <c r="F245" s="4">
        <v>6</v>
      </c>
      <c r="G245" s="10">
        <f t="shared" si="3"/>
        <v>184.16666666666666</v>
      </c>
      <c r="H245" s="4">
        <v>2</v>
      </c>
    </row>
    <row r="246" spans="1:8" x14ac:dyDescent="0.2">
      <c r="A246" s="4">
        <v>6193</v>
      </c>
      <c r="B246" s="4" t="s">
        <v>49</v>
      </c>
      <c r="C246" s="4" t="s">
        <v>42</v>
      </c>
      <c r="D246" s="4">
        <f>VLOOKUP(A246,Orders!$A:$E,5,FALSE)</f>
        <v>2</v>
      </c>
      <c r="E246" s="4">
        <v>1133</v>
      </c>
      <c r="F246" s="4">
        <v>23</v>
      </c>
      <c r="G246" s="10">
        <f t="shared" si="3"/>
        <v>49.260869565217391</v>
      </c>
      <c r="H246" s="4">
        <v>1</v>
      </c>
    </row>
    <row r="247" spans="1:8" x14ac:dyDescent="0.2">
      <c r="A247" s="4">
        <v>6196</v>
      </c>
      <c r="B247" s="4" t="s">
        <v>49</v>
      </c>
      <c r="C247" s="4" t="s">
        <v>42</v>
      </c>
      <c r="D247" s="4">
        <f>VLOOKUP(A247,Orders!$A:$E,5,FALSE)</f>
        <v>9</v>
      </c>
      <c r="E247" s="4">
        <v>1070</v>
      </c>
      <c r="F247" s="4">
        <v>20</v>
      </c>
      <c r="G247" s="10">
        <f t="shared" si="3"/>
        <v>53.5</v>
      </c>
      <c r="H247" s="4">
        <v>3</v>
      </c>
    </row>
    <row r="248" spans="1:8" x14ac:dyDescent="0.2">
      <c r="A248" s="4">
        <v>6225</v>
      </c>
      <c r="B248" s="4" t="s">
        <v>49</v>
      </c>
      <c r="C248" s="4" t="s">
        <v>42</v>
      </c>
      <c r="D248" s="4">
        <f>VLOOKUP(A248,Orders!$A:$E,5,FALSE)</f>
        <v>9</v>
      </c>
      <c r="E248" s="4">
        <v>876</v>
      </c>
      <c r="F248" s="4">
        <v>4</v>
      </c>
      <c r="G248" s="10">
        <f t="shared" si="3"/>
        <v>219</v>
      </c>
      <c r="H248" s="4">
        <v>1</v>
      </c>
    </row>
    <row r="249" spans="1:8" x14ac:dyDescent="0.2">
      <c r="A249" s="4">
        <v>6239</v>
      </c>
      <c r="B249" s="4" t="s">
        <v>49</v>
      </c>
      <c r="C249" s="4" t="s">
        <v>42</v>
      </c>
      <c r="D249" s="4">
        <f>VLOOKUP(A249,Orders!$A:$E,5,FALSE)</f>
        <v>6</v>
      </c>
      <c r="E249" s="4">
        <v>1555</v>
      </c>
      <c r="F249" s="4">
        <v>3</v>
      </c>
      <c r="G249" s="10">
        <f t="shared" si="3"/>
        <v>518.33333333333337</v>
      </c>
      <c r="H249" s="4">
        <v>1</v>
      </c>
    </row>
    <row r="250" spans="1:8" x14ac:dyDescent="0.2">
      <c r="A250" s="4">
        <v>6270</v>
      </c>
      <c r="B250" s="4" t="s">
        <v>49</v>
      </c>
      <c r="C250" s="4" t="s">
        <v>42</v>
      </c>
      <c r="D250" s="4">
        <f>VLOOKUP(A250,Orders!$A:$E,5,FALSE)</f>
        <v>7</v>
      </c>
      <c r="E250" s="4">
        <v>1911</v>
      </c>
      <c r="F250" s="4">
        <v>5</v>
      </c>
      <c r="G250" s="10">
        <f t="shared" si="3"/>
        <v>382.2</v>
      </c>
      <c r="H250" s="4">
        <v>2</v>
      </c>
    </row>
    <row r="251" spans="1:8" x14ac:dyDescent="0.2">
      <c r="A251" s="4">
        <v>6283</v>
      </c>
      <c r="B251" s="4" t="s">
        <v>49</v>
      </c>
      <c r="C251" s="4" t="s">
        <v>42</v>
      </c>
      <c r="D251" s="4">
        <f>VLOOKUP(A251,Orders!$A:$E,5,FALSE)</f>
        <v>8</v>
      </c>
      <c r="E251" s="4">
        <v>54</v>
      </c>
      <c r="F251" s="4">
        <v>17</v>
      </c>
      <c r="G251" s="10">
        <f t="shared" si="3"/>
        <v>3.1764705882352939</v>
      </c>
      <c r="H251" s="4">
        <v>2</v>
      </c>
    </row>
    <row r="252" spans="1:8" x14ac:dyDescent="0.2">
      <c r="A252" s="4">
        <v>6300</v>
      </c>
      <c r="B252" s="4" t="s">
        <v>49</v>
      </c>
      <c r="C252" s="4" t="s">
        <v>42</v>
      </c>
      <c r="D252" s="4">
        <f>VLOOKUP(A252,Orders!$A:$E,5,FALSE)</f>
        <v>3</v>
      </c>
      <c r="E252" s="4">
        <v>561</v>
      </c>
      <c r="F252" s="4">
        <v>20</v>
      </c>
      <c r="G252" s="10">
        <f t="shared" si="3"/>
        <v>28.05</v>
      </c>
      <c r="H252" s="4">
        <v>1</v>
      </c>
    </row>
    <row r="253" spans="1:8" x14ac:dyDescent="0.2">
      <c r="A253" s="4">
        <v>6303</v>
      </c>
      <c r="B253" s="4" t="s">
        <v>49</v>
      </c>
      <c r="C253" s="4" t="s">
        <v>42</v>
      </c>
      <c r="D253" s="4">
        <f>VLOOKUP(A253,Orders!$A:$E,5,FALSE)</f>
        <v>2</v>
      </c>
      <c r="E253" s="4">
        <v>128</v>
      </c>
      <c r="F253" s="4">
        <v>9</v>
      </c>
      <c r="G253" s="10">
        <f t="shared" si="3"/>
        <v>14.222222222222221</v>
      </c>
      <c r="H253" s="4">
        <v>2</v>
      </c>
    </row>
    <row r="254" spans="1:8" x14ac:dyDescent="0.2">
      <c r="A254" s="4">
        <v>6329</v>
      </c>
      <c r="B254" s="4" t="s">
        <v>49</v>
      </c>
      <c r="C254" s="4" t="s">
        <v>42</v>
      </c>
      <c r="D254" s="4">
        <f>VLOOKUP(A254,Orders!$A:$E,5,FALSE)</f>
        <v>8</v>
      </c>
      <c r="E254" s="4">
        <v>1347</v>
      </c>
      <c r="F254" s="4">
        <v>6</v>
      </c>
      <c r="G254" s="10">
        <f t="shared" si="3"/>
        <v>224.5</v>
      </c>
      <c r="H254" s="4">
        <v>2</v>
      </c>
    </row>
    <row r="255" spans="1:8" x14ac:dyDescent="0.2">
      <c r="A255" s="4">
        <v>6346</v>
      </c>
      <c r="B255" s="4" t="s">
        <v>49</v>
      </c>
      <c r="C255" s="4" t="s">
        <v>42</v>
      </c>
      <c r="D255" s="4">
        <f>VLOOKUP(A255,Orders!$A:$E,5,FALSE)</f>
        <v>2</v>
      </c>
      <c r="E255" s="4">
        <v>569</v>
      </c>
      <c r="F255" s="4">
        <v>10</v>
      </c>
      <c r="G255" s="10">
        <f t="shared" si="3"/>
        <v>56.9</v>
      </c>
      <c r="H255" s="4">
        <v>1</v>
      </c>
    </row>
    <row r="256" spans="1:8" x14ac:dyDescent="0.2">
      <c r="A256" s="4">
        <v>6360</v>
      </c>
      <c r="B256" s="4" t="s">
        <v>49</v>
      </c>
      <c r="C256" s="4" t="s">
        <v>42</v>
      </c>
      <c r="D256" s="4">
        <f>VLOOKUP(A256,Orders!$A:$E,5,FALSE)</f>
        <v>8</v>
      </c>
      <c r="E256" s="4">
        <v>479</v>
      </c>
      <c r="F256" s="4">
        <v>2</v>
      </c>
      <c r="G256" s="10">
        <f t="shared" si="3"/>
        <v>239.5</v>
      </c>
      <c r="H256" s="4">
        <v>1</v>
      </c>
    </row>
    <row r="257" spans="1:8" x14ac:dyDescent="0.2">
      <c r="A257" s="4">
        <v>6366</v>
      </c>
      <c r="B257" s="4" t="s">
        <v>49</v>
      </c>
      <c r="C257" s="4" t="s">
        <v>42</v>
      </c>
      <c r="D257" s="4">
        <f>VLOOKUP(A257,Orders!$A:$E,5,FALSE)</f>
        <v>7</v>
      </c>
      <c r="E257" s="4">
        <v>949</v>
      </c>
      <c r="F257" s="4">
        <v>5</v>
      </c>
      <c r="G257" s="10">
        <f t="shared" si="3"/>
        <v>189.8</v>
      </c>
      <c r="H257" s="4">
        <v>2</v>
      </c>
    </row>
    <row r="258" spans="1:8" x14ac:dyDescent="0.2">
      <c r="A258" s="4">
        <v>6380</v>
      </c>
      <c r="B258" s="4" t="s">
        <v>49</v>
      </c>
      <c r="C258" s="4" t="s">
        <v>42</v>
      </c>
      <c r="D258" s="4">
        <f>VLOOKUP(A258,Orders!$A:$E,5,FALSE)</f>
        <v>2</v>
      </c>
      <c r="E258" s="4">
        <v>1537</v>
      </c>
      <c r="F258" s="4">
        <v>23</v>
      </c>
      <c r="G258" s="10">
        <f t="shared" ref="G258:G321" si="4">E258/F258</f>
        <v>66.826086956521735</v>
      </c>
      <c r="H258" s="4">
        <v>2</v>
      </c>
    </row>
    <row r="259" spans="1:8" x14ac:dyDescent="0.2">
      <c r="A259" s="4">
        <v>6406</v>
      </c>
      <c r="B259" s="4" t="s">
        <v>49</v>
      </c>
      <c r="C259" s="4" t="s">
        <v>42</v>
      </c>
      <c r="D259" s="4">
        <f>VLOOKUP(A259,Orders!$A:$E,5,FALSE)</f>
        <v>6</v>
      </c>
      <c r="E259" s="4">
        <v>1010</v>
      </c>
      <c r="F259" s="4">
        <v>6</v>
      </c>
      <c r="G259" s="10">
        <f t="shared" si="4"/>
        <v>168.33333333333334</v>
      </c>
      <c r="H259" s="4">
        <v>2</v>
      </c>
    </row>
    <row r="260" spans="1:8" x14ac:dyDescent="0.2">
      <c r="A260" s="4">
        <v>6423</v>
      </c>
      <c r="B260" s="4" t="s">
        <v>49</v>
      </c>
      <c r="C260" s="4" t="s">
        <v>42</v>
      </c>
      <c r="D260" s="4">
        <f>VLOOKUP(A260,Orders!$A:$E,5,FALSE)</f>
        <v>10</v>
      </c>
      <c r="E260" s="4">
        <v>1792</v>
      </c>
      <c r="F260" s="4">
        <v>10</v>
      </c>
      <c r="G260" s="10">
        <f t="shared" si="4"/>
        <v>179.2</v>
      </c>
      <c r="H260" s="4">
        <v>3</v>
      </c>
    </row>
    <row r="261" spans="1:8" x14ac:dyDescent="0.2">
      <c r="A261" s="4">
        <v>6434</v>
      </c>
      <c r="B261" s="4" t="s">
        <v>49</v>
      </c>
      <c r="C261" s="4" t="s">
        <v>42</v>
      </c>
      <c r="D261" s="4">
        <f>VLOOKUP(A261,Orders!$A:$E,5,FALSE)</f>
        <v>9</v>
      </c>
      <c r="E261" s="4">
        <v>398</v>
      </c>
      <c r="F261" s="4">
        <v>9</v>
      </c>
      <c r="G261" s="10">
        <f t="shared" si="4"/>
        <v>44.222222222222221</v>
      </c>
      <c r="H261" s="4">
        <v>3</v>
      </c>
    </row>
    <row r="262" spans="1:8" x14ac:dyDescent="0.2">
      <c r="A262" s="4">
        <v>6461</v>
      </c>
      <c r="B262" s="4" t="s">
        <v>49</v>
      </c>
      <c r="C262" s="4" t="s">
        <v>42</v>
      </c>
      <c r="D262" s="4">
        <f>VLOOKUP(A262,Orders!$A:$E,5,FALSE)</f>
        <v>3</v>
      </c>
      <c r="E262" s="4">
        <v>1497</v>
      </c>
      <c r="F262" s="4">
        <v>14</v>
      </c>
      <c r="G262" s="10">
        <f t="shared" si="4"/>
        <v>106.92857142857143</v>
      </c>
      <c r="H262" s="4">
        <v>1</v>
      </c>
    </row>
    <row r="263" spans="1:8" x14ac:dyDescent="0.2">
      <c r="A263" s="4">
        <v>6481</v>
      </c>
      <c r="B263" s="4" t="s">
        <v>49</v>
      </c>
      <c r="C263" s="4" t="s">
        <v>42</v>
      </c>
      <c r="D263" s="4">
        <f>VLOOKUP(A263,Orders!$A:$E,5,FALSE)</f>
        <v>8</v>
      </c>
      <c r="E263" s="4">
        <v>603</v>
      </c>
      <c r="F263" s="4">
        <v>15</v>
      </c>
      <c r="G263" s="10">
        <f t="shared" si="4"/>
        <v>40.200000000000003</v>
      </c>
      <c r="H263" s="4">
        <v>1</v>
      </c>
    </row>
    <row r="264" spans="1:8" x14ac:dyDescent="0.2">
      <c r="A264" s="4">
        <v>6494</v>
      </c>
      <c r="B264" s="4" t="s">
        <v>49</v>
      </c>
      <c r="C264" s="4" t="s">
        <v>42</v>
      </c>
      <c r="D264" s="4">
        <f>VLOOKUP(A264,Orders!$A:$E,5,FALSE)</f>
        <v>8</v>
      </c>
      <c r="E264" s="4">
        <v>1106</v>
      </c>
      <c r="F264" s="4">
        <v>10</v>
      </c>
      <c r="G264" s="10">
        <f t="shared" si="4"/>
        <v>110.6</v>
      </c>
      <c r="H264" s="4">
        <v>2</v>
      </c>
    </row>
    <row r="265" spans="1:8" x14ac:dyDescent="0.2">
      <c r="A265" s="4">
        <v>5021</v>
      </c>
      <c r="B265" s="4" t="s">
        <v>51</v>
      </c>
      <c r="C265" s="4" t="s">
        <v>42</v>
      </c>
      <c r="D265" s="4">
        <f>VLOOKUP(A265,Orders!$A:$E,5,FALSE)</f>
        <v>5</v>
      </c>
      <c r="E265" s="4">
        <v>1293</v>
      </c>
      <c r="F265" s="4">
        <v>2</v>
      </c>
      <c r="G265" s="10">
        <f t="shared" si="4"/>
        <v>646.5</v>
      </c>
      <c r="H265" s="4">
        <v>1</v>
      </c>
    </row>
    <row r="266" spans="1:8" x14ac:dyDescent="0.2">
      <c r="A266" s="4">
        <v>5043</v>
      </c>
      <c r="B266" s="4" t="s">
        <v>51</v>
      </c>
      <c r="C266" s="4" t="s">
        <v>42</v>
      </c>
      <c r="D266" s="4">
        <f>VLOOKUP(A266,Orders!$A:$E,5,FALSE)</f>
        <v>6</v>
      </c>
      <c r="E266" s="4">
        <v>281</v>
      </c>
      <c r="F266" s="4">
        <v>14</v>
      </c>
      <c r="G266" s="10">
        <f t="shared" si="4"/>
        <v>20.071428571428573</v>
      </c>
      <c r="H266" s="4">
        <v>3</v>
      </c>
    </row>
    <row r="267" spans="1:8" x14ac:dyDescent="0.2">
      <c r="A267" s="4">
        <v>5052</v>
      </c>
      <c r="B267" s="4" t="s">
        <v>51</v>
      </c>
      <c r="C267" s="4" t="s">
        <v>42</v>
      </c>
      <c r="D267" s="4">
        <f>VLOOKUP(A267,Orders!$A:$E,5,FALSE)</f>
        <v>5</v>
      </c>
      <c r="E267" s="4">
        <v>681</v>
      </c>
      <c r="F267" s="4">
        <v>14</v>
      </c>
      <c r="G267" s="10">
        <f t="shared" si="4"/>
        <v>48.642857142857146</v>
      </c>
      <c r="H267" s="4">
        <v>2</v>
      </c>
    </row>
    <row r="268" spans="1:8" x14ac:dyDescent="0.2">
      <c r="A268" s="4">
        <v>5073</v>
      </c>
      <c r="B268" s="4" t="s">
        <v>51</v>
      </c>
      <c r="C268" s="4" t="s">
        <v>42</v>
      </c>
      <c r="D268" s="4">
        <f>VLOOKUP(A268,Orders!$A:$E,5,FALSE)</f>
        <v>8</v>
      </c>
      <c r="E268" s="4">
        <v>289</v>
      </c>
      <c r="F268" s="4">
        <v>8</v>
      </c>
      <c r="G268" s="10">
        <f t="shared" si="4"/>
        <v>36.125</v>
      </c>
      <c r="H268" s="4">
        <v>3</v>
      </c>
    </row>
    <row r="269" spans="1:8" x14ac:dyDescent="0.2">
      <c r="A269" s="4">
        <v>5076</v>
      </c>
      <c r="B269" s="4" t="s">
        <v>51</v>
      </c>
      <c r="C269" s="4" t="s">
        <v>42</v>
      </c>
      <c r="D269" s="4">
        <f>VLOOKUP(A269,Orders!$A:$E,5,FALSE)</f>
        <v>6</v>
      </c>
      <c r="E269" s="4">
        <v>1276</v>
      </c>
      <c r="F269" s="4">
        <v>14</v>
      </c>
      <c r="G269" s="10">
        <f t="shared" si="4"/>
        <v>91.142857142857139</v>
      </c>
      <c r="H269" s="4">
        <v>3</v>
      </c>
    </row>
    <row r="270" spans="1:8" x14ac:dyDescent="0.2">
      <c r="A270" s="4">
        <v>5109</v>
      </c>
      <c r="B270" s="4" t="s">
        <v>51</v>
      </c>
      <c r="C270" s="4" t="s">
        <v>42</v>
      </c>
      <c r="D270" s="4">
        <f>VLOOKUP(A270,Orders!$A:$E,5,FALSE)</f>
        <v>10</v>
      </c>
      <c r="E270" s="4">
        <v>899</v>
      </c>
      <c r="F270" s="4">
        <v>4</v>
      </c>
      <c r="G270" s="10">
        <f t="shared" si="4"/>
        <v>224.75</v>
      </c>
      <c r="H270" s="4">
        <v>1</v>
      </c>
    </row>
    <row r="271" spans="1:8" x14ac:dyDescent="0.2">
      <c r="A271" s="4">
        <v>5110</v>
      </c>
      <c r="B271" s="4" t="s">
        <v>51</v>
      </c>
      <c r="C271" s="4" t="s">
        <v>42</v>
      </c>
      <c r="D271" s="4">
        <f>VLOOKUP(A271,Orders!$A:$E,5,FALSE)</f>
        <v>2</v>
      </c>
      <c r="E271" s="4">
        <v>1009</v>
      </c>
      <c r="F271" s="4">
        <v>11</v>
      </c>
      <c r="G271" s="10">
        <f t="shared" si="4"/>
        <v>91.727272727272734</v>
      </c>
      <c r="H271" s="4">
        <v>3</v>
      </c>
    </row>
    <row r="272" spans="1:8" x14ac:dyDescent="0.2">
      <c r="A272" s="4">
        <v>5112</v>
      </c>
      <c r="B272" s="4" t="s">
        <v>51</v>
      </c>
      <c r="C272" s="4" t="s">
        <v>42</v>
      </c>
      <c r="D272" s="4">
        <f>VLOOKUP(A272,Orders!$A:$E,5,FALSE)</f>
        <v>7</v>
      </c>
      <c r="E272" s="4">
        <v>1582</v>
      </c>
      <c r="F272" s="4">
        <v>19</v>
      </c>
      <c r="G272" s="10">
        <f t="shared" si="4"/>
        <v>83.263157894736835</v>
      </c>
      <c r="H272" s="4">
        <v>3</v>
      </c>
    </row>
    <row r="273" spans="1:8" x14ac:dyDescent="0.2">
      <c r="A273" s="4">
        <v>5119</v>
      </c>
      <c r="B273" s="4" t="s">
        <v>51</v>
      </c>
      <c r="C273" s="4" t="s">
        <v>42</v>
      </c>
      <c r="D273" s="4">
        <f>VLOOKUP(A273,Orders!$A:$E,5,FALSE)</f>
        <v>5</v>
      </c>
      <c r="E273" s="4">
        <v>1536</v>
      </c>
      <c r="F273" s="4">
        <v>12</v>
      </c>
      <c r="G273" s="10">
        <f t="shared" si="4"/>
        <v>128</v>
      </c>
      <c r="H273" s="4">
        <v>1</v>
      </c>
    </row>
    <row r="274" spans="1:8" x14ac:dyDescent="0.2">
      <c r="A274" s="4">
        <v>5138</v>
      </c>
      <c r="B274" s="4" t="s">
        <v>51</v>
      </c>
      <c r="C274" s="4" t="s">
        <v>42</v>
      </c>
      <c r="D274" s="4">
        <f>VLOOKUP(A274,Orders!$A:$E,5,FALSE)</f>
        <v>5</v>
      </c>
      <c r="E274" s="4">
        <v>213</v>
      </c>
      <c r="F274" s="4">
        <v>3</v>
      </c>
      <c r="G274" s="10">
        <f t="shared" si="4"/>
        <v>71</v>
      </c>
      <c r="H274" s="4">
        <v>3</v>
      </c>
    </row>
    <row r="275" spans="1:8" x14ac:dyDescent="0.2">
      <c r="A275" s="4">
        <v>5146</v>
      </c>
      <c r="B275" s="4" t="s">
        <v>51</v>
      </c>
      <c r="C275" s="4" t="s">
        <v>42</v>
      </c>
      <c r="D275" s="4">
        <f>VLOOKUP(A275,Orders!$A:$E,5,FALSE)</f>
        <v>9</v>
      </c>
      <c r="E275" s="4">
        <v>1198</v>
      </c>
      <c r="F275" s="4">
        <v>20</v>
      </c>
      <c r="G275" s="10">
        <f t="shared" si="4"/>
        <v>59.9</v>
      </c>
      <c r="H275" s="4">
        <v>3</v>
      </c>
    </row>
    <row r="276" spans="1:8" x14ac:dyDescent="0.2">
      <c r="A276" s="4">
        <v>5189</v>
      </c>
      <c r="B276" s="4" t="s">
        <v>51</v>
      </c>
      <c r="C276" s="4" t="s">
        <v>42</v>
      </c>
      <c r="D276" s="4">
        <f>VLOOKUP(A276,Orders!$A:$E,5,FALSE)</f>
        <v>7</v>
      </c>
      <c r="E276" s="4">
        <v>209</v>
      </c>
      <c r="F276" s="4">
        <v>17</v>
      </c>
      <c r="G276" s="10">
        <f t="shared" si="4"/>
        <v>12.294117647058824</v>
      </c>
      <c r="H276" s="4">
        <v>2</v>
      </c>
    </row>
    <row r="277" spans="1:8" x14ac:dyDescent="0.2">
      <c r="A277" s="4">
        <v>5234</v>
      </c>
      <c r="B277" s="4" t="s">
        <v>51</v>
      </c>
      <c r="C277" s="4" t="s">
        <v>42</v>
      </c>
      <c r="D277" s="4">
        <f>VLOOKUP(A277,Orders!$A:$E,5,FALSE)</f>
        <v>9</v>
      </c>
      <c r="E277" s="4">
        <v>1539</v>
      </c>
      <c r="F277" s="4">
        <v>22</v>
      </c>
      <c r="G277" s="10">
        <f t="shared" si="4"/>
        <v>69.954545454545453</v>
      </c>
      <c r="H277" s="4">
        <v>1</v>
      </c>
    </row>
    <row r="278" spans="1:8" x14ac:dyDescent="0.2">
      <c r="A278" s="4">
        <v>5235</v>
      </c>
      <c r="B278" s="4" t="s">
        <v>51</v>
      </c>
      <c r="C278" s="4" t="s">
        <v>42</v>
      </c>
      <c r="D278" s="4">
        <f>VLOOKUP(A278,Orders!$A:$E,5,FALSE)</f>
        <v>3</v>
      </c>
      <c r="E278" s="4">
        <v>1619</v>
      </c>
      <c r="F278" s="4">
        <v>17</v>
      </c>
      <c r="G278" s="10">
        <f t="shared" si="4"/>
        <v>95.235294117647058</v>
      </c>
      <c r="H278" s="4">
        <v>3</v>
      </c>
    </row>
    <row r="279" spans="1:8" x14ac:dyDescent="0.2">
      <c r="A279" s="4">
        <v>5282</v>
      </c>
      <c r="B279" s="4" t="s">
        <v>51</v>
      </c>
      <c r="C279" s="4" t="s">
        <v>42</v>
      </c>
      <c r="D279" s="4">
        <f>VLOOKUP(A279,Orders!$A:$E,5,FALSE)</f>
        <v>2</v>
      </c>
      <c r="E279" s="4">
        <v>1711</v>
      </c>
      <c r="F279" s="4">
        <v>16</v>
      </c>
      <c r="G279" s="10">
        <f t="shared" si="4"/>
        <v>106.9375</v>
      </c>
      <c r="H279" s="4">
        <v>1</v>
      </c>
    </row>
    <row r="280" spans="1:8" x14ac:dyDescent="0.2">
      <c r="A280" s="4">
        <v>5299</v>
      </c>
      <c r="B280" s="4" t="s">
        <v>51</v>
      </c>
      <c r="C280" s="4" t="s">
        <v>42</v>
      </c>
      <c r="D280" s="4">
        <f>VLOOKUP(A280,Orders!$A:$E,5,FALSE)</f>
        <v>8</v>
      </c>
      <c r="E280" s="4">
        <v>1829</v>
      </c>
      <c r="F280" s="4">
        <v>24</v>
      </c>
      <c r="G280" s="10">
        <f t="shared" si="4"/>
        <v>76.208333333333329</v>
      </c>
      <c r="H280" s="4">
        <v>3</v>
      </c>
    </row>
    <row r="281" spans="1:8" x14ac:dyDescent="0.2">
      <c r="A281" s="4">
        <v>5310</v>
      </c>
      <c r="B281" s="4" t="s">
        <v>51</v>
      </c>
      <c r="C281" s="4" t="s">
        <v>42</v>
      </c>
      <c r="D281" s="4">
        <f>VLOOKUP(A281,Orders!$A:$E,5,FALSE)</f>
        <v>5</v>
      </c>
      <c r="E281" s="4">
        <v>1632</v>
      </c>
      <c r="F281" s="4">
        <v>16</v>
      </c>
      <c r="G281" s="10">
        <f t="shared" si="4"/>
        <v>102</v>
      </c>
      <c r="H281" s="4">
        <v>3</v>
      </c>
    </row>
    <row r="282" spans="1:8" x14ac:dyDescent="0.2">
      <c r="A282" s="4">
        <v>5343</v>
      </c>
      <c r="B282" s="4" t="s">
        <v>51</v>
      </c>
      <c r="C282" s="4" t="s">
        <v>42</v>
      </c>
      <c r="D282" s="4">
        <f>VLOOKUP(A282,Orders!$A:$E,5,FALSE)</f>
        <v>3</v>
      </c>
      <c r="E282" s="4">
        <v>1968</v>
      </c>
      <c r="F282" s="4">
        <v>22</v>
      </c>
      <c r="G282" s="10">
        <f t="shared" si="4"/>
        <v>89.454545454545453</v>
      </c>
      <c r="H282" s="4">
        <v>2</v>
      </c>
    </row>
    <row r="283" spans="1:8" x14ac:dyDescent="0.2">
      <c r="A283" s="4">
        <v>5355</v>
      </c>
      <c r="B283" s="4" t="s">
        <v>51</v>
      </c>
      <c r="C283" s="4" t="s">
        <v>42</v>
      </c>
      <c r="D283" s="4">
        <f>VLOOKUP(A283,Orders!$A:$E,5,FALSE)</f>
        <v>6</v>
      </c>
      <c r="E283" s="4">
        <v>488</v>
      </c>
      <c r="F283" s="4">
        <v>10</v>
      </c>
      <c r="G283" s="10">
        <f t="shared" si="4"/>
        <v>48.8</v>
      </c>
      <c r="H283" s="4">
        <v>2</v>
      </c>
    </row>
    <row r="284" spans="1:8" x14ac:dyDescent="0.2">
      <c r="A284" s="4">
        <v>5359</v>
      </c>
      <c r="B284" s="4" t="s">
        <v>51</v>
      </c>
      <c r="C284" s="4" t="s">
        <v>42</v>
      </c>
      <c r="D284" s="4">
        <f>VLOOKUP(A284,Orders!$A:$E,5,FALSE)</f>
        <v>5</v>
      </c>
      <c r="E284" s="4">
        <v>1342</v>
      </c>
      <c r="F284" s="4">
        <v>6</v>
      </c>
      <c r="G284" s="10">
        <f t="shared" si="4"/>
        <v>223.66666666666666</v>
      </c>
      <c r="H284" s="4">
        <v>2</v>
      </c>
    </row>
    <row r="285" spans="1:8" x14ac:dyDescent="0.2">
      <c r="A285" s="4">
        <v>5377</v>
      </c>
      <c r="B285" s="4" t="s">
        <v>51</v>
      </c>
      <c r="C285" s="4" t="s">
        <v>42</v>
      </c>
      <c r="D285" s="4">
        <f>VLOOKUP(A285,Orders!$A:$E,5,FALSE)</f>
        <v>7</v>
      </c>
      <c r="E285" s="4">
        <v>702</v>
      </c>
      <c r="F285" s="4">
        <v>8</v>
      </c>
      <c r="G285" s="10">
        <f t="shared" si="4"/>
        <v>87.75</v>
      </c>
      <c r="H285" s="4">
        <v>3</v>
      </c>
    </row>
    <row r="286" spans="1:8" x14ac:dyDescent="0.2">
      <c r="A286" s="4">
        <v>5382</v>
      </c>
      <c r="B286" s="4" t="s">
        <v>51</v>
      </c>
      <c r="C286" s="4" t="s">
        <v>42</v>
      </c>
      <c r="D286" s="4">
        <f>VLOOKUP(A286,Orders!$A:$E,5,FALSE)</f>
        <v>5</v>
      </c>
      <c r="E286" s="4">
        <v>1197</v>
      </c>
      <c r="F286" s="4">
        <v>12</v>
      </c>
      <c r="G286" s="10">
        <f t="shared" si="4"/>
        <v>99.75</v>
      </c>
      <c r="H286" s="4">
        <v>3</v>
      </c>
    </row>
    <row r="287" spans="1:8" x14ac:dyDescent="0.2">
      <c r="A287" s="4">
        <v>5386</v>
      </c>
      <c r="B287" s="4" t="s">
        <v>51</v>
      </c>
      <c r="C287" s="4" t="s">
        <v>42</v>
      </c>
      <c r="D287" s="4">
        <f>VLOOKUP(A287,Orders!$A:$E,5,FALSE)</f>
        <v>2</v>
      </c>
      <c r="E287" s="4">
        <v>973</v>
      </c>
      <c r="F287" s="4">
        <v>16</v>
      </c>
      <c r="G287" s="10">
        <f t="shared" si="4"/>
        <v>60.8125</v>
      </c>
      <c r="H287" s="4">
        <v>3</v>
      </c>
    </row>
    <row r="288" spans="1:8" x14ac:dyDescent="0.2">
      <c r="A288" s="4">
        <v>5404</v>
      </c>
      <c r="B288" s="4" t="s">
        <v>51</v>
      </c>
      <c r="C288" s="4" t="s">
        <v>42</v>
      </c>
      <c r="D288" s="4">
        <f>VLOOKUP(A288,Orders!$A:$E,5,FALSE)</f>
        <v>7</v>
      </c>
      <c r="E288" s="4">
        <v>1555</v>
      </c>
      <c r="F288" s="4">
        <v>12</v>
      </c>
      <c r="G288" s="10">
        <f t="shared" si="4"/>
        <v>129.58333333333334</v>
      </c>
      <c r="H288" s="4">
        <v>2</v>
      </c>
    </row>
    <row r="289" spans="1:8" x14ac:dyDescent="0.2">
      <c r="A289" s="4">
        <v>5406</v>
      </c>
      <c r="B289" s="4" t="s">
        <v>51</v>
      </c>
      <c r="C289" s="4" t="s">
        <v>42</v>
      </c>
      <c r="D289" s="4">
        <f>VLOOKUP(A289,Orders!$A:$E,5,FALSE)</f>
        <v>9</v>
      </c>
      <c r="E289" s="4">
        <v>1061</v>
      </c>
      <c r="F289" s="4">
        <v>5</v>
      </c>
      <c r="G289" s="10">
        <f t="shared" si="4"/>
        <v>212.2</v>
      </c>
      <c r="H289" s="4">
        <v>2</v>
      </c>
    </row>
    <row r="290" spans="1:8" x14ac:dyDescent="0.2">
      <c r="A290" s="4">
        <v>5409</v>
      </c>
      <c r="B290" s="4" t="s">
        <v>51</v>
      </c>
      <c r="C290" s="4" t="s">
        <v>42</v>
      </c>
      <c r="D290" s="4">
        <f>VLOOKUP(A290,Orders!$A:$E,5,FALSE)</f>
        <v>5</v>
      </c>
      <c r="E290" s="4">
        <v>489</v>
      </c>
      <c r="F290" s="4">
        <v>24</v>
      </c>
      <c r="G290" s="10">
        <f t="shared" si="4"/>
        <v>20.375</v>
      </c>
      <c r="H290" s="4">
        <v>1</v>
      </c>
    </row>
    <row r="291" spans="1:8" x14ac:dyDescent="0.2">
      <c r="A291" s="4">
        <v>5485</v>
      </c>
      <c r="B291" s="4" t="s">
        <v>51</v>
      </c>
      <c r="C291" s="4" t="s">
        <v>42</v>
      </c>
      <c r="D291" s="4">
        <f>VLOOKUP(A291,Orders!$A:$E,5,FALSE)</f>
        <v>2</v>
      </c>
      <c r="E291" s="4">
        <v>754</v>
      </c>
      <c r="F291" s="4">
        <v>23</v>
      </c>
      <c r="G291" s="10">
        <f t="shared" si="4"/>
        <v>32.782608695652172</v>
      </c>
      <c r="H291" s="4">
        <v>2</v>
      </c>
    </row>
    <row r="292" spans="1:8" x14ac:dyDescent="0.2">
      <c r="A292" s="4">
        <v>5494</v>
      </c>
      <c r="B292" s="4" t="s">
        <v>51</v>
      </c>
      <c r="C292" s="4" t="s">
        <v>42</v>
      </c>
      <c r="D292" s="4">
        <f>VLOOKUP(A292,Orders!$A:$E,5,FALSE)</f>
        <v>5</v>
      </c>
      <c r="E292" s="4">
        <v>710</v>
      </c>
      <c r="F292" s="4">
        <v>16</v>
      </c>
      <c r="G292" s="10">
        <f t="shared" si="4"/>
        <v>44.375</v>
      </c>
      <c r="H292" s="4">
        <v>2</v>
      </c>
    </row>
    <row r="293" spans="1:8" x14ac:dyDescent="0.2">
      <c r="A293" s="4">
        <v>5499</v>
      </c>
      <c r="B293" s="4" t="s">
        <v>51</v>
      </c>
      <c r="C293" s="4" t="s">
        <v>42</v>
      </c>
      <c r="D293" s="4">
        <f>VLOOKUP(A293,Orders!$A:$E,5,FALSE)</f>
        <v>2</v>
      </c>
      <c r="E293" s="4">
        <v>318</v>
      </c>
      <c r="F293" s="4">
        <v>24</v>
      </c>
      <c r="G293" s="10">
        <f t="shared" si="4"/>
        <v>13.25</v>
      </c>
      <c r="H293" s="4">
        <v>2</v>
      </c>
    </row>
    <row r="294" spans="1:8" x14ac:dyDescent="0.2">
      <c r="A294" s="4">
        <v>5513</v>
      </c>
      <c r="B294" s="4" t="s">
        <v>51</v>
      </c>
      <c r="C294" s="4" t="s">
        <v>42</v>
      </c>
      <c r="D294" s="4">
        <f>VLOOKUP(A294,Orders!$A:$E,5,FALSE)</f>
        <v>2</v>
      </c>
      <c r="E294" s="4">
        <v>234</v>
      </c>
      <c r="F294" s="4">
        <v>21</v>
      </c>
      <c r="G294" s="10">
        <f t="shared" si="4"/>
        <v>11.142857142857142</v>
      </c>
      <c r="H294" s="4">
        <v>1</v>
      </c>
    </row>
    <row r="295" spans="1:8" x14ac:dyDescent="0.2">
      <c r="A295" s="4">
        <v>5579</v>
      </c>
      <c r="B295" s="4" t="s">
        <v>51</v>
      </c>
      <c r="C295" s="4" t="s">
        <v>42</v>
      </c>
      <c r="D295" s="4">
        <f>VLOOKUP(A295,Orders!$A:$E,5,FALSE)</f>
        <v>7</v>
      </c>
      <c r="E295" s="4">
        <v>1118</v>
      </c>
      <c r="F295" s="4">
        <v>11</v>
      </c>
      <c r="G295" s="10">
        <f t="shared" si="4"/>
        <v>101.63636363636364</v>
      </c>
      <c r="H295" s="4">
        <v>2</v>
      </c>
    </row>
    <row r="296" spans="1:8" x14ac:dyDescent="0.2">
      <c r="A296" s="4">
        <v>5601</v>
      </c>
      <c r="B296" s="4" t="s">
        <v>51</v>
      </c>
      <c r="C296" s="4" t="s">
        <v>42</v>
      </c>
      <c r="D296" s="4">
        <f>VLOOKUP(A296,Orders!$A:$E,5,FALSE)</f>
        <v>2</v>
      </c>
      <c r="E296" s="4">
        <v>1424</v>
      </c>
      <c r="F296" s="4">
        <v>21</v>
      </c>
      <c r="G296" s="10">
        <f t="shared" si="4"/>
        <v>67.80952380952381</v>
      </c>
      <c r="H296" s="4">
        <v>2</v>
      </c>
    </row>
    <row r="297" spans="1:8" x14ac:dyDescent="0.2">
      <c r="A297" s="4">
        <v>5622</v>
      </c>
      <c r="B297" s="4" t="s">
        <v>51</v>
      </c>
      <c r="C297" s="4" t="s">
        <v>42</v>
      </c>
      <c r="D297" s="4">
        <f>VLOOKUP(A297,Orders!$A:$E,5,FALSE)</f>
        <v>5</v>
      </c>
      <c r="E297" s="4">
        <v>979</v>
      </c>
      <c r="F297" s="4">
        <v>9</v>
      </c>
      <c r="G297" s="10">
        <f t="shared" si="4"/>
        <v>108.77777777777777</v>
      </c>
      <c r="H297" s="4">
        <v>3</v>
      </c>
    </row>
    <row r="298" spans="1:8" x14ac:dyDescent="0.2">
      <c r="A298" s="4">
        <v>5632</v>
      </c>
      <c r="B298" s="4" t="s">
        <v>51</v>
      </c>
      <c r="C298" s="4" t="s">
        <v>42</v>
      </c>
      <c r="D298" s="4">
        <f>VLOOKUP(A298,Orders!$A:$E,5,FALSE)</f>
        <v>4</v>
      </c>
      <c r="E298" s="4">
        <v>1433</v>
      </c>
      <c r="F298" s="4">
        <v>9</v>
      </c>
      <c r="G298" s="10">
        <f t="shared" si="4"/>
        <v>159.22222222222223</v>
      </c>
      <c r="H298" s="4">
        <v>1</v>
      </c>
    </row>
    <row r="299" spans="1:8" x14ac:dyDescent="0.2">
      <c r="A299" s="4">
        <v>5650</v>
      </c>
      <c r="B299" s="4" t="s">
        <v>51</v>
      </c>
      <c r="C299" s="4" t="s">
        <v>42</v>
      </c>
      <c r="D299" s="4">
        <f>VLOOKUP(A299,Orders!$A:$E,5,FALSE)</f>
        <v>8</v>
      </c>
      <c r="E299" s="4">
        <v>771</v>
      </c>
      <c r="F299" s="4">
        <v>18</v>
      </c>
      <c r="G299" s="10">
        <f t="shared" si="4"/>
        <v>42.833333333333336</v>
      </c>
      <c r="H299" s="4">
        <v>2</v>
      </c>
    </row>
    <row r="300" spans="1:8" x14ac:dyDescent="0.2">
      <c r="A300" s="4">
        <v>5651</v>
      </c>
      <c r="B300" s="4" t="s">
        <v>51</v>
      </c>
      <c r="C300" s="4" t="s">
        <v>42</v>
      </c>
      <c r="D300" s="4">
        <f>VLOOKUP(A300,Orders!$A:$E,5,FALSE)</f>
        <v>5</v>
      </c>
      <c r="E300" s="4">
        <v>291</v>
      </c>
      <c r="F300" s="4">
        <v>13</v>
      </c>
      <c r="G300" s="10">
        <f t="shared" si="4"/>
        <v>22.384615384615383</v>
      </c>
      <c r="H300" s="4">
        <v>3</v>
      </c>
    </row>
    <row r="301" spans="1:8" x14ac:dyDescent="0.2">
      <c r="A301" s="4">
        <v>5663</v>
      </c>
      <c r="B301" s="4" t="s">
        <v>51</v>
      </c>
      <c r="C301" s="4" t="s">
        <v>42</v>
      </c>
      <c r="D301" s="4">
        <f>VLOOKUP(A301,Orders!$A:$E,5,FALSE)</f>
        <v>7</v>
      </c>
      <c r="E301" s="4">
        <v>1300</v>
      </c>
      <c r="F301" s="4">
        <v>18</v>
      </c>
      <c r="G301" s="10">
        <f t="shared" si="4"/>
        <v>72.222222222222229</v>
      </c>
      <c r="H301" s="4">
        <v>1</v>
      </c>
    </row>
    <row r="302" spans="1:8" x14ac:dyDescent="0.2">
      <c r="A302" s="4">
        <v>5670</v>
      </c>
      <c r="B302" s="4" t="s">
        <v>51</v>
      </c>
      <c r="C302" s="4" t="s">
        <v>42</v>
      </c>
      <c r="D302" s="4">
        <f>VLOOKUP(A302,Orders!$A:$E,5,FALSE)</f>
        <v>7</v>
      </c>
      <c r="E302" s="4">
        <v>1251</v>
      </c>
      <c r="F302" s="4">
        <v>15</v>
      </c>
      <c r="G302" s="10">
        <f t="shared" si="4"/>
        <v>83.4</v>
      </c>
      <c r="H302" s="4">
        <v>3</v>
      </c>
    </row>
    <row r="303" spans="1:8" x14ac:dyDescent="0.2">
      <c r="A303" s="4">
        <v>5674</v>
      </c>
      <c r="B303" s="4" t="s">
        <v>51</v>
      </c>
      <c r="C303" s="4" t="s">
        <v>42</v>
      </c>
      <c r="D303" s="4">
        <f>VLOOKUP(A303,Orders!$A:$E,5,FALSE)</f>
        <v>6</v>
      </c>
      <c r="E303" s="4">
        <v>1868</v>
      </c>
      <c r="F303" s="4">
        <v>3</v>
      </c>
      <c r="G303" s="10">
        <f t="shared" si="4"/>
        <v>622.66666666666663</v>
      </c>
      <c r="H303" s="4">
        <v>3</v>
      </c>
    </row>
    <row r="304" spans="1:8" x14ac:dyDescent="0.2">
      <c r="A304" s="4">
        <v>5679</v>
      </c>
      <c r="B304" s="4" t="s">
        <v>51</v>
      </c>
      <c r="C304" s="4" t="s">
        <v>42</v>
      </c>
      <c r="D304" s="4">
        <f>VLOOKUP(A304,Orders!$A:$E,5,FALSE)</f>
        <v>6</v>
      </c>
      <c r="E304" s="4">
        <v>1138</v>
      </c>
      <c r="F304" s="4">
        <v>8</v>
      </c>
      <c r="G304" s="10">
        <f t="shared" si="4"/>
        <v>142.25</v>
      </c>
      <c r="H304" s="4">
        <v>1</v>
      </c>
    </row>
    <row r="305" spans="1:8" x14ac:dyDescent="0.2">
      <c r="A305" s="4">
        <v>5685</v>
      </c>
      <c r="B305" s="4" t="s">
        <v>51</v>
      </c>
      <c r="C305" s="4" t="s">
        <v>42</v>
      </c>
      <c r="D305" s="4">
        <f>VLOOKUP(A305,Orders!$A:$E,5,FALSE)</f>
        <v>4</v>
      </c>
      <c r="E305" s="4">
        <v>48</v>
      </c>
      <c r="F305" s="4">
        <v>15</v>
      </c>
      <c r="G305" s="10">
        <f t="shared" si="4"/>
        <v>3.2</v>
      </c>
      <c r="H305" s="4">
        <v>3</v>
      </c>
    </row>
    <row r="306" spans="1:8" x14ac:dyDescent="0.2">
      <c r="A306" s="4">
        <v>5702</v>
      </c>
      <c r="B306" s="4" t="s">
        <v>51</v>
      </c>
      <c r="C306" s="4" t="s">
        <v>42</v>
      </c>
      <c r="D306" s="4">
        <f>VLOOKUP(A306,Orders!$A:$E,5,FALSE)</f>
        <v>7</v>
      </c>
      <c r="E306" s="4">
        <v>1156</v>
      </c>
      <c r="F306" s="4">
        <v>12</v>
      </c>
      <c r="G306" s="10">
        <f t="shared" si="4"/>
        <v>96.333333333333329</v>
      </c>
      <c r="H306" s="4">
        <v>3</v>
      </c>
    </row>
    <row r="307" spans="1:8" x14ac:dyDescent="0.2">
      <c r="A307" s="4">
        <v>5720</v>
      </c>
      <c r="B307" s="4" t="s">
        <v>51</v>
      </c>
      <c r="C307" s="4" t="s">
        <v>42</v>
      </c>
      <c r="D307" s="4">
        <f>VLOOKUP(A307,Orders!$A:$E,5,FALSE)</f>
        <v>6</v>
      </c>
      <c r="E307" s="4">
        <v>240</v>
      </c>
      <c r="F307" s="4">
        <v>10</v>
      </c>
      <c r="G307" s="10">
        <f t="shared" si="4"/>
        <v>24</v>
      </c>
      <c r="H307" s="4">
        <v>2</v>
      </c>
    </row>
    <row r="308" spans="1:8" x14ac:dyDescent="0.2">
      <c r="A308" s="4">
        <v>5724</v>
      </c>
      <c r="B308" s="4" t="s">
        <v>51</v>
      </c>
      <c r="C308" s="4" t="s">
        <v>42</v>
      </c>
      <c r="D308" s="4">
        <f>VLOOKUP(A308,Orders!$A:$E,5,FALSE)</f>
        <v>6</v>
      </c>
      <c r="E308" s="4">
        <v>310</v>
      </c>
      <c r="F308" s="4">
        <v>12</v>
      </c>
      <c r="G308" s="10">
        <f t="shared" si="4"/>
        <v>25.833333333333332</v>
      </c>
      <c r="H308" s="4">
        <v>3</v>
      </c>
    </row>
    <row r="309" spans="1:8" x14ac:dyDescent="0.2">
      <c r="A309" s="4">
        <v>5784</v>
      </c>
      <c r="B309" s="4" t="s">
        <v>51</v>
      </c>
      <c r="C309" s="4" t="s">
        <v>42</v>
      </c>
      <c r="D309" s="4">
        <f>VLOOKUP(A309,Orders!$A:$E,5,FALSE)</f>
        <v>8</v>
      </c>
      <c r="E309" s="4">
        <v>1591</v>
      </c>
      <c r="F309" s="4">
        <v>11</v>
      </c>
      <c r="G309" s="10">
        <f t="shared" si="4"/>
        <v>144.63636363636363</v>
      </c>
      <c r="H309" s="4">
        <v>1</v>
      </c>
    </row>
    <row r="310" spans="1:8" x14ac:dyDescent="0.2">
      <c r="A310" s="4">
        <v>5860</v>
      </c>
      <c r="B310" s="4" t="s">
        <v>51</v>
      </c>
      <c r="C310" s="4" t="s">
        <v>42</v>
      </c>
      <c r="D310" s="4">
        <f>VLOOKUP(A310,Orders!$A:$E,5,FALSE)</f>
        <v>7</v>
      </c>
      <c r="E310" s="4">
        <v>1111</v>
      </c>
      <c r="F310" s="4">
        <v>18</v>
      </c>
      <c r="G310" s="10">
        <f t="shared" si="4"/>
        <v>61.722222222222221</v>
      </c>
      <c r="H310" s="4">
        <v>3</v>
      </c>
    </row>
    <row r="311" spans="1:8" x14ac:dyDescent="0.2">
      <c r="A311" s="4">
        <v>5864</v>
      </c>
      <c r="B311" s="4" t="s">
        <v>51</v>
      </c>
      <c r="C311" s="4" t="s">
        <v>42</v>
      </c>
      <c r="D311" s="4">
        <f>VLOOKUP(A311,Orders!$A:$E,5,FALSE)</f>
        <v>6</v>
      </c>
      <c r="E311" s="4">
        <v>560</v>
      </c>
      <c r="F311" s="4">
        <v>21</v>
      </c>
      <c r="G311" s="10">
        <f t="shared" si="4"/>
        <v>26.666666666666668</v>
      </c>
      <c r="H311" s="4">
        <v>2</v>
      </c>
    </row>
    <row r="312" spans="1:8" x14ac:dyDescent="0.2">
      <c r="A312" s="4">
        <v>5871</v>
      </c>
      <c r="B312" s="4" t="s">
        <v>51</v>
      </c>
      <c r="C312" s="4" t="s">
        <v>42</v>
      </c>
      <c r="D312" s="4">
        <f>VLOOKUP(A312,Orders!$A:$E,5,FALSE)</f>
        <v>5</v>
      </c>
      <c r="E312" s="4">
        <v>1929</v>
      </c>
      <c r="F312" s="4">
        <v>20</v>
      </c>
      <c r="G312" s="10">
        <f t="shared" si="4"/>
        <v>96.45</v>
      </c>
      <c r="H312" s="4">
        <v>2</v>
      </c>
    </row>
    <row r="313" spans="1:8" x14ac:dyDescent="0.2">
      <c r="A313" s="4">
        <v>5908</v>
      </c>
      <c r="B313" s="4" t="s">
        <v>51</v>
      </c>
      <c r="C313" s="4" t="s">
        <v>42</v>
      </c>
      <c r="D313" s="4">
        <f>VLOOKUP(A313,Orders!$A:$E,5,FALSE)</f>
        <v>6</v>
      </c>
      <c r="E313" s="4">
        <v>733</v>
      </c>
      <c r="F313" s="4">
        <v>9</v>
      </c>
      <c r="G313" s="10">
        <f t="shared" si="4"/>
        <v>81.444444444444443</v>
      </c>
      <c r="H313" s="4">
        <v>2</v>
      </c>
    </row>
    <row r="314" spans="1:8" x14ac:dyDescent="0.2">
      <c r="A314" s="4">
        <v>5934</v>
      </c>
      <c r="B314" s="4" t="s">
        <v>51</v>
      </c>
      <c r="C314" s="4" t="s">
        <v>42</v>
      </c>
      <c r="D314" s="4">
        <f>VLOOKUP(A314,Orders!$A:$E,5,FALSE)</f>
        <v>4</v>
      </c>
      <c r="E314" s="4">
        <v>785</v>
      </c>
      <c r="F314" s="4">
        <v>2</v>
      </c>
      <c r="G314" s="10">
        <f t="shared" si="4"/>
        <v>392.5</v>
      </c>
      <c r="H314" s="4">
        <v>2</v>
      </c>
    </row>
    <row r="315" spans="1:8" x14ac:dyDescent="0.2">
      <c r="A315" s="4">
        <v>5950</v>
      </c>
      <c r="B315" s="4" t="s">
        <v>51</v>
      </c>
      <c r="C315" s="4" t="s">
        <v>42</v>
      </c>
      <c r="D315" s="4">
        <f>VLOOKUP(A315,Orders!$A:$E,5,FALSE)</f>
        <v>4</v>
      </c>
      <c r="E315" s="4">
        <v>1293</v>
      </c>
      <c r="F315" s="4">
        <v>12</v>
      </c>
      <c r="G315" s="10">
        <f t="shared" si="4"/>
        <v>107.75</v>
      </c>
      <c r="H315" s="4">
        <v>2</v>
      </c>
    </row>
    <row r="316" spans="1:8" x14ac:dyDescent="0.2">
      <c r="A316" s="4">
        <v>5954</v>
      </c>
      <c r="B316" s="4" t="s">
        <v>51</v>
      </c>
      <c r="C316" s="4" t="s">
        <v>42</v>
      </c>
      <c r="D316" s="4">
        <f>VLOOKUP(A316,Orders!$A:$E,5,FALSE)</f>
        <v>7</v>
      </c>
      <c r="E316" s="4">
        <v>314</v>
      </c>
      <c r="F316" s="4">
        <v>6</v>
      </c>
      <c r="G316" s="10">
        <f t="shared" si="4"/>
        <v>52.333333333333336</v>
      </c>
      <c r="H316" s="4">
        <v>1</v>
      </c>
    </row>
    <row r="317" spans="1:8" x14ac:dyDescent="0.2">
      <c r="A317" s="4">
        <v>5966</v>
      </c>
      <c r="B317" s="4" t="s">
        <v>51</v>
      </c>
      <c r="C317" s="4" t="s">
        <v>42</v>
      </c>
      <c r="D317" s="4">
        <f>VLOOKUP(A317,Orders!$A:$E,5,FALSE)</f>
        <v>4</v>
      </c>
      <c r="E317" s="4">
        <v>692</v>
      </c>
      <c r="F317" s="4">
        <v>18</v>
      </c>
      <c r="G317" s="10">
        <f t="shared" si="4"/>
        <v>38.444444444444443</v>
      </c>
      <c r="H317" s="4">
        <v>2</v>
      </c>
    </row>
    <row r="318" spans="1:8" x14ac:dyDescent="0.2">
      <c r="A318" s="4">
        <v>6005</v>
      </c>
      <c r="B318" s="4" t="s">
        <v>51</v>
      </c>
      <c r="C318" s="4" t="s">
        <v>42</v>
      </c>
      <c r="D318" s="4">
        <f>VLOOKUP(A318,Orders!$A:$E,5,FALSE)</f>
        <v>10</v>
      </c>
      <c r="E318" s="4">
        <v>940</v>
      </c>
      <c r="F318" s="4">
        <v>6</v>
      </c>
      <c r="G318" s="10">
        <f t="shared" si="4"/>
        <v>156.66666666666666</v>
      </c>
      <c r="H318" s="4">
        <v>2</v>
      </c>
    </row>
    <row r="319" spans="1:8" x14ac:dyDescent="0.2">
      <c r="A319" s="4">
        <v>6006</v>
      </c>
      <c r="B319" s="4" t="s">
        <v>51</v>
      </c>
      <c r="C319" s="4" t="s">
        <v>42</v>
      </c>
      <c r="D319" s="4">
        <f>VLOOKUP(A319,Orders!$A:$E,5,FALSE)</f>
        <v>10</v>
      </c>
      <c r="E319" s="4">
        <v>1982</v>
      </c>
      <c r="F319" s="4">
        <v>20</v>
      </c>
      <c r="G319" s="10">
        <f t="shared" si="4"/>
        <v>99.1</v>
      </c>
      <c r="H319" s="4">
        <v>3</v>
      </c>
    </row>
    <row r="320" spans="1:8" x14ac:dyDescent="0.2">
      <c r="A320" s="4">
        <v>6010</v>
      </c>
      <c r="B320" s="4" t="s">
        <v>51</v>
      </c>
      <c r="C320" s="4" t="s">
        <v>42</v>
      </c>
      <c r="D320" s="4">
        <f>VLOOKUP(A320,Orders!$A:$E,5,FALSE)</f>
        <v>3</v>
      </c>
      <c r="E320" s="4">
        <v>1878</v>
      </c>
      <c r="F320" s="4">
        <v>8</v>
      </c>
      <c r="G320" s="10">
        <f t="shared" si="4"/>
        <v>234.75</v>
      </c>
      <c r="H320" s="4">
        <v>3</v>
      </c>
    </row>
    <row r="321" spans="1:8" x14ac:dyDescent="0.2">
      <c r="A321" s="4">
        <v>6021</v>
      </c>
      <c r="B321" s="4" t="s">
        <v>51</v>
      </c>
      <c r="C321" s="4" t="s">
        <v>42</v>
      </c>
      <c r="D321" s="4">
        <f>VLOOKUP(A321,Orders!$A:$E,5,FALSE)</f>
        <v>4</v>
      </c>
      <c r="E321" s="4">
        <v>634</v>
      </c>
      <c r="F321" s="4">
        <v>22</v>
      </c>
      <c r="G321" s="10">
        <f t="shared" si="4"/>
        <v>28.818181818181817</v>
      </c>
      <c r="H321" s="4">
        <v>1</v>
      </c>
    </row>
    <row r="322" spans="1:8" x14ac:dyDescent="0.2">
      <c r="A322" s="4">
        <v>6069</v>
      </c>
      <c r="B322" s="4" t="s">
        <v>51</v>
      </c>
      <c r="C322" s="4" t="s">
        <v>42</v>
      </c>
      <c r="D322" s="4">
        <f>VLOOKUP(A322,Orders!$A:$E,5,FALSE)</f>
        <v>7</v>
      </c>
      <c r="E322" s="4">
        <v>851</v>
      </c>
      <c r="F322" s="4">
        <v>19</v>
      </c>
      <c r="G322" s="10">
        <f t="shared" ref="G322:G385" si="5">E322/F322</f>
        <v>44.789473684210527</v>
      </c>
      <c r="H322" s="4">
        <v>1</v>
      </c>
    </row>
    <row r="323" spans="1:8" x14ac:dyDescent="0.2">
      <c r="A323" s="4">
        <v>6080</v>
      </c>
      <c r="B323" s="4" t="s">
        <v>51</v>
      </c>
      <c r="C323" s="4" t="s">
        <v>42</v>
      </c>
      <c r="D323" s="4">
        <f>VLOOKUP(A323,Orders!$A:$E,5,FALSE)</f>
        <v>9</v>
      </c>
      <c r="E323" s="4">
        <v>1347</v>
      </c>
      <c r="F323" s="4">
        <v>21</v>
      </c>
      <c r="G323" s="10">
        <f t="shared" si="5"/>
        <v>64.142857142857139</v>
      </c>
      <c r="H323" s="4">
        <v>2</v>
      </c>
    </row>
    <row r="324" spans="1:8" x14ac:dyDescent="0.2">
      <c r="A324" s="4">
        <v>6095</v>
      </c>
      <c r="B324" s="4" t="s">
        <v>51</v>
      </c>
      <c r="C324" s="4" t="s">
        <v>42</v>
      </c>
      <c r="D324" s="4">
        <f>VLOOKUP(A324,Orders!$A:$E,5,FALSE)</f>
        <v>6</v>
      </c>
      <c r="E324" s="4">
        <v>437</v>
      </c>
      <c r="F324" s="4">
        <v>15</v>
      </c>
      <c r="G324" s="10">
        <f t="shared" si="5"/>
        <v>29.133333333333333</v>
      </c>
      <c r="H324" s="4">
        <v>1</v>
      </c>
    </row>
    <row r="325" spans="1:8" x14ac:dyDescent="0.2">
      <c r="A325" s="4">
        <v>6098</v>
      </c>
      <c r="B325" s="4" t="s">
        <v>51</v>
      </c>
      <c r="C325" s="4" t="s">
        <v>42</v>
      </c>
      <c r="D325" s="4">
        <f>VLOOKUP(A325,Orders!$A:$E,5,FALSE)</f>
        <v>4</v>
      </c>
      <c r="E325" s="4">
        <v>640</v>
      </c>
      <c r="F325" s="4">
        <v>22</v>
      </c>
      <c r="G325" s="10">
        <f t="shared" si="5"/>
        <v>29.09090909090909</v>
      </c>
      <c r="H325" s="4">
        <v>1</v>
      </c>
    </row>
    <row r="326" spans="1:8" x14ac:dyDescent="0.2">
      <c r="A326" s="4">
        <v>6100</v>
      </c>
      <c r="B326" s="4" t="s">
        <v>51</v>
      </c>
      <c r="C326" s="4" t="s">
        <v>42</v>
      </c>
      <c r="D326" s="4">
        <f>VLOOKUP(A326,Orders!$A:$E,5,FALSE)</f>
        <v>5</v>
      </c>
      <c r="E326" s="4">
        <v>348</v>
      </c>
      <c r="F326" s="4">
        <v>17</v>
      </c>
      <c r="G326" s="10">
        <f t="shared" si="5"/>
        <v>20.470588235294116</v>
      </c>
      <c r="H326" s="4">
        <v>1</v>
      </c>
    </row>
    <row r="327" spans="1:8" x14ac:dyDescent="0.2">
      <c r="A327" s="4">
        <v>6109</v>
      </c>
      <c r="B327" s="4" t="s">
        <v>51</v>
      </c>
      <c r="C327" s="4" t="s">
        <v>42</v>
      </c>
      <c r="D327" s="4">
        <f>VLOOKUP(A327,Orders!$A:$E,5,FALSE)</f>
        <v>2</v>
      </c>
      <c r="E327" s="4">
        <v>22</v>
      </c>
      <c r="F327" s="4">
        <v>17</v>
      </c>
      <c r="G327" s="10">
        <f t="shared" si="5"/>
        <v>1.2941176470588236</v>
      </c>
      <c r="H327" s="4">
        <v>1</v>
      </c>
    </row>
    <row r="328" spans="1:8" x14ac:dyDescent="0.2">
      <c r="A328" s="4">
        <v>6111</v>
      </c>
      <c r="B328" s="4" t="s">
        <v>51</v>
      </c>
      <c r="C328" s="4" t="s">
        <v>42</v>
      </c>
      <c r="D328" s="4">
        <f>VLOOKUP(A328,Orders!$A:$E,5,FALSE)</f>
        <v>4</v>
      </c>
      <c r="E328" s="4">
        <v>1445</v>
      </c>
      <c r="F328" s="4">
        <v>10</v>
      </c>
      <c r="G328" s="10">
        <f t="shared" si="5"/>
        <v>144.5</v>
      </c>
      <c r="H328" s="4">
        <v>3</v>
      </c>
    </row>
    <row r="329" spans="1:8" x14ac:dyDescent="0.2">
      <c r="A329" s="4">
        <v>6127</v>
      </c>
      <c r="B329" s="4" t="s">
        <v>51</v>
      </c>
      <c r="C329" s="4" t="s">
        <v>42</v>
      </c>
      <c r="D329" s="4">
        <f>VLOOKUP(A329,Orders!$A:$E,5,FALSE)</f>
        <v>4</v>
      </c>
      <c r="E329" s="4">
        <v>224</v>
      </c>
      <c r="F329" s="4">
        <v>4</v>
      </c>
      <c r="G329" s="10">
        <f t="shared" si="5"/>
        <v>56</v>
      </c>
      <c r="H329" s="4">
        <v>3</v>
      </c>
    </row>
    <row r="330" spans="1:8" x14ac:dyDescent="0.2">
      <c r="A330" s="4">
        <v>6144</v>
      </c>
      <c r="B330" s="4" t="s">
        <v>51</v>
      </c>
      <c r="C330" s="4" t="s">
        <v>42</v>
      </c>
      <c r="D330" s="4">
        <f>VLOOKUP(A330,Orders!$A:$E,5,FALSE)</f>
        <v>2</v>
      </c>
      <c r="E330" s="4">
        <v>666</v>
      </c>
      <c r="F330" s="4">
        <v>10</v>
      </c>
      <c r="G330" s="10">
        <f t="shared" si="5"/>
        <v>66.599999999999994</v>
      </c>
      <c r="H330" s="4">
        <v>3</v>
      </c>
    </row>
    <row r="331" spans="1:8" x14ac:dyDescent="0.2">
      <c r="A331" s="4">
        <v>6166</v>
      </c>
      <c r="B331" s="4" t="s">
        <v>51</v>
      </c>
      <c r="C331" s="4" t="s">
        <v>42</v>
      </c>
      <c r="D331" s="4">
        <f>VLOOKUP(A331,Orders!$A:$E,5,FALSE)</f>
        <v>4</v>
      </c>
      <c r="E331" s="4">
        <v>1025</v>
      </c>
      <c r="F331" s="4">
        <v>18</v>
      </c>
      <c r="G331" s="10">
        <f t="shared" si="5"/>
        <v>56.944444444444443</v>
      </c>
      <c r="H331" s="4">
        <v>1</v>
      </c>
    </row>
    <row r="332" spans="1:8" x14ac:dyDescent="0.2">
      <c r="A332" s="4">
        <v>6171</v>
      </c>
      <c r="B332" s="4" t="s">
        <v>51</v>
      </c>
      <c r="C332" s="4" t="s">
        <v>42</v>
      </c>
      <c r="D332" s="4">
        <f>VLOOKUP(A332,Orders!$A:$E,5,FALSE)</f>
        <v>2</v>
      </c>
      <c r="E332" s="4">
        <v>1323</v>
      </c>
      <c r="F332" s="4">
        <v>12</v>
      </c>
      <c r="G332" s="10">
        <f t="shared" si="5"/>
        <v>110.25</v>
      </c>
      <c r="H332" s="4">
        <v>1</v>
      </c>
    </row>
    <row r="333" spans="1:8" x14ac:dyDescent="0.2">
      <c r="A333" s="4">
        <v>6210</v>
      </c>
      <c r="B333" s="4" t="s">
        <v>51</v>
      </c>
      <c r="C333" s="4" t="s">
        <v>42</v>
      </c>
      <c r="D333" s="4">
        <f>VLOOKUP(A333,Orders!$A:$E,5,FALSE)</f>
        <v>5</v>
      </c>
      <c r="E333" s="4">
        <v>817</v>
      </c>
      <c r="F333" s="4">
        <v>5</v>
      </c>
      <c r="G333" s="10">
        <f t="shared" si="5"/>
        <v>163.4</v>
      </c>
      <c r="H333" s="4">
        <v>2</v>
      </c>
    </row>
    <row r="334" spans="1:8" x14ac:dyDescent="0.2">
      <c r="A334" s="4">
        <v>6249</v>
      </c>
      <c r="B334" s="4" t="s">
        <v>51</v>
      </c>
      <c r="C334" s="4" t="s">
        <v>42</v>
      </c>
      <c r="D334" s="4">
        <f>VLOOKUP(A334,Orders!$A:$E,5,FALSE)</f>
        <v>3</v>
      </c>
      <c r="E334" s="4">
        <v>1720</v>
      </c>
      <c r="F334" s="4">
        <v>19</v>
      </c>
      <c r="G334" s="10">
        <f t="shared" si="5"/>
        <v>90.526315789473685</v>
      </c>
      <c r="H334" s="4">
        <v>3</v>
      </c>
    </row>
    <row r="335" spans="1:8" x14ac:dyDescent="0.2">
      <c r="A335" s="4">
        <v>6264</v>
      </c>
      <c r="B335" s="4" t="s">
        <v>51</v>
      </c>
      <c r="C335" s="4" t="s">
        <v>42</v>
      </c>
      <c r="D335" s="4">
        <f>VLOOKUP(A335,Orders!$A:$E,5,FALSE)</f>
        <v>2</v>
      </c>
      <c r="E335" s="4">
        <v>81</v>
      </c>
      <c r="F335" s="4">
        <v>19</v>
      </c>
      <c r="G335" s="10">
        <f t="shared" si="5"/>
        <v>4.2631578947368425</v>
      </c>
      <c r="H335" s="4">
        <v>1</v>
      </c>
    </row>
    <row r="336" spans="1:8" x14ac:dyDescent="0.2">
      <c r="A336" s="4">
        <v>6265</v>
      </c>
      <c r="B336" s="4" t="s">
        <v>51</v>
      </c>
      <c r="C336" s="4" t="s">
        <v>42</v>
      </c>
      <c r="D336" s="4">
        <f>VLOOKUP(A336,Orders!$A:$E,5,FALSE)</f>
        <v>4</v>
      </c>
      <c r="E336" s="4">
        <v>1135</v>
      </c>
      <c r="F336" s="4">
        <v>23</v>
      </c>
      <c r="G336" s="10">
        <f t="shared" si="5"/>
        <v>49.347826086956523</v>
      </c>
      <c r="H336" s="4">
        <v>1</v>
      </c>
    </row>
    <row r="337" spans="1:8" x14ac:dyDescent="0.2">
      <c r="A337" s="4">
        <v>6266</v>
      </c>
      <c r="B337" s="4" t="s">
        <v>51</v>
      </c>
      <c r="C337" s="4" t="s">
        <v>42</v>
      </c>
      <c r="D337" s="4">
        <f>VLOOKUP(A337,Orders!$A:$E,5,FALSE)</f>
        <v>10</v>
      </c>
      <c r="E337" s="4">
        <v>211</v>
      </c>
      <c r="F337" s="4">
        <v>19</v>
      </c>
      <c r="G337" s="10">
        <f t="shared" si="5"/>
        <v>11.105263157894736</v>
      </c>
      <c r="H337" s="4">
        <v>2</v>
      </c>
    </row>
    <row r="338" spans="1:8" x14ac:dyDescent="0.2">
      <c r="A338" s="4">
        <v>6267</v>
      </c>
      <c r="B338" s="4" t="s">
        <v>51</v>
      </c>
      <c r="C338" s="4" t="s">
        <v>42</v>
      </c>
      <c r="D338" s="4">
        <f>VLOOKUP(A338,Orders!$A:$E,5,FALSE)</f>
        <v>2</v>
      </c>
      <c r="E338" s="4">
        <v>853</v>
      </c>
      <c r="F338" s="4">
        <v>22</v>
      </c>
      <c r="G338" s="10">
        <f t="shared" si="5"/>
        <v>38.772727272727273</v>
      </c>
      <c r="H338" s="4">
        <v>1</v>
      </c>
    </row>
    <row r="339" spans="1:8" x14ac:dyDescent="0.2">
      <c r="A339" s="4">
        <v>6284</v>
      </c>
      <c r="B339" s="4" t="s">
        <v>51</v>
      </c>
      <c r="C339" s="4" t="s">
        <v>42</v>
      </c>
      <c r="D339" s="4">
        <f>VLOOKUP(A339,Orders!$A:$E,5,FALSE)</f>
        <v>10</v>
      </c>
      <c r="E339" s="4">
        <v>820</v>
      </c>
      <c r="F339" s="4">
        <v>7</v>
      </c>
      <c r="G339" s="10">
        <f t="shared" si="5"/>
        <v>117.14285714285714</v>
      </c>
      <c r="H339" s="4">
        <v>1</v>
      </c>
    </row>
    <row r="340" spans="1:8" x14ac:dyDescent="0.2">
      <c r="A340" s="4">
        <v>6357</v>
      </c>
      <c r="B340" s="4" t="s">
        <v>51</v>
      </c>
      <c r="C340" s="4" t="s">
        <v>42</v>
      </c>
      <c r="D340" s="4">
        <f>VLOOKUP(A340,Orders!$A:$E,5,FALSE)</f>
        <v>3</v>
      </c>
      <c r="E340" s="4">
        <v>769</v>
      </c>
      <c r="F340" s="4">
        <v>2</v>
      </c>
      <c r="G340" s="10">
        <f t="shared" si="5"/>
        <v>384.5</v>
      </c>
      <c r="H340" s="4">
        <v>3</v>
      </c>
    </row>
    <row r="341" spans="1:8" x14ac:dyDescent="0.2">
      <c r="A341" s="4">
        <v>6358</v>
      </c>
      <c r="B341" s="4" t="s">
        <v>51</v>
      </c>
      <c r="C341" s="4" t="s">
        <v>42</v>
      </c>
      <c r="D341" s="4">
        <f>VLOOKUP(A341,Orders!$A:$E,5,FALSE)</f>
        <v>3</v>
      </c>
      <c r="E341" s="4">
        <v>1978</v>
      </c>
      <c r="F341" s="4">
        <v>14</v>
      </c>
      <c r="G341" s="10">
        <f t="shared" si="5"/>
        <v>141.28571428571428</v>
      </c>
      <c r="H341" s="4">
        <v>3</v>
      </c>
    </row>
    <row r="342" spans="1:8" x14ac:dyDescent="0.2">
      <c r="A342" s="4">
        <v>6402</v>
      </c>
      <c r="B342" s="4" t="s">
        <v>51</v>
      </c>
      <c r="C342" s="4" t="s">
        <v>42</v>
      </c>
      <c r="D342" s="4">
        <f>VLOOKUP(A342,Orders!$A:$E,5,FALSE)</f>
        <v>7</v>
      </c>
      <c r="E342" s="4">
        <v>69</v>
      </c>
      <c r="F342" s="4">
        <v>19</v>
      </c>
      <c r="G342" s="10">
        <f t="shared" si="5"/>
        <v>3.6315789473684212</v>
      </c>
      <c r="H342" s="4">
        <v>1</v>
      </c>
    </row>
    <row r="343" spans="1:8" x14ac:dyDescent="0.2">
      <c r="A343" s="4">
        <v>6416</v>
      </c>
      <c r="B343" s="4" t="s">
        <v>51</v>
      </c>
      <c r="C343" s="4" t="s">
        <v>42</v>
      </c>
      <c r="D343" s="4">
        <f>VLOOKUP(A343,Orders!$A:$E,5,FALSE)</f>
        <v>10</v>
      </c>
      <c r="E343" s="4">
        <v>1366</v>
      </c>
      <c r="F343" s="4">
        <v>20</v>
      </c>
      <c r="G343" s="10">
        <f t="shared" si="5"/>
        <v>68.3</v>
      </c>
      <c r="H343" s="4">
        <v>1</v>
      </c>
    </row>
    <row r="344" spans="1:8" x14ac:dyDescent="0.2">
      <c r="A344" s="4">
        <v>6433</v>
      </c>
      <c r="B344" s="4" t="s">
        <v>51</v>
      </c>
      <c r="C344" s="4" t="s">
        <v>42</v>
      </c>
      <c r="D344" s="4">
        <f>VLOOKUP(A344,Orders!$A:$E,5,FALSE)</f>
        <v>10</v>
      </c>
      <c r="E344" s="4">
        <v>1420</v>
      </c>
      <c r="F344" s="4">
        <v>8</v>
      </c>
      <c r="G344" s="10">
        <f t="shared" si="5"/>
        <v>177.5</v>
      </c>
      <c r="H344" s="4">
        <v>3</v>
      </c>
    </row>
    <row r="345" spans="1:8" x14ac:dyDescent="0.2">
      <c r="A345" s="4">
        <v>6466</v>
      </c>
      <c r="B345" s="4" t="s">
        <v>51</v>
      </c>
      <c r="C345" s="4" t="s">
        <v>42</v>
      </c>
      <c r="D345" s="4">
        <f>VLOOKUP(A345,Orders!$A:$E,5,FALSE)</f>
        <v>8</v>
      </c>
      <c r="E345" s="4">
        <v>1145</v>
      </c>
      <c r="F345" s="4">
        <v>12</v>
      </c>
      <c r="G345" s="10">
        <f t="shared" si="5"/>
        <v>95.416666666666671</v>
      </c>
      <c r="H345" s="4">
        <v>3</v>
      </c>
    </row>
    <row r="346" spans="1:8" x14ac:dyDescent="0.2">
      <c r="A346" s="4">
        <v>6479</v>
      </c>
      <c r="B346" s="4" t="s">
        <v>51</v>
      </c>
      <c r="C346" s="4" t="s">
        <v>42</v>
      </c>
      <c r="D346" s="4">
        <f>VLOOKUP(A346,Orders!$A:$E,5,FALSE)</f>
        <v>2</v>
      </c>
      <c r="E346" s="4">
        <v>886</v>
      </c>
      <c r="F346" s="4">
        <v>11</v>
      </c>
      <c r="G346" s="10">
        <f t="shared" si="5"/>
        <v>80.545454545454547</v>
      </c>
      <c r="H346" s="4">
        <v>3</v>
      </c>
    </row>
    <row r="347" spans="1:8" x14ac:dyDescent="0.2">
      <c r="A347" s="4">
        <v>5003</v>
      </c>
      <c r="B347" s="4" t="s">
        <v>41</v>
      </c>
      <c r="C347" s="4" t="s">
        <v>43</v>
      </c>
      <c r="D347" s="4">
        <f>VLOOKUP(A347,Orders!$A:$E,5,FALSE)</f>
        <v>3</v>
      </c>
      <c r="E347" s="4">
        <v>648</v>
      </c>
      <c r="F347" s="4">
        <v>20</v>
      </c>
      <c r="G347" s="10">
        <f t="shared" si="5"/>
        <v>32.4</v>
      </c>
      <c r="H347" s="4">
        <v>3</v>
      </c>
    </row>
    <row r="348" spans="1:8" x14ac:dyDescent="0.2">
      <c r="A348" s="4">
        <v>5016</v>
      </c>
      <c r="B348" s="4" t="s">
        <v>41</v>
      </c>
      <c r="C348" s="4" t="s">
        <v>43</v>
      </c>
      <c r="D348" s="4">
        <f>VLOOKUP(A348,Orders!$A:$E,5,FALSE)</f>
        <v>10</v>
      </c>
      <c r="E348" s="4">
        <v>1058</v>
      </c>
      <c r="F348" s="4">
        <v>16</v>
      </c>
      <c r="G348" s="10">
        <f t="shared" si="5"/>
        <v>66.125</v>
      </c>
      <c r="H348" s="4">
        <v>1</v>
      </c>
    </row>
    <row r="349" spans="1:8" x14ac:dyDescent="0.2">
      <c r="A349" s="4">
        <v>5023</v>
      </c>
      <c r="B349" s="4" t="s">
        <v>41</v>
      </c>
      <c r="C349" s="4" t="s">
        <v>43</v>
      </c>
      <c r="D349" s="4">
        <f>VLOOKUP(A349,Orders!$A:$E,5,FALSE)</f>
        <v>8</v>
      </c>
      <c r="E349" s="4">
        <v>1267</v>
      </c>
      <c r="F349" s="4">
        <v>8</v>
      </c>
      <c r="G349" s="10">
        <f t="shared" si="5"/>
        <v>158.375</v>
      </c>
      <c r="H349" s="4">
        <v>2</v>
      </c>
    </row>
    <row r="350" spans="1:8" x14ac:dyDescent="0.2">
      <c r="A350" s="4">
        <v>5045</v>
      </c>
      <c r="B350" s="4" t="s">
        <v>41</v>
      </c>
      <c r="C350" s="4" t="s">
        <v>43</v>
      </c>
      <c r="D350" s="4">
        <f>VLOOKUP(A350,Orders!$A:$E,5,FALSE)</f>
        <v>10</v>
      </c>
      <c r="E350" s="4">
        <v>171</v>
      </c>
      <c r="F350" s="4">
        <v>13</v>
      </c>
      <c r="G350" s="10">
        <f t="shared" si="5"/>
        <v>13.153846153846153</v>
      </c>
      <c r="H350" s="4">
        <v>2</v>
      </c>
    </row>
    <row r="351" spans="1:8" x14ac:dyDescent="0.2">
      <c r="A351" s="4">
        <v>5063</v>
      </c>
      <c r="B351" s="4" t="s">
        <v>41</v>
      </c>
      <c r="C351" s="4" t="s">
        <v>43</v>
      </c>
      <c r="D351" s="4">
        <f>VLOOKUP(A351,Orders!$A:$E,5,FALSE)</f>
        <v>8</v>
      </c>
      <c r="E351" s="4">
        <v>930</v>
      </c>
      <c r="F351" s="4">
        <v>15</v>
      </c>
      <c r="G351" s="10">
        <f t="shared" si="5"/>
        <v>62</v>
      </c>
      <c r="H351" s="4">
        <v>2</v>
      </c>
    </row>
    <row r="352" spans="1:8" x14ac:dyDescent="0.2">
      <c r="A352" s="4">
        <v>5070</v>
      </c>
      <c r="B352" s="4" t="s">
        <v>41</v>
      </c>
      <c r="C352" s="4" t="s">
        <v>43</v>
      </c>
      <c r="D352" s="4">
        <f>VLOOKUP(A352,Orders!$A:$E,5,FALSE)</f>
        <v>2</v>
      </c>
      <c r="E352" s="4">
        <v>523</v>
      </c>
      <c r="F352" s="4">
        <v>6</v>
      </c>
      <c r="G352" s="10">
        <f t="shared" si="5"/>
        <v>87.166666666666671</v>
      </c>
      <c r="H352" s="4">
        <v>3</v>
      </c>
    </row>
    <row r="353" spans="1:8" x14ac:dyDescent="0.2">
      <c r="A353" s="4">
        <v>5103</v>
      </c>
      <c r="B353" s="4" t="s">
        <v>41</v>
      </c>
      <c r="C353" s="4" t="s">
        <v>43</v>
      </c>
      <c r="D353" s="4">
        <f>VLOOKUP(A353,Orders!$A:$E,5,FALSE)</f>
        <v>3</v>
      </c>
      <c r="E353" s="4">
        <v>1053</v>
      </c>
      <c r="F353" s="4">
        <v>24</v>
      </c>
      <c r="G353" s="10">
        <f t="shared" si="5"/>
        <v>43.875</v>
      </c>
      <c r="H353" s="4">
        <v>3</v>
      </c>
    </row>
    <row r="354" spans="1:8" x14ac:dyDescent="0.2">
      <c r="A354" s="4">
        <v>5116</v>
      </c>
      <c r="B354" s="4" t="s">
        <v>41</v>
      </c>
      <c r="C354" s="4" t="s">
        <v>43</v>
      </c>
      <c r="D354" s="4">
        <f>VLOOKUP(A354,Orders!$A:$E,5,FALSE)</f>
        <v>10</v>
      </c>
      <c r="E354" s="4">
        <v>1168</v>
      </c>
      <c r="F354" s="4">
        <v>7</v>
      </c>
      <c r="G354" s="10">
        <f t="shared" si="5"/>
        <v>166.85714285714286</v>
      </c>
      <c r="H354" s="4">
        <v>1</v>
      </c>
    </row>
    <row r="355" spans="1:8" x14ac:dyDescent="0.2">
      <c r="A355" s="4">
        <v>5124</v>
      </c>
      <c r="B355" s="4" t="s">
        <v>41</v>
      </c>
      <c r="C355" s="4" t="s">
        <v>43</v>
      </c>
      <c r="D355" s="4">
        <f>VLOOKUP(A355,Orders!$A:$E,5,FALSE)</f>
        <v>7</v>
      </c>
      <c r="E355" s="4">
        <v>891</v>
      </c>
      <c r="F355" s="4">
        <v>24</v>
      </c>
      <c r="G355" s="10">
        <f t="shared" si="5"/>
        <v>37.125</v>
      </c>
      <c r="H355" s="4">
        <v>1</v>
      </c>
    </row>
    <row r="356" spans="1:8" x14ac:dyDescent="0.2">
      <c r="A356" s="4">
        <v>5150</v>
      </c>
      <c r="B356" s="4" t="s">
        <v>41</v>
      </c>
      <c r="C356" s="4" t="s">
        <v>43</v>
      </c>
      <c r="D356" s="4">
        <f>VLOOKUP(A356,Orders!$A:$E,5,FALSE)</f>
        <v>2</v>
      </c>
      <c r="E356" s="4">
        <v>300</v>
      </c>
      <c r="F356" s="4">
        <v>18</v>
      </c>
      <c r="G356" s="10">
        <f t="shared" si="5"/>
        <v>16.666666666666668</v>
      </c>
      <c r="H356" s="4">
        <v>2</v>
      </c>
    </row>
    <row r="357" spans="1:8" x14ac:dyDescent="0.2">
      <c r="A357" s="4">
        <v>5169</v>
      </c>
      <c r="B357" s="4" t="s">
        <v>41</v>
      </c>
      <c r="C357" s="4" t="s">
        <v>43</v>
      </c>
      <c r="D357" s="4">
        <f>VLOOKUP(A357,Orders!$A:$E,5,FALSE)</f>
        <v>9</v>
      </c>
      <c r="E357" s="4">
        <v>776</v>
      </c>
      <c r="F357" s="4">
        <v>2</v>
      </c>
      <c r="G357" s="10">
        <f t="shared" si="5"/>
        <v>388</v>
      </c>
      <c r="H357" s="4">
        <v>3</v>
      </c>
    </row>
    <row r="358" spans="1:8" x14ac:dyDescent="0.2">
      <c r="A358" s="4">
        <v>5176</v>
      </c>
      <c r="B358" s="4" t="s">
        <v>41</v>
      </c>
      <c r="C358" s="4" t="s">
        <v>43</v>
      </c>
      <c r="D358" s="4">
        <f>VLOOKUP(A358,Orders!$A:$E,5,FALSE)</f>
        <v>2</v>
      </c>
      <c r="E358" s="4">
        <v>415</v>
      </c>
      <c r="F358" s="4">
        <v>18</v>
      </c>
      <c r="G358" s="10">
        <f t="shared" si="5"/>
        <v>23.055555555555557</v>
      </c>
      <c r="H358" s="4">
        <v>1</v>
      </c>
    </row>
    <row r="359" spans="1:8" x14ac:dyDescent="0.2">
      <c r="A359" s="4">
        <v>5240</v>
      </c>
      <c r="B359" s="4" t="s">
        <v>41</v>
      </c>
      <c r="C359" s="4" t="s">
        <v>43</v>
      </c>
      <c r="D359" s="4">
        <f>VLOOKUP(A359,Orders!$A:$E,5,FALSE)</f>
        <v>6</v>
      </c>
      <c r="E359" s="4">
        <v>1797</v>
      </c>
      <c r="F359" s="4">
        <v>17</v>
      </c>
      <c r="G359" s="10">
        <f t="shared" si="5"/>
        <v>105.70588235294117</v>
      </c>
      <c r="H359" s="4">
        <v>2</v>
      </c>
    </row>
    <row r="360" spans="1:8" x14ac:dyDescent="0.2">
      <c r="A360" s="4">
        <v>5300</v>
      </c>
      <c r="B360" s="4" t="s">
        <v>41</v>
      </c>
      <c r="C360" s="4" t="s">
        <v>43</v>
      </c>
      <c r="D360" s="4">
        <f>VLOOKUP(A360,Orders!$A:$E,5,FALSE)</f>
        <v>9</v>
      </c>
      <c r="E360" s="4">
        <v>918</v>
      </c>
      <c r="F360" s="4">
        <v>17</v>
      </c>
      <c r="G360" s="10">
        <f t="shared" si="5"/>
        <v>54</v>
      </c>
      <c r="H360" s="4">
        <v>3</v>
      </c>
    </row>
    <row r="361" spans="1:8" x14ac:dyDescent="0.2">
      <c r="A361" s="4">
        <v>5323</v>
      </c>
      <c r="B361" s="4" t="s">
        <v>41</v>
      </c>
      <c r="C361" s="4" t="s">
        <v>43</v>
      </c>
      <c r="D361" s="4">
        <f>VLOOKUP(A361,Orders!$A:$E,5,FALSE)</f>
        <v>6</v>
      </c>
      <c r="E361" s="4">
        <v>721</v>
      </c>
      <c r="F361" s="4">
        <v>9</v>
      </c>
      <c r="G361" s="10">
        <f t="shared" si="5"/>
        <v>80.111111111111114</v>
      </c>
      <c r="H361" s="4">
        <v>2</v>
      </c>
    </row>
    <row r="362" spans="1:8" x14ac:dyDescent="0.2">
      <c r="A362" s="4">
        <v>5329</v>
      </c>
      <c r="B362" s="4" t="s">
        <v>41</v>
      </c>
      <c r="C362" s="4" t="s">
        <v>43</v>
      </c>
      <c r="D362" s="4">
        <f>VLOOKUP(A362,Orders!$A:$E,5,FALSE)</f>
        <v>8</v>
      </c>
      <c r="E362" s="4">
        <v>934</v>
      </c>
      <c r="F362" s="4">
        <v>20</v>
      </c>
      <c r="G362" s="10">
        <f t="shared" si="5"/>
        <v>46.7</v>
      </c>
      <c r="H362" s="4">
        <v>3</v>
      </c>
    </row>
    <row r="363" spans="1:8" x14ac:dyDescent="0.2">
      <c r="A363" s="4">
        <v>5368</v>
      </c>
      <c r="B363" s="4" t="s">
        <v>41</v>
      </c>
      <c r="C363" s="4" t="s">
        <v>43</v>
      </c>
      <c r="D363" s="4">
        <f>VLOOKUP(A363,Orders!$A:$E,5,FALSE)</f>
        <v>5</v>
      </c>
      <c r="E363" s="4">
        <v>134</v>
      </c>
      <c r="F363" s="4">
        <v>22</v>
      </c>
      <c r="G363" s="10">
        <f t="shared" si="5"/>
        <v>6.0909090909090908</v>
      </c>
      <c r="H363" s="4">
        <v>2</v>
      </c>
    </row>
    <row r="364" spans="1:8" x14ac:dyDescent="0.2">
      <c r="A364" s="4">
        <v>5380</v>
      </c>
      <c r="B364" s="4" t="s">
        <v>41</v>
      </c>
      <c r="C364" s="4" t="s">
        <v>43</v>
      </c>
      <c r="D364" s="4">
        <f>VLOOKUP(A364,Orders!$A:$E,5,FALSE)</f>
        <v>10</v>
      </c>
      <c r="E364" s="4">
        <v>1889</v>
      </c>
      <c r="F364" s="4">
        <v>18</v>
      </c>
      <c r="G364" s="10">
        <f t="shared" si="5"/>
        <v>104.94444444444444</v>
      </c>
      <c r="H364" s="4">
        <v>2</v>
      </c>
    </row>
    <row r="365" spans="1:8" x14ac:dyDescent="0.2">
      <c r="A365" s="4">
        <v>5383</v>
      </c>
      <c r="B365" s="4" t="s">
        <v>41</v>
      </c>
      <c r="C365" s="4" t="s">
        <v>43</v>
      </c>
      <c r="D365" s="4">
        <f>VLOOKUP(A365,Orders!$A:$E,5,FALSE)</f>
        <v>7</v>
      </c>
      <c r="E365" s="4">
        <v>1177</v>
      </c>
      <c r="F365" s="4">
        <v>4</v>
      </c>
      <c r="G365" s="10">
        <f t="shared" si="5"/>
        <v>294.25</v>
      </c>
      <c r="H365" s="4">
        <v>3</v>
      </c>
    </row>
    <row r="366" spans="1:8" x14ac:dyDescent="0.2">
      <c r="A366" s="4">
        <v>5407</v>
      </c>
      <c r="B366" s="4" t="s">
        <v>41</v>
      </c>
      <c r="C366" s="4" t="s">
        <v>43</v>
      </c>
      <c r="D366" s="4">
        <f>VLOOKUP(A366,Orders!$A:$E,5,FALSE)</f>
        <v>2</v>
      </c>
      <c r="E366" s="4">
        <v>798</v>
      </c>
      <c r="F366" s="4">
        <v>15</v>
      </c>
      <c r="G366" s="10">
        <f t="shared" si="5"/>
        <v>53.2</v>
      </c>
      <c r="H366" s="4">
        <v>2</v>
      </c>
    </row>
    <row r="367" spans="1:8" x14ac:dyDescent="0.2">
      <c r="A367" s="4">
        <v>5457</v>
      </c>
      <c r="B367" s="4" t="s">
        <v>41</v>
      </c>
      <c r="C367" s="4" t="s">
        <v>43</v>
      </c>
      <c r="D367" s="4">
        <f>VLOOKUP(A367,Orders!$A:$E,5,FALSE)</f>
        <v>4</v>
      </c>
      <c r="E367" s="4">
        <v>1566</v>
      </c>
      <c r="F367" s="4">
        <v>15</v>
      </c>
      <c r="G367" s="10">
        <f t="shared" si="5"/>
        <v>104.4</v>
      </c>
      <c r="H367" s="4">
        <v>1</v>
      </c>
    </row>
    <row r="368" spans="1:8" x14ac:dyDescent="0.2">
      <c r="A368" s="4">
        <v>5470</v>
      </c>
      <c r="B368" s="4" t="s">
        <v>41</v>
      </c>
      <c r="C368" s="4" t="s">
        <v>43</v>
      </c>
      <c r="D368" s="4">
        <f>VLOOKUP(A368,Orders!$A:$E,5,FALSE)</f>
        <v>10</v>
      </c>
      <c r="E368" s="4">
        <v>1518</v>
      </c>
      <c r="F368" s="4">
        <v>21</v>
      </c>
      <c r="G368" s="10">
        <f t="shared" si="5"/>
        <v>72.285714285714292</v>
      </c>
      <c r="H368" s="4">
        <v>3</v>
      </c>
    </row>
    <row r="369" spans="1:8" x14ac:dyDescent="0.2">
      <c r="A369" s="4">
        <v>5475</v>
      </c>
      <c r="B369" s="4" t="s">
        <v>41</v>
      </c>
      <c r="C369" s="4" t="s">
        <v>43</v>
      </c>
      <c r="D369" s="4">
        <f>VLOOKUP(A369,Orders!$A:$E,5,FALSE)</f>
        <v>5</v>
      </c>
      <c r="E369" s="4">
        <v>227</v>
      </c>
      <c r="F369" s="4">
        <v>24</v>
      </c>
      <c r="G369" s="10">
        <f t="shared" si="5"/>
        <v>9.4583333333333339</v>
      </c>
      <c r="H369" s="4">
        <v>2</v>
      </c>
    </row>
    <row r="370" spans="1:8" x14ac:dyDescent="0.2">
      <c r="A370" s="4">
        <v>5479</v>
      </c>
      <c r="B370" s="4" t="s">
        <v>41</v>
      </c>
      <c r="C370" s="4" t="s">
        <v>43</v>
      </c>
      <c r="D370" s="4">
        <f>VLOOKUP(A370,Orders!$A:$E,5,FALSE)</f>
        <v>3</v>
      </c>
      <c r="E370" s="4">
        <v>260</v>
      </c>
      <c r="F370" s="4">
        <v>9</v>
      </c>
      <c r="G370" s="10">
        <f t="shared" si="5"/>
        <v>28.888888888888889</v>
      </c>
      <c r="H370" s="4">
        <v>2</v>
      </c>
    </row>
    <row r="371" spans="1:8" x14ac:dyDescent="0.2">
      <c r="A371" s="4">
        <v>5529</v>
      </c>
      <c r="B371" s="4" t="s">
        <v>41</v>
      </c>
      <c r="C371" s="4" t="s">
        <v>43</v>
      </c>
      <c r="D371" s="4">
        <f>VLOOKUP(A371,Orders!$A:$E,5,FALSE)</f>
        <v>4</v>
      </c>
      <c r="E371" s="4">
        <v>1957</v>
      </c>
      <c r="F371" s="4">
        <v>14</v>
      </c>
      <c r="G371" s="10">
        <f t="shared" si="5"/>
        <v>139.78571428571428</v>
      </c>
      <c r="H371" s="4">
        <v>3</v>
      </c>
    </row>
    <row r="372" spans="1:8" x14ac:dyDescent="0.2">
      <c r="A372" s="4">
        <v>5538</v>
      </c>
      <c r="B372" s="4" t="s">
        <v>41</v>
      </c>
      <c r="C372" s="4" t="s">
        <v>43</v>
      </c>
      <c r="D372" s="4">
        <f>VLOOKUP(A372,Orders!$A:$E,5,FALSE)</f>
        <v>9</v>
      </c>
      <c r="E372" s="4">
        <v>689</v>
      </c>
      <c r="F372" s="4">
        <v>14</v>
      </c>
      <c r="G372" s="10">
        <f t="shared" si="5"/>
        <v>49.214285714285715</v>
      </c>
      <c r="H372" s="4">
        <v>2</v>
      </c>
    </row>
    <row r="373" spans="1:8" x14ac:dyDescent="0.2">
      <c r="A373" s="4">
        <v>5544</v>
      </c>
      <c r="B373" s="4" t="s">
        <v>41</v>
      </c>
      <c r="C373" s="4" t="s">
        <v>43</v>
      </c>
      <c r="D373" s="4">
        <f>VLOOKUP(A373,Orders!$A:$E,5,FALSE)</f>
        <v>5</v>
      </c>
      <c r="E373" s="4">
        <v>1673</v>
      </c>
      <c r="F373" s="4">
        <v>11</v>
      </c>
      <c r="G373" s="10">
        <f t="shared" si="5"/>
        <v>152.09090909090909</v>
      </c>
      <c r="H373" s="4">
        <v>2</v>
      </c>
    </row>
    <row r="374" spans="1:8" x14ac:dyDescent="0.2">
      <c r="A374" s="4">
        <v>5552</v>
      </c>
      <c r="B374" s="4" t="s">
        <v>41</v>
      </c>
      <c r="C374" s="4" t="s">
        <v>43</v>
      </c>
      <c r="D374" s="4">
        <f>VLOOKUP(A374,Orders!$A:$E,5,FALSE)</f>
        <v>6</v>
      </c>
      <c r="E374" s="4">
        <v>1378</v>
      </c>
      <c r="F374" s="4">
        <v>22</v>
      </c>
      <c r="G374" s="10">
        <f t="shared" si="5"/>
        <v>62.636363636363633</v>
      </c>
      <c r="H374" s="4">
        <v>2</v>
      </c>
    </row>
    <row r="375" spans="1:8" x14ac:dyDescent="0.2">
      <c r="A375" s="4">
        <v>5558</v>
      </c>
      <c r="B375" s="4" t="s">
        <v>41</v>
      </c>
      <c r="C375" s="4" t="s">
        <v>43</v>
      </c>
      <c r="D375" s="4">
        <f>VLOOKUP(A375,Orders!$A:$E,5,FALSE)</f>
        <v>2</v>
      </c>
      <c r="E375" s="4">
        <v>405</v>
      </c>
      <c r="F375" s="4">
        <v>4</v>
      </c>
      <c r="G375" s="10">
        <f t="shared" si="5"/>
        <v>101.25</v>
      </c>
      <c r="H375" s="4">
        <v>2</v>
      </c>
    </row>
    <row r="376" spans="1:8" x14ac:dyDescent="0.2">
      <c r="A376" s="4">
        <v>5560</v>
      </c>
      <c r="B376" s="4" t="s">
        <v>41</v>
      </c>
      <c r="C376" s="4" t="s">
        <v>43</v>
      </c>
      <c r="D376" s="4">
        <f>VLOOKUP(A376,Orders!$A:$E,5,FALSE)</f>
        <v>5</v>
      </c>
      <c r="E376" s="4">
        <v>1999</v>
      </c>
      <c r="F376" s="4">
        <v>11</v>
      </c>
      <c r="G376" s="10">
        <f t="shared" si="5"/>
        <v>181.72727272727272</v>
      </c>
      <c r="H376" s="4">
        <v>2</v>
      </c>
    </row>
    <row r="377" spans="1:8" x14ac:dyDescent="0.2">
      <c r="A377" s="4">
        <v>5566</v>
      </c>
      <c r="B377" s="4" t="s">
        <v>41</v>
      </c>
      <c r="C377" s="4" t="s">
        <v>43</v>
      </c>
      <c r="D377" s="4">
        <f>VLOOKUP(A377,Orders!$A:$E,5,FALSE)</f>
        <v>10</v>
      </c>
      <c r="E377" s="4">
        <v>1908</v>
      </c>
      <c r="F377" s="4">
        <v>14</v>
      </c>
      <c r="G377" s="10">
        <f t="shared" si="5"/>
        <v>136.28571428571428</v>
      </c>
      <c r="H377" s="4">
        <v>1</v>
      </c>
    </row>
    <row r="378" spans="1:8" x14ac:dyDescent="0.2">
      <c r="A378" s="4">
        <v>5584</v>
      </c>
      <c r="B378" s="4" t="s">
        <v>41</v>
      </c>
      <c r="C378" s="4" t="s">
        <v>43</v>
      </c>
      <c r="D378" s="4">
        <f>VLOOKUP(A378,Orders!$A:$E,5,FALSE)</f>
        <v>10</v>
      </c>
      <c r="E378" s="4">
        <v>515</v>
      </c>
      <c r="F378" s="4">
        <v>15</v>
      </c>
      <c r="G378" s="10">
        <f t="shared" si="5"/>
        <v>34.333333333333336</v>
      </c>
      <c r="H378" s="4">
        <v>3</v>
      </c>
    </row>
    <row r="379" spans="1:8" x14ac:dyDescent="0.2">
      <c r="A379" s="4">
        <v>5624</v>
      </c>
      <c r="B379" s="4" t="s">
        <v>41</v>
      </c>
      <c r="C379" s="4" t="s">
        <v>43</v>
      </c>
      <c r="D379" s="4">
        <f>VLOOKUP(A379,Orders!$A:$E,5,FALSE)</f>
        <v>9</v>
      </c>
      <c r="E379" s="4">
        <v>1631</v>
      </c>
      <c r="F379" s="4">
        <v>4</v>
      </c>
      <c r="G379" s="10">
        <f t="shared" si="5"/>
        <v>407.75</v>
      </c>
      <c r="H379" s="4">
        <v>1</v>
      </c>
    </row>
    <row r="380" spans="1:8" x14ac:dyDescent="0.2">
      <c r="A380" s="4">
        <v>5625</v>
      </c>
      <c r="B380" s="4" t="s">
        <v>41</v>
      </c>
      <c r="C380" s="4" t="s">
        <v>43</v>
      </c>
      <c r="D380" s="4">
        <f>VLOOKUP(A380,Orders!$A:$E,5,FALSE)</f>
        <v>8</v>
      </c>
      <c r="E380" s="4">
        <v>1904</v>
      </c>
      <c r="F380" s="4">
        <v>3</v>
      </c>
      <c r="G380" s="10">
        <f t="shared" si="5"/>
        <v>634.66666666666663</v>
      </c>
      <c r="H380" s="4">
        <v>2</v>
      </c>
    </row>
    <row r="381" spans="1:8" x14ac:dyDescent="0.2">
      <c r="A381" s="4">
        <v>5657</v>
      </c>
      <c r="B381" s="4" t="s">
        <v>41</v>
      </c>
      <c r="C381" s="4" t="s">
        <v>43</v>
      </c>
      <c r="D381" s="4">
        <f>VLOOKUP(A381,Orders!$A:$E,5,FALSE)</f>
        <v>7</v>
      </c>
      <c r="E381" s="4">
        <v>1528</v>
      </c>
      <c r="F381" s="4">
        <v>12</v>
      </c>
      <c r="G381" s="10">
        <f t="shared" si="5"/>
        <v>127.33333333333333</v>
      </c>
      <c r="H381" s="4">
        <v>3</v>
      </c>
    </row>
    <row r="382" spans="1:8" x14ac:dyDescent="0.2">
      <c r="A382" s="4">
        <v>5661</v>
      </c>
      <c r="B382" s="4" t="s">
        <v>41</v>
      </c>
      <c r="C382" s="4" t="s">
        <v>43</v>
      </c>
      <c r="D382" s="4">
        <f>VLOOKUP(A382,Orders!$A:$E,5,FALSE)</f>
        <v>6</v>
      </c>
      <c r="E382" s="4">
        <v>27</v>
      </c>
      <c r="F382" s="4">
        <v>15</v>
      </c>
      <c r="G382" s="10">
        <f t="shared" si="5"/>
        <v>1.8</v>
      </c>
      <c r="H382" s="4">
        <v>3</v>
      </c>
    </row>
    <row r="383" spans="1:8" x14ac:dyDescent="0.2">
      <c r="A383" s="4">
        <v>5676</v>
      </c>
      <c r="B383" s="4" t="s">
        <v>41</v>
      </c>
      <c r="C383" s="4" t="s">
        <v>43</v>
      </c>
      <c r="D383" s="4">
        <f>VLOOKUP(A383,Orders!$A:$E,5,FALSE)</f>
        <v>9</v>
      </c>
      <c r="E383" s="4">
        <v>672</v>
      </c>
      <c r="F383" s="4">
        <v>20</v>
      </c>
      <c r="G383" s="10">
        <f t="shared" si="5"/>
        <v>33.6</v>
      </c>
      <c r="H383" s="4">
        <v>2</v>
      </c>
    </row>
    <row r="384" spans="1:8" x14ac:dyDescent="0.2">
      <c r="A384" s="4">
        <v>5687</v>
      </c>
      <c r="B384" s="4" t="s">
        <v>41</v>
      </c>
      <c r="C384" s="4" t="s">
        <v>43</v>
      </c>
      <c r="D384" s="4">
        <f>VLOOKUP(A384,Orders!$A:$E,5,FALSE)</f>
        <v>2</v>
      </c>
      <c r="E384" s="4">
        <v>821</v>
      </c>
      <c r="F384" s="4">
        <v>17</v>
      </c>
      <c r="G384" s="10">
        <f t="shared" si="5"/>
        <v>48.294117647058826</v>
      </c>
      <c r="H384" s="4">
        <v>1</v>
      </c>
    </row>
    <row r="385" spans="1:8" x14ac:dyDescent="0.2">
      <c r="A385" s="4">
        <v>5723</v>
      </c>
      <c r="B385" s="4" t="s">
        <v>41</v>
      </c>
      <c r="C385" s="4" t="s">
        <v>43</v>
      </c>
      <c r="D385" s="4">
        <f>VLOOKUP(A385,Orders!$A:$E,5,FALSE)</f>
        <v>9</v>
      </c>
      <c r="E385" s="4">
        <v>127</v>
      </c>
      <c r="F385" s="4">
        <v>12</v>
      </c>
      <c r="G385" s="10">
        <f t="shared" si="5"/>
        <v>10.583333333333334</v>
      </c>
      <c r="H385" s="4">
        <v>3</v>
      </c>
    </row>
    <row r="386" spans="1:8" x14ac:dyDescent="0.2">
      <c r="A386" s="4">
        <v>5728</v>
      </c>
      <c r="B386" s="4" t="s">
        <v>41</v>
      </c>
      <c r="C386" s="4" t="s">
        <v>43</v>
      </c>
      <c r="D386" s="4">
        <f>VLOOKUP(A386,Orders!$A:$E,5,FALSE)</f>
        <v>6</v>
      </c>
      <c r="E386" s="4">
        <v>1500</v>
      </c>
      <c r="F386" s="4">
        <v>24</v>
      </c>
      <c r="G386" s="10">
        <f t="shared" ref="G386:G449" si="6">E386/F386</f>
        <v>62.5</v>
      </c>
      <c r="H386" s="4">
        <v>3</v>
      </c>
    </row>
    <row r="387" spans="1:8" x14ac:dyDescent="0.2">
      <c r="A387" s="4">
        <v>5737</v>
      </c>
      <c r="B387" s="4" t="s">
        <v>41</v>
      </c>
      <c r="C387" s="4" t="s">
        <v>43</v>
      </c>
      <c r="D387" s="4">
        <f>VLOOKUP(A387,Orders!$A:$E,5,FALSE)</f>
        <v>10</v>
      </c>
      <c r="E387" s="4">
        <v>1336</v>
      </c>
      <c r="F387" s="4">
        <v>24</v>
      </c>
      <c r="G387" s="10">
        <f t="shared" si="6"/>
        <v>55.666666666666664</v>
      </c>
      <c r="H387" s="4">
        <v>1</v>
      </c>
    </row>
    <row r="388" spans="1:8" x14ac:dyDescent="0.2">
      <c r="A388" s="4">
        <v>5761</v>
      </c>
      <c r="B388" s="4" t="s">
        <v>41</v>
      </c>
      <c r="C388" s="4" t="s">
        <v>43</v>
      </c>
      <c r="D388" s="4">
        <f>VLOOKUP(A388,Orders!$A:$E,5,FALSE)</f>
        <v>8</v>
      </c>
      <c r="E388" s="4">
        <v>1775</v>
      </c>
      <c r="F388" s="4">
        <v>2</v>
      </c>
      <c r="G388" s="10">
        <f t="shared" si="6"/>
        <v>887.5</v>
      </c>
      <c r="H388" s="4">
        <v>2</v>
      </c>
    </row>
    <row r="389" spans="1:8" x14ac:dyDescent="0.2">
      <c r="A389" s="4">
        <v>5766</v>
      </c>
      <c r="B389" s="4" t="s">
        <v>41</v>
      </c>
      <c r="C389" s="4" t="s">
        <v>43</v>
      </c>
      <c r="D389" s="4">
        <f>VLOOKUP(A389,Orders!$A:$E,5,FALSE)</f>
        <v>6</v>
      </c>
      <c r="E389" s="4">
        <v>638</v>
      </c>
      <c r="F389" s="4">
        <v>6</v>
      </c>
      <c r="G389" s="10">
        <f t="shared" si="6"/>
        <v>106.33333333333333</v>
      </c>
      <c r="H389" s="4">
        <v>2</v>
      </c>
    </row>
    <row r="390" spans="1:8" x14ac:dyDescent="0.2">
      <c r="A390" s="4">
        <v>5773</v>
      </c>
      <c r="B390" s="4" t="s">
        <v>41</v>
      </c>
      <c r="C390" s="4" t="s">
        <v>43</v>
      </c>
      <c r="D390" s="4">
        <f>VLOOKUP(A390,Orders!$A:$E,5,FALSE)</f>
        <v>3</v>
      </c>
      <c r="E390" s="4">
        <v>1038</v>
      </c>
      <c r="F390" s="4">
        <v>15</v>
      </c>
      <c r="G390" s="10">
        <f t="shared" si="6"/>
        <v>69.2</v>
      </c>
      <c r="H390" s="4">
        <v>2</v>
      </c>
    </row>
    <row r="391" spans="1:8" x14ac:dyDescent="0.2">
      <c r="A391" s="4">
        <v>5778</v>
      </c>
      <c r="B391" s="4" t="s">
        <v>41</v>
      </c>
      <c r="C391" s="4" t="s">
        <v>43</v>
      </c>
      <c r="D391" s="4">
        <f>VLOOKUP(A391,Orders!$A:$E,5,FALSE)</f>
        <v>5</v>
      </c>
      <c r="E391" s="4">
        <v>1808</v>
      </c>
      <c r="F391" s="4">
        <v>20</v>
      </c>
      <c r="G391" s="10">
        <f t="shared" si="6"/>
        <v>90.4</v>
      </c>
      <c r="H391" s="4">
        <v>2</v>
      </c>
    </row>
    <row r="392" spans="1:8" x14ac:dyDescent="0.2">
      <c r="A392" s="4">
        <v>5792</v>
      </c>
      <c r="B392" s="4" t="s">
        <v>41</v>
      </c>
      <c r="C392" s="4" t="s">
        <v>43</v>
      </c>
      <c r="D392" s="4">
        <f>VLOOKUP(A392,Orders!$A:$E,5,FALSE)</f>
        <v>2</v>
      </c>
      <c r="E392" s="4">
        <v>1198</v>
      </c>
      <c r="F392" s="4">
        <v>2</v>
      </c>
      <c r="G392" s="10">
        <f t="shared" si="6"/>
        <v>599</v>
      </c>
      <c r="H392" s="4">
        <v>2</v>
      </c>
    </row>
    <row r="393" spans="1:8" x14ac:dyDescent="0.2">
      <c r="A393" s="4">
        <v>5798</v>
      </c>
      <c r="B393" s="4" t="s">
        <v>41</v>
      </c>
      <c r="C393" s="4" t="s">
        <v>43</v>
      </c>
      <c r="D393" s="4">
        <f>VLOOKUP(A393,Orders!$A:$E,5,FALSE)</f>
        <v>2</v>
      </c>
      <c r="E393" s="4">
        <v>1034</v>
      </c>
      <c r="F393" s="4">
        <v>6</v>
      </c>
      <c r="G393" s="10">
        <f t="shared" si="6"/>
        <v>172.33333333333334</v>
      </c>
      <c r="H393" s="4">
        <v>1</v>
      </c>
    </row>
    <row r="394" spans="1:8" x14ac:dyDescent="0.2">
      <c r="A394" s="4">
        <v>5801</v>
      </c>
      <c r="B394" s="4" t="s">
        <v>41</v>
      </c>
      <c r="C394" s="4" t="s">
        <v>43</v>
      </c>
      <c r="D394" s="4">
        <f>VLOOKUP(A394,Orders!$A:$E,5,FALSE)</f>
        <v>7</v>
      </c>
      <c r="E394" s="4">
        <v>625</v>
      </c>
      <c r="F394" s="4">
        <v>5</v>
      </c>
      <c r="G394" s="10">
        <f t="shared" si="6"/>
        <v>125</v>
      </c>
      <c r="H394" s="4">
        <v>1</v>
      </c>
    </row>
    <row r="395" spans="1:8" x14ac:dyDescent="0.2">
      <c r="A395" s="4">
        <v>5812</v>
      </c>
      <c r="B395" s="4" t="s">
        <v>41</v>
      </c>
      <c r="C395" s="4" t="s">
        <v>43</v>
      </c>
      <c r="D395" s="4">
        <f>VLOOKUP(A395,Orders!$A:$E,5,FALSE)</f>
        <v>3</v>
      </c>
      <c r="E395" s="4">
        <v>522</v>
      </c>
      <c r="F395" s="4">
        <v>24</v>
      </c>
      <c r="G395" s="10">
        <f t="shared" si="6"/>
        <v>21.75</v>
      </c>
      <c r="H395" s="4">
        <v>3</v>
      </c>
    </row>
    <row r="396" spans="1:8" x14ac:dyDescent="0.2">
      <c r="A396" s="4">
        <v>5827</v>
      </c>
      <c r="B396" s="4" t="s">
        <v>41</v>
      </c>
      <c r="C396" s="4" t="s">
        <v>43</v>
      </c>
      <c r="D396" s="4">
        <f>VLOOKUP(A396,Orders!$A:$E,5,FALSE)</f>
        <v>5</v>
      </c>
      <c r="E396" s="4">
        <v>356</v>
      </c>
      <c r="F396" s="4">
        <v>6</v>
      </c>
      <c r="G396" s="10">
        <f t="shared" si="6"/>
        <v>59.333333333333336</v>
      </c>
      <c r="H396" s="4">
        <v>1</v>
      </c>
    </row>
    <row r="397" spans="1:8" x14ac:dyDescent="0.2">
      <c r="A397" s="4">
        <v>5832</v>
      </c>
      <c r="B397" s="4" t="s">
        <v>41</v>
      </c>
      <c r="C397" s="4" t="s">
        <v>43</v>
      </c>
      <c r="D397" s="4">
        <f>VLOOKUP(A397,Orders!$A:$E,5,FALSE)</f>
        <v>5</v>
      </c>
      <c r="E397" s="4">
        <v>198</v>
      </c>
      <c r="F397" s="4">
        <v>10</v>
      </c>
      <c r="G397" s="10">
        <f t="shared" si="6"/>
        <v>19.8</v>
      </c>
      <c r="H397" s="4">
        <v>3</v>
      </c>
    </row>
    <row r="398" spans="1:8" x14ac:dyDescent="0.2">
      <c r="A398" s="4">
        <v>5840</v>
      </c>
      <c r="B398" s="4" t="s">
        <v>41</v>
      </c>
      <c r="C398" s="4" t="s">
        <v>43</v>
      </c>
      <c r="D398" s="4">
        <f>VLOOKUP(A398,Orders!$A:$E,5,FALSE)</f>
        <v>5</v>
      </c>
      <c r="E398" s="4">
        <v>1094</v>
      </c>
      <c r="F398" s="4">
        <v>23</v>
      </c>
      <c r="G398" s="10">
        <f t="shared" si="6"/>
        <v>47.565217391304351</v>
      </c>
      <c r="H398" s="4">
        <v>2</v>
      </c>
    </row>
    <row r="399" spans="1:8" x14ac:dyDescent="0.2">
      <c r="A399" s="4">
        <v>5883</v>
      </c>
      <c r="B399" s="4" t="s">
        <v>41</v>
      </c>
      <c r="C399" s="4" t="s">
        <v>43</v>
      </c>
      <c r="D399" s="4">
        <f>VLOOKUP(A399,Orders!$A:$E,5,FALSE)</f>
        <v>7</v>
      </c>
      <c r="E399" s="4">
        <v>248</v>
      </c>
      <c r="F399" s="4">
        <v>12</v>
      </c>
      <c r="G399" s="10">
        <f t="shared" si="6"/>
        <v>20.666666666666668</v>
      </c>
      <c r="H399" s="4">
        <v>3</v>
      </c>
    </row>
    <row r="400" spans="1:8" x14ac:dyDescent="0.2">
      <c r="A400" s="4">
        <v>5892</v>
      </c>
      <c r="B400" s="4" t="s">
        <v>41</v>
      </c>
      <c r="C400" s="4" t="s">
        <v>43</v>
      </c>
      <c r="D400" s="4">
        <f>VLOOKUP(A400,Orders!$A:$E,5,FALSE)</f>
        <v>5</v>
      </c>
      <c r="E400" s="4">
        <v>509</v>
      </c>
      <c r="F400" s="4">
        <v>23</v>
      </c>
      <c r="G400" s="10">
        <f t="shared" si="6"/>
        <v>22.130434782608695</v>
      </c>
      <c r="H400" s="4">
        <v>2</v>
      </c>
    </row>
    <row r="401" spans="1:8" x14ac:dyDescent="0.2">
      <c r="A401" s="4">
        <v>5894</v>
      </c>
      <c r="B401" s="4" t="s">
        <v>41</v>
      </c>
      <c r="C401" s="4" t="s">
        <v>43</v>
      </c>
      <c r="D401" s="4">
        <f>VLOOKUP(A401,Orders!$A:$E,5,FALSE)</f>
        <v>9</v>
      </c>
      <c r="E401" s="4">
        <v>856</v>
      </c>
      <c r="F401" s="4">
        <v>24</v>
      </c>
      <c r="G401" s="10">
        <f t="shared" si="6"/>
        <v>35.666666666666664</v>
      </c>
      <c r="H401" s="4">
        <v>2</v>
      </c>
    </row>
    <row r="402" spans="1:8" x14ac:dyDescent="0.2">
      <c r="A402" s="4">
        <v>5919</v>
      </c>
      <c r="B402" s="4" t="s">
        <v>41</v>
      </c>
      <c r="C402" s="4" t="s">
        <v>43</v>
      </c>
      <c r="D402" s="4">
        <f>VLOOKUP(A402,Orders!$A:$E,5,FALSE)</f>
        <v>2</v>
      </c>
      <c r="E402" s="4">
        <v>1602</v>
      </c>
      <c r="F402" s="4">
        <v>5</v>
      </c>
      <c r="G402" s="10">
        <f t="shared" si="6"/>
        <v>320.39999999999998</v>
      </c>
      <c r="H402" s="4">
        <v>2</v>
      </c>
    </row>
    <row r="403" spans="1:8" x14ac:dyDescent="0.2">
      <c r="A403" s="4">
        <v>5923</v>
      </c>
      <c r="B403" s="4" t="s">
        <v>41</v>
      </c>
      <c r="C403" s="4" t="s">
        <v>43</v>
      </c>
      <c r="D403" s="4">
        <f>VLOOKUP(A403,Orders!$A:$E,5,FALSE)</f>
        <v>7</v>
      </c>
      <c r="E403" s="4">
        <v>826</v>
      </c>
      <c r="F403" s="4">
        <v>6</v>
      </c>
      <c r="G403" s="10">
        <f t="shared" si="6"/>
        <v>137.66666666666666</v>
      </c>
      <c r="H403" s="4">
        <v>1</v>
      </c>
    </row>
    <row r="404" spans="1:8" x14ac:dyDescent="0.2">
      <c r="A404" s="4">
        <v>5927</v>
      </c>
      <c r="B404" s="4" t="s">
        <v>41</v>
      </c>
      <c r="C404" s="4" t="s">
        <v>43</v>
      </c>
      <c r="D404" s="4">
        <f>VLOOKUP(A404,Orders!$A:$E,5,FALSE)</f>
        <v>9</v>
      </c>
      <c r="E404" s="4">
        <v>792</v>
      </c>
      <c r="F404" s="4">
        <v>6</v>
      </c>
      <c r="G404" s="10">
        <f t="shared" si="6"/>
        <v>132</v>
      </c>
      <c r="H404" s="4">
        <v>1</v>
      </c>
    </row>
    <row r="405" spans="1:8" x14ac:dyDescent="0.2">
      <c r="A405" s="4">
        <v>5953</v>
      </c>
      <c r="B405" s="4" t="s">
        <v>41</v>
      </c>
      <c r="C405" s="4" t="s">
        <v>43</v>
      </c>
      <c r="D405" s="4">
        <f>VLOOKUP(A405,Orders!$A:$E,5,FALSE)</f>
        <v>7</v>
      </c>
      <c r="E405" s="4">
        <v>334</v>
      </c>
      <c r="F405" s="4">
        <v>14</v>
      </c>
      <c r="G405" s="10">
        <f t="shared" si="6"/>
        <v>23.857142857142858</v>
      </c>
      <c r="H405" s="4">
        <v>2</v>
      </c>
    </row>
    <row r="406" spans="1:8" x14ac:dyDescent="0.2">
      <c r="A406" s="4">
        <v>5956</v>
      </c>
      <c r="B406" s="4" t="s">
        <v>41</v>
      </c>
      <c r="C406" s="4" t="s">
        <v>43</v>
      </c>
      <c r="D406" s="4">
        <f>VLOOKUP(A406,Orders!$A:$E,5,FALSE)</f>
        <v>6</v>
      </c>
      <c r="E406" s="4">
        <v>640</v>
      </c>
      <c r="F406" s="4">
        <v>2</v>
      </c>
      <c r="G406" s="10">
        <f t="shared" si="6"/>
        <v>320</v>
      </c>
      <c r="H406" s="4">
        <v>1</v>
      </c>
    </row>
    <row r="407" spans="1:8" x14ac:dyDescent="0.2">
      <c r="A407" s="4">
        <v>5962</v>
      </c>
      <c r="B407" s="4" t="s">
        <v>41</v>
      </c>
      <c r="C407" s="4" t="s">
        <v>43</v>
      </c>
      <c r="D407" s="4">
        <f>VLOOKUP(A407,Orders!$A:$E,5,FALSE)</f>
        <v>7</v>
      </c>
      <c r="E407" s="4">
        <v>1390</v>
      </c>
      <c r="F407" s="4">
        <v>16</v>
      </c>
      <c r="G407" s="10">
        <f t="shared" si="6"/>
        <v>86.875</v>
      </c>
      <c r="H407" s="4">
        <v>2</v>
      </c>
    </row>
    <row r="408" spans="1:8" x14ac:dyDescent="0.2">
      <c r="A408" s="4">
        <v>5980</v>
      </c>
      <c r="B408" s="4" t="s">
        <v>41</v>
      </c>
      <c r="C408" s="4" t="s">
        <v>43</v>
      </c>
      <c r="D408" s="4">
        <f>VLOOKUP(A408,Orders!$A:$E,5,FALSE)</f>
        <v>9</v>
      </c>
      <c r="E408" s="4">
        <v>188</v>
      </c>
      <c r="F408" s="4">
        <v>2</v>
      </c>
      <c r="G408" s="10">
        <f t="shared" si="6"/>
        <v>94</v>
      </c>
      <c r="H408" s="4">
        <v>1</v>
      </c>
    </row>
    <row r="409" spans="1:8" x14ac:dyDescent="0.2">
      <c r="A409" s="4">
        <v>5986</v>
      </c>
      <c r="B409" s="4" t="s">
        <v>41</v>
      </c>
      <c r="C409" s="4" t="s">
        <v>43</v>
      </c>
      <c r="D409" s="4">
        <f>VLOOKUP(A409,Orders!$A:$E,5,FALSE)</f>
        <v>4</v>
      </c>
      <c r="E409" s="4">
        <v>1702</v>
      </c>
      <c r="F409" s="4">
        <v>8</v>
      </c>
      <c r="G409" s="10">
        <f t="shared" si="6"/>
        <v>212.75</v>
      </c>
      <c r="H409" s="4">
        <v>1</v>
      </c>
    </row>
    <row r="410" spans="1:8" x14ac:dyDescent="0.2">
      <c r="A410" s="4">
        <v>6034</v>
      </c>
      <c r="B410" s="4" t="s">
        <v>41</v>
      </c>
      <c r="C410" s="4" t="s">
        <v>43</v>
      </c>
      <c r="D410" s="4">
        <f>VLOOKUP(A410,Orders!$A:$E,5,FALSE)</f>
        <v>8</v>
      </c>
      <c r="E410" s="4">
        <v>338</v>
      </c>
      <c r="F410" s="4">
        <v>5</v>
      </c>
      <c r="G410" s="10">
        <f t="shared" si="6"/>
        <v>67.599999999999994</v>
      </c>
      <c r="H410" s="4">
        <v>1</v>
      </c>
    </row>
    <row r="411" spans="1:8" x14ac:dyDescent="0.2">
      <c r="A411" s="4">
        <v>6068</v>
      </c>
      <c r="B411" s="4" t="s">
        <v>41</v>
      </c>
      <c r="C411" s="4" t="s">
        <v>43</v>
      </c>
      <c r="D411" s="4">
        <f>VLOOKUP(A411,Orders!$A:$E,5,FALSE)</f>
        <v>3</v>
      </c>
      <c r="E411" s="4">
        <v>1845</v>
      </c>
      <c r="F411" s="4">
        <v>17</v>
      </c>
      <c r="G411" s="10">
        <f t="shared" si="6"/>
        <v>108.52941176470588</v>
      </c>
      <c r="H411" s="4">
        <v>1</v>
      </c>
    </row>
    <row r="412" spans="1:8" x14ac:dyDescent="0.2">
      <c r="A412" s="4">
        <v>6072</v>
      </c>
      <c r="B412" s="4" t="s">
        <v>41</v>
      </c>
      <c r="C412" s="4" t="s">
        <v>43</v>
      </c>
      <c r="D412" s="4">
        <f>VLOOKUP(A412,Orders!$A:$E,5,FALSE)</f>
        <v>9</v>
      </c>
      <c r="E412" s="4">
        <v>983</v>
      </c>
      <c r="F412" s="4">
        <v>8</v>
      </c>
      <c r="G412" s="10">
        <f t="shared" si="6"/>
        <v>122.875</v>
      </c>
      <c r="H412" s="4">
        <v>3</v>
      </c>
    </row>
    <row r="413" spans="1:8" x14ac:dyDescent="0.2">
      <c r="A413" s="4">
        <v>6081</v>
      </c>
      <c r="B413" s="4" t="s">
        <v>41</v>
      </c>
      <c r="C413" s="4" t="s">
        <v>43</v>
      </c>
      <c r="D413" s="4">
        <f>VLOOKUP(A413,Orders!$A:$E,5,FALSE)</f>
        <v>5</v>
      </c>
      <c r="E413" s="4">
        <v>850</v>
      </c>
      <c r="F413" s="4">
        <v>20</v>
      </c>
      <c r="G413" s="10">
        <f t="shared" si="6"/>
        <v>42.5</v>
      </c>
      <c r="H413" s="4">
        <v>1</v>
      </c>
    </row>
    <row r="414" spans="1:8" x14ac:dyDescent="0.2">
      <c r="A414" s="4">
        <v>6086</v>
      </c>
      <c r="B414" s="4" t="s">
        <v>41</v>
      </c>
      <c r="C414" s="4" t="s">
        <v>43</v>
      </c>
      <c r="D414" s="4">
        <f>VLOOKUP(A414,Orders!$A:$E,5,FALSE)</f>
        <v>5</v>
      </c>
      <c r="E414" s="4">
        <v>1354</v>
      </c>
      <c r="F414" s="4">
        <v>8</v>
      </c>
      <c r="G414" s="10">
        <f t="shared" si="6"/>
        <v>169.25</v>
      </c>
      <c r="H414" s="4">
        <v>3</v>
      </c>
    </row>
    <row r="415" spans="1:8" x14ac:dyDescent="0.2">
      <c r="A415" s="4">
        <v>6087</v>
      </c>
      <c r="B415" s="4" t="s">
        <v>41</v>
      </c>
      <c r="C415" s="4" t="s">
        <v>43</v>
      </c>
      <c r="D415" s="4">
        <f>VLOOKUP(A415,Orders!$A:$E,5,FALSE)</f>
        <v>10</v>
      </c>
      <c r="E415" s="4">
        <v>866</v>
      </c>
      <c r="F415" s="4">
        <v>5</v>
      </c>
      <c r="G415" s="10">
        <f t="shared" si="6"/>
        <v>173.2</v>
      </c>
      <c r="H415" s="4">
        <v>2</v>
      </c>
    </row>
    <row r="416" spans="1:8" x14ac:dyDescent="0.2">
      <c r="A416" s="4">
        <v>6117</v>
      </c>
      <c r="B416" s="4" t="s">
        <v>41</v>
      </c>
      <c r="C416" s="4" t="s">
        <v>43</v>
      </c>
      <c r="D416" s="4">
        <f>VLOOKUP(A416,Orders!$A:$E,5,FALSE)</f>
        <v>8</v>
      </c>
      <c r="E416" s="4">
        <v>231</v>
      </c>
      <c r="F416" s="4">
        <v>20</v>
      </c>
      <c r="G416" s="10">
        <f t="shared" si="6"/>
        <v>11.55</v>
      </c>
      <c r="H416" s="4">
        <v>1</v>
      </c>
    </row>
    <row r="417" spans="1:8" x14ac:dyDescent="0.2">
      <c r="A417" s="4">
        <v>6124</v>
      </c>
      <c r="B417" s="4" t="s">
        <v>41</v>
      </c>
      <c r="C417" s="4" t="s">
        <v>43</v>
      </c>
      <c r="D417" s="4">
        <f>VLOOKUP(A417,Orders!$A:$E,5,FALSE)</f>
        <v>9</v>
      </c>
      <c r="E417" s="4">
        <v>1669</v>
      </c>
      <c r="F417" s="4">
        <v>10</v>
      </c>
      <c r="G417" s="10">
        <f t="shared" si="6"/>
        <v>166.9</v>
      </c>
      <c r="H417" s="4">
        <v>3</v>
      </c>
    </row>
    <row r="418" spans="1:8" x14ac:dyDescent="0.2">
      <c r="A418" s="4">
        <v>6135</v>
      </c>
      <c r="B418" s="4" t="s">
        <v>41</v>
      </c>
      <c r="C418" s="4" t="s">
        <v>43</v>
      </c>
      <c r="D418" s="4">
        <f>VLOOKUP(A418,Orders!$A:$E,5,FALSE)</f>
        <v>4</v>
      </c>
      <c r="E418" s="4">
        <v>1506</v>
      </c>
      <c r="F418" s="4">
        <v>8</v>
      </c>
      <c r="G418" s="10">
        <f t="shared" si="6"/>
        <v>188.25</v>
      </c>
      <c r="H418" s="4">
        <v>2</v>
      </c>
    </row>
    <row r="419" spans="1:8" x14ac:dyDescent="0.2">
      <c r="A419" s="4">
        <v>6158</v>
      </c>
      <c r="B419" s="4" t="s">
        <v>41</v>
      </c>
      <c r="C419" s="4" t="s">
        <v>43</v>
      </c>
      <c r="D419" s="4">
        <f>VLOOKUP(A419,Orders!$A:$E,5,FALSE)</f>
        <v>3</v>
      </c>
      <c r="E419" s="4">
        <v>1617</v>
      </c>
      <c r="F419" s="4">
        <v>2</v>
      </c>
      <c r="G419" s="10">
        <f t="shared" si="6"/>
        <v>808.5</v>
      </c>
      <c r="H419" s="4">
        <v>3</v>
      </c>
    </row>
    <row r="420" spans="1:8" x14ac:dyDescent="0.2">
      <c r="A420" s="4">
        <v>6159</v>
      </c>
      <c r="B420" s="4" t="s">
        <v>41</v>
      </c>
      <c r="C420" s="4" t="s">
        <v>43</v>
      </c>
      <c r="D420" s="4">
        <f>VLOOKUP(A420,Orders!$A:$E,5,FALSE)</f>
        <v>3</v>
      </c>
      <c r="E420" s="4">
        <v>191</v>
      </c>
      <c r="F420" s="4">
        <v>12</v>
      </c>
      <c r="G420" s="10">
        <f t="shared" si="6"/>
        <v>15.916666666666666</v>
      </c>
      <c r="H420" s="4">
        <v>1</v>
      </c>
    </row>
    <row r="421" spans="1:8" x14ac:dyDescent="0.2">
      <c r="A421" s="4">
        <v>6160</v>
      </c>
      <c r="B421" s="4" t="s">
        <v>41</v>
      </c>
      <c r="C421" s="4" t="s">
        <v>43</v>
      </c>
      <c r="D421" s="4">
        <f>VLOOKUP(A421,Orders!$A:$E,5,FALSE)</f>
        <v>5</v>
      </c>
      <c r="E421" s="4">
        <v>1428</v>
      </c>
      <c r="F421" s="4">
        <v>8</v>
      </c>
      <c r="G421" s="10">
        <f t="shared" si="6"/>
        <v>178.5</v>
      </c>
      <c r="H421" s="4">
        <v>2</v>
      </c>
    </row>
    <row r="422" spans="1:8" x14ac:dyDescent="0.2">
      <c r="A422" s="4">
        <v>6170</v>
      </c>
      <c r="B422" s="4" t="s">
        <v>41</v>
      </c>
      <c r="C422" s="4" t="s">
        <v>43</v>
      </c>
      <c r="D422" s="4">
        <f>VLOOKUP(A422,Orders!$A:$E,5,FALSE)</f>
        <v>6</v>
      </c>
      <c r="E422" s="4">
        <v>1375</v>
      </c>
      <c r="F422" s="4">
        <v>10</v>
      </c>
      <c r="G422" s="10">
        <f t="shared" si="6"/>
        <v>137.5</v>
      </c>
      <c r="H422" s="4">
        <v>1</v>
      </c>
    </row>
    <row r="423" spans="1:8" x14ac:dyDescent="0.2">
      <c r="A423" s="4">
        <v>6180</v>
      </c>
      <c r="B423" s="4" t="s">
        <v>41</v>
      </c>
      <c r="C423" s="4" t="s">
        <v>43</v>
      </c>
      <c r="D423" s="4">
        <f>VLOOKUP(A423,Orders!$A:$E,5,FALSE)</f>
        <v>2</v>
      </c>
      <c r="E423" s="4">
        <v>1792</v>
      </c>
      <c r="F423" s="4">
        <v>14</v>
      </c>
      <c r="G423" s="10">
        <f t="shared" si="6"/>
        <v>128</v>
      </c>
      <c r="H423" s="4">
        <v>2</v>
      </c>
    </row>
    <row r="424" spans="1:8" x14ac:dyDescent="0.2">
      <c r="A424" s="4">
        <v>6181</v>
      </c>
      <c r="B424" s="4" t="s">
        <v>41</v>
      </c>
      <c r="C424" s="4" t="s">
        <v>43</v>
      </c>
      <c r="D424" s="4">
        <f>VLOOKUP(A424,Orders!$A:$E,5,FALSE)</f>
        <v>8</v>
      </c>
      <c r="E424" s="4">
        <v>555</v>
      </c>
      <c r="F424" s="4">
        <v>22</v>
      </c>
      <c r="G424" s="10">
        <f t="shared" si="6"/>
        <v>25.227272727272727</v>
      </c>
      <c r="H424" s="4">
        <v>3</v>
      </c>
    </row>
    <row r="425" spans="1:8" x14ac:dyDescent="0.2">
      <c r="A425" s="4">
        <v>6204</v>
      </c>
      <c r="B425" s="4" t="s">
        <v>41</v>
      </c>
      <c r="C425" s="4" t="s">
        <v>43</v>
      </c>
      <c r="D425" s="4">
        <f>VLOOKUP(A425,Orders!$A:$E,5,FALSE)</f>
        <v>2</v>
      </c>
      <c r="E425" s="4">
        <v>213</v>
      </c>
      <c r="F425" s="4">
        <v>24</v>
      </c>
      <c r="G425" s="10">
        <f t="shared" si="6"/>
        <v>8.875</v>
      </c>
      <c r="H425" s="4">
        <v>3</v>
      </c>
    </row>
    <row r="426" spans="1:8" x14ac:dyDescent="0.2">
      <c r="A426" s="4">
        <v>6209</v>
      </c>
      <c r="B426" s="4" t="s">
        <v>41</v>
      </c>
      <c r="C426" s="4" t="s">
        <v>43</v>
      </c>
      <c r="D426" s="4">
        <f>VLOOKUP(A426,Orders!$A:$E,5,FALSE)</f>
        <v>3</v>
      </c>
      <c r="E426" s="4">
        <v>1900</v>
      </c>
      <c r="F426" s="4">
        <v>21</v>
      </c>
      <c r="G426" s="10">
        <f t="shared" si="6"/>
        <v>90.476190476190482</v>
      </c>
      <c r="H426" s="4">
        <v>3</v>
      </c>
    </row>
    <row r="427" spans="1:8" x14ac:dyDescent="0.2">
      <c r="A427" s="4">
        <v>6212</v>
      </c>
      <c r="B427" s="4" t="s">
        <v>41</v>
      </c>
      <c r="C427" s="4" t="s">
        <v>43</v>
      </c>
      <c r="D427" s="4">
        <f>VLOOKUP(A427,Orders!$A:$E,5,FALSE)</f>
        <v>9</v>
      </c>
      <c r="E427" s="4">
        <v>1220</v>
      </c>
      <c r="F427" s="4">
        <v>5</v>
      </c>
      <c r="G427" s="10">
        <f t="shared" si="6"/>
        <v>244</v>
      </c>
      <c r="H427" s="4">
        <v>2</v>
      </c>
    </row>
    <row r="428" spans="1:8" x14ac:dyDescent="0.2">
      <c r="A428" s="4">
        <v>6219</v>
      </c>
      <c r="B428" s="4" t="s">
        <v>41</v>
      </c>
      <c r="C428" s="4" t="s">
        <v>43</v>
      </c>
      <c r="D428" s="4">
        <f>VLOOKUP(A428,Orders!$A:$E,5,FALSE)</f>
        <v>2</v>
      </c>
      <c r="E428" s="4">
        <v>1803</v>
      </c>
      <c r="F428" s="4">
        <v>18</v>
      </c>
      <c r="G428" s="10">
        <f t="shared" si="6"/>
        <v>100.16666666666667</v>
      </c>
      <c r="H428" s="4">
        <v>3</v>
      </c>
    </row>
    <row r="429" spans="1:8" x14ac:dyDescent="0.2">
      <c r="A429" s="4">
        <v>6230</v>
      </c>
      <c r="B429" s="4" t="s">
        <v>41</v>
      </c>
      <c r="C429" s="4" t="s">
        <v>43</v>
      </c>
      <c r="D429" s="4">
        <f>VLOOKUP(A429,Orders!$A:$E,5,FALSE)</f>
        <v>4</v>
      </c>
      <c r="E429" s="4">
        <v>1548</v>
      </c>
      <c r="F429" s="4">
        <v>6</v>
      </c>
      <c r="G429" s="10">
        <f t="shared" si="6"/>
        <v>258</v>
      </c>
      <c r="H429" s="4">
        <v>2</v>
      </c>
    </row>
    <row r="430" spans="1:8" x14ac:dyDescent="0.2">
      <c r="A430" s="4">
        <v>6231</v>
      </c>
      <c r="B430" s="4" t="s">
        <v>41</v>
      </c>
      <c r="C430" s="4" t="s">
        <v>43</v>
      </c>
      <c r="D430" s="4">
        <f>VLOOKUP(A430,Orders!$A:$E,5,FALSE)</f>
        <v>7</v>
      </c>
      <c r="E430" s="4">
        <v>1953</v>
      </c>
      <c r="F430" s="4">
        <v>8</v>
      </c>
      <c r="G430" s="10">
        <f t="shared" si="6"/>
        <v>244.125</v>
      </c>
      <c r="H430" s="4">
        <v>1</v>
      </c>
    </row>
    <row r="431" spans="1:8" x14ac:dyDescent="0.2">
      <c r="A431" s="4">
        <v>6233</v>
      </c>
      <c r="B431" s="4" t="s">
        <v>41</v>
      </c>
      <c r="C431" s="4" t="s">
        <v>43</v>
      </c>
      <c r="D431" s="4">
        <f>VLOOKUP(A431,Orders!$A:$E,5,FALSE)</f>
        <v>4</v>
      </c>
      <c r="E431" s="4">
        <v>811</v>
      </c>
      <c r="F431" s="4">
        <v>6</v>
      </c>
      <c r="G431" s="10">
        <f t="shared" si="6"/>
        <v>135.16666666666666</v>
      </c>
      <c r="H431" s="4">
        <v>3</v>
      </c>
    </row>
    <row r="432" spans="1:8" x14ac:dyDescent="0.2">
      <c r="A432" s="4">
        <v>6245</v>
      </c>
      <c r="B432" s="4" t="s">
        <v>41</v>
      </c>
      <c r="C432" s="4" t="s">
        <v>43</v>
      </c>
      <c r="D432" s="4">
        <f>VLOOKUP(A432,Orders!$A:$E,5,FALSE)</f>
        <v>3</v>
      </c>
      <c r="E432" s="4">
        <v>1059</v>
      </c>
      <c r="F432" s="4">
        <v>13</v>
      </c>
      <c r="G432" s="10">
        <f t="shared" si="6"/>
        <v>81.461538461538467</v>
      </c>
      <c r="H432" s="4">
        <v>3</v>
      </c>
    </row>
    <row r="433" spans="1:8" x14ac:dyDescent="0.2">
      <c r="A433" s="4">
        <v>6273</v>
      </c>
      <c r="B433" s="4" t="s">
        <v>41</v>
      </c>
      <c r="C433" s="4" t="s">
        <v>43</v>
      </c>
      <c r="D433" s="4">
        <f>VLOOKUP(A433,Orders!$A:$E,5,FALSE)</f>
        <v>8</v>
      </c>
      <c r="E433" s="4">
        <v>1725</v>
      </c>
      <c r="F433" s="4">
        <v>7</v>
      </c>
      <c r="G433" s="10">
        <f t="shared" si="6"/>
        <v>246.42857142857142</v>
      </c>
      <c r="H433" s="4">
        <v>2</v>
      </c>
    </row>
    <row r="434" spans="1:8" x14ac:dyDescent="0.2">
      <c r="A434" s="4">
        <v>6276</v>
      </c>
      <c r="B434" s="4" t="s">
        <v>41</v>
      </c>
      <c r="C434" s="4" t="s">
        <v>43</v>
      </c>
      <c r="D434" s="4">
        <f>VLOOKUP(A434,Orders!$A:$E,5,FALSE)</f>
        <v>3</v>
      </c>
      <c r="E434" s="4">
        <v>1727</v>
      </c>
      <c r="F434" s="4">
        <v>14</v>
      </c>
      <c r="G434" s="10">
        <f t="shared" si="6"/>
        <v>123.35714285714286</v>
      </c>
      <c r="H434" s="4">
        <v>3</v>
      </c>
    </row>
    <row r="435" spans="1:8" x14ac:dyDescent="0.2">
      <c r="A435" s="4">
        <v>6295</v>
      </c>
      <c r="B435" s="4" t="s">
        <v>41</v>
      </c>
      <c r="C435" s="4" t="s">
        <v>43</v>
      </c>
      <c r="D435" s="4">
        <f>VLOOKUP(A435,Orders!$A:$E,5,FALSE)</f>
        <v>8</v>
      </c>
      <c r="E435" s="4">
        <v>1254</v>
      </c>
      <c r="F435" s="4">
        <v>7</v>
      </c>
      <c r="G435" s="10">
        <f t="shared" si="6"/>
        <v>179.14285714285714</v>
      </c>
      <c r="H435" s="4">
        <v>1</v>
      </c>
    </row>
    <row r="436" spans="1:8" x14ac:dyDescent="0.2">
      <c r="A436" s="4">
        <v>6362</v>
      </c>
      <c r="B436" s="4" t="s">
        <v>41</v>
      </c>
      <c r="C436" s="4" t="s">
        <v>43</v>
      </c>
      <c r="D436" s="4">
        <f>VLOOKUP(A436,Orders!$A:$E,5,FALSE)</f>
        <v>10</v>
      </c>
      <c r="E436" s="4">
        <v>1891</v>
      </c>
      <c r="F436" s="4">
        <v>17</v>
      </c>
      <c r="G436" s="10">
        <f t="shared" si="6"/>
        <v>111.23529411764706</v>
      </c>
      <c r="H436" s="4">
        <v>3</v>
      </c>
    </row>
    <row r="437" spans="1:8" x14ac:dyDescent="0.2">
      <c r="A437" s="4">
        <v>6383</v>
      </c>
      <c r="B437" s="4" t="s">
        <v>41</v>
      </c>
      <c r="C437" s="4" t="s">
        <v>43</v>
      </c>
      <c r="D437" s="4">
        <f>VLOOKUP(A437,Orders!$A:$E,5,FALSE)</f>
        <v>7</v>
      </c>
      <c r="E437" s="4">
        <v>1683</v>
      </c>
      <c r="F437" s="4">
        <v>24</v>
      </c>
      <c r="G437" s="10">
        <f t="shared" si="6"/>
        <v>70.125</v>
      </c>
      <c r="H437" s="4">
        <v>2</v>
      </c>
    </row>
    <row r="438" spans="1:8" x14ac:dyDescent="0.2">
      <c r="A438" s="4">
        <v>6400</v>
      </c>
      <c r="B438" s="4" t="s">
        <v>41</v>
      </c>
      <c r="C438" s="4" t="s">
        <v>43</v>
      </c>
      <c r="D438" s="4">
        <f>VLOOKUP(A438,Orders!$A:$E,5,FALSE)</f>
        <v>10</v>
      </c>
      <c r="E438" s="4">
        <v>1084</v>
      </c>
      <c r="F438" s="4">
        <v>9</v>
      </c>
      <c r="G438" s="10">
        <f t="shared" si="6"/>
        <v>120.44444444444444</v>
      </c>
      <c r="H438" s="4">
        <v>2</v>
      </c>
    </row>
    <row r="439" spans="1:8" x14ac:dyDescent="0.2">
      <c r="A439" s="4">
        <v>6439</v>
      </c>
      <c r="B439" s="4" t="s">
        <v>41</v>
      </c>
      <c r="C439" s="4" t="s">
        <v>43</v>
      </c>
      <c r="D439" s="4">
        <f>VLOOKUP(A439,Orders!$A:$E,5,FALSE)</f>
        <v>8</v>
      </c>
      <c r="E439" s="4">
        <v>1615</v>
      </c>
      <c r="F439" s="4">
        <v>6</v>
      </c>
      <c r="G439" s="10">
        <f t="shared" si="6"/>
        <v>269.16666666666669</v>
      </c>
      <c r="H439" s="4">
        <v>3</v>
      </c>
    </row>
    <row r="440" spans="1:8" x14ac:dyDescent="0.2">
      <c r="A440" s="4">
        <v>6448</v>
      </c>
      <c r="B440" s="4" t="s">
        <v>41</v>
      </c>
      <c r="C440" s="4" t="s">
        <v>43</v>
      </c>
      <c r="D440" s="4">
        <f>VLOOKUP(A440,Orders!$A:$E,5,FALSE)</f>
        <v>2</v>
      </c>
      <c r="E440" s="4">
        <v>1260</v>
      </c>
      <c r="F440" s="4">
        <v>23</v>
      </c>
      <c r="G440" s="10">
        <f t="shared" si="6"/>
        <v>54.782608695652172</v>
      </c>
      <c r="H440" s="4">
        <v>1</v>
      </c>
    </row>
    <row r="441" spans="1:8" x14ac:dyDescent="0.2">
      <c r="A441" s="4">
        <v>6449</v>
      </c>
      <c r="B441" s="4" t="s">
        <v>41</v>
      </c>
      <c r="C441" s="4" t="s">
        <v>43</v>
      </c>
      <c r="D441" s="4">
        <f>VLOOKUP(A441,Orders!$A:$E,5,FALSE)</f>
        <v>9</v>
      </c>
      <c r="E441" s="4">
        <v>803</v>
      </c>
      <c r="F441" s="4">
        <v>14</v>
      </c>
      <c r="G441" s="10">
        <f t="shared" si="6"/>
        <v>57.357142857142854</v>
      </c>
      <c r="H441" s="4">
        <v>1</v>
      </c>
    </row>
    <row r="442" spans="1:8" x14ac:dyDescent="0.2">
      <c r="A442" s="4">
        <v>6457</v>
      </c>
      <c r="B442" s="4" t="s">
        <v>41</v>
      </c>
      <c r="C442" s="4" t="s">
        <v>43</v>
      </c>
      <c r="D442" s="4">
        <f>VLOOKUP(A442,Orders!$A:$E,5,FALSE)</f>
        <v>10</v>
      </c>
      <c r="E442" s="4">
        <v>602</v>
      </c>
      <c r="F442" s="4">
        <v>2</v>
      </c>
      <c r="G442" s="10">
        <f t="shared" si="6"/>
        <v>301</v>
      </c>
      <c r="H442" s="4">
        <v>3</v>
      </c>
    </row>
    <row r="443" spans="1:8" x14ac:dyDescent="0.2">
      <c r="A443" s="4">
        <v>6484</v>
      </c>
      <c r="B443" s="4" t="s">
        <v>41</v>
      </c>
      <c r="C443" s="4" t="s">
        <v>43</v>
      </c>
      <c r="D443" s="4">
        <f>VLOOKUP(A443,Orders!$A:$E,5,FALSE)</f>
        <v>5</v>
      </c>
      <c r="E443" s="4">
        <v>1595</v>
      </c>
      <c r="F443" s="4">
        <v>5</v>
      </c>
      <c r="G443" s="10">
        <f t="shared" si="6"/>
        <v>319</v>
      </c>
      <c r="H443" s="4">
        <v>3</v>
      </c>
    </row>
    <row r="444" spans="1:8" x14ac:dyDescent="0.2">
      <c r="A444" s="4">
        <v>6485</v>
      </c>
      <c r="B444" s="4" t="s">
        <v>41</v>
      </c>
      <c r="C444" s="4" t="s">
        <v>43</v>
      </c>
      <c r="D444" s="4">
        <f>VLOOKUP(A444,Orders!$A:$E,5,FALSE)</f>
        <v>6</v>
      </c>
      <c r="E444" s="4">
        <v>444</v>
      </c>
      <c r="F444" s="4">
        <v>2</v>
      </c>
      <c r="G444" s="10">
        <f t="shared" si="6"/>
        <v>222</v>
      </c>
      <c r="H444" s="4">
        <v>3</v>
      </c>
    </row>
    <row r="445" spans="1:8" x14ac:dyDescent="0.2">
      <c r="A445" s="4">
        <v>6488</v>
      </c>
      <c r="B445" s="4" t="s">
        <v>41</v>
      </c>
      <c r="C445" s="4" t="s">
        <v>43</v>
      </c>
      <c r="D445" s="4">
        <f>VLOOKUP(A445,Orders!$A:$E,5,FALSE)</f>
        <v>9</v>
      </c>
      <c r="E445" s="4">
        <v>1078</v>
      </c>
      <c r="F445" s="4">
        <v>5</v>
      </c>
      <c r="G445" s="10">
        <f t="shared" si="6"/>
        <v>215.6</v>
      </c>
      <c r="H445" s="4">
        <v>3</v>
      </c>
    </row>
    <row r="446" spans="1:8" x14ac:dyDescent="0.2">
      <c r="A446" s="4">
        <v>6490</v>
      </c>
      <c r="B446" s="4" t="s">
        <v>41</v>
      </c>
      <c r="C446" s="4" t="s">
        <v>43</v>
      </c>
      <c r="D446" s="4">
        <f>VLOOKUP(A446,Orders!$A:$E,5,FALSE)</f>
        <v>6</v>
      </c>
      <c r="E446" s="4">
        <v>721</v>
      </c>
      <c r="F446" s="4">
        <v>24</v>
      </c>
      <c r="G446" s="10">
        <f t="shared" si="6"/>
        <v>30.041666666666668</v>
      </c>
      <c r="H446" s="4">
        <v>1</v>
      </c>
    </row>
    <row r="447" spans="1:8" x14ac:dyDescent="0.2">
      <c r="A447" s="4">
        <v>5011</v>
      </c>
      <c r="B447" s="4" t="s">
        <v>47</v>
      </c>
      <c r="C447" s="4" t="s">
        <v>43</v>
      </c>
      <c r="D447" s="4">
        <f>VLOOKUP(A447,Orders!$A:$E,5,FALSE)</f>
        <v>3</v>
      </c>
      <c r="E447" s="4">
        <v>496</v>
      </c>
      <c r="F447" s="4">
        <v>5</v>
      </c>
      <c r="G447" s="10">
        <f t="shared" si="6"/>
        <v>99.2</v>
      </c>
      <c r="H447" s="4">
        <v>3</v>
      </c>
    </row>
    <row r="448" spans="1:8" x14ac:dyDescent="0.2">
      <c r="A448" s="4">
        <v>5055</v>
      </c>
      <c r="B448" s="4" t="s">
        <v>47</v>
      </c>
      <c r="C448" s="4" t="s">
        <v>43</v>
      </c>
      <c r="D448" s="4">
        <f>VLOOKUP(A448,Orders!$A:$E,5,FALSE)</f>
        <v>7</v>
      </c>
      <c r="E448" s="4">
        <v>609</v>
      </c>
      <c r="F448" s="4">
        <v>10</v>
      </c>
      <c r="G448" s="10">
        <f t="shared" si="6"/>
        <v>60.9</v>
      </c>
      <c r="H448" s="4">
        <v>2</v>
      </c>
    </row>
    <row r="449" spans="1:8" x14ac:dyDescent="0.2">
      <c r="A449" s="4">
        <v>5059</v>
      </c>
      <c r="B449" s="4" t="s">
        <v>47</v>
      </c>
      <c r="C449" s="4" t="s">
        <v>43</v>
      </c>
      <c r="D449" s="4">
        <f>VLOOKUP(A449,Orders!$A:$E,5,FALSE)</f>
        <v>4</v>
      </c>
      <c r="E449" s="4">
        <v>1245</v>
      </c>
      <c r="F449" s="4">
        <v>3</v>
      </c>
      <c r="G449" s="10">
        <f t="shared" si="6"/>
        <v>415</v>
      </c>
      <c r="H449" s="4">
        <v>3</v>
      </c>
    </row>
    <row r="450" spans="1:8" x14ac:dyDescent="0.2">
      <c r="A450" s="4">
        <v>5060</v>
      </c>
      <c r="B450" s="4" t="s">
        <v>47</v>
      </c>
      <c r="C450" s="4" t="s">
        <v>43</v>
      </c>
      <c r="D450" s="4">
        <f>VLOOKUP(A450,Orders!$A:$E,5,FALSE)</f>
        <v>3</v>
      </c>
      <c r="E450" s="4">
        <v>1020</v>
      </c>
      <c r="F450" s="4">
        <v>2</v>
      </c>
      <c r="G450" s="10">
        <f t="shared" ref="G450:G513" si="7">E450/F450</f>
        <v>510</v>
      </c>
      <c r="H450" s="4">
        <v>2</v>
      </c>
    </row>
    <row r="451" spans="1:8" x14ac:dyDescent="0.2">
      <c r="A451" s="4">
        <v>5066</v>
      </c>
      <c r="B451" s="4" t="s">
        <v>47</v>
      </c>
      <c r="C451" s="4" t="s">
        <v>43</v>
      </c>
      <c r="D451" s="4">
        <f>VLOOKUP(A451,Orders!$A:$E,5,FALSE)</f>
        <v>3</v>
      </c>
      <c r="E451" s="4">
        <v>689</v>
      </c>
      <c r="F451" s="4">
        <v>7</v>
      </c>
      <c r="G451" s="10">
        <f t="shared" si="7"/>
        <v>98.428571428571431</v>
      </c>
      <c r="H451" s="4">
        <v>3</v>
      </c>
    </row>
    <row r="452" spans="1:8" x14ac:dyDescent="0.2">
      <c r="A452" s="4">
        <v>5098</v>
      </c>
      <c r="B452" s="4" t="s">
        <v>47</v>
      </c>
      <c r="C452" s="4" t="s">
        <v>43</v>
      </c>
      <c r="D452" s="4">
        <f>VLOOKUP(A452,Orders!$A:$E,5,FALSE)</f>
        <v>7</v>
      </c>
      <c r="E452" s="4">
        <v>93</v>
      </c>
      <c r="F452" s="4">
        <v>2</v>
      </c>
      <c r="G452" s="10">
        <f t="shared" si="7"/>
        <v>46.5</v>
      </c>
      <c r="H452" s="4">
        <v>3</v>
      </c>
    </row>
    <row r="453" spans="1:8" x14ac:dyDescent="0.2">
      <c r="A453" s="4">
        <v>5101</v>
      </c>
      <c r="B453" s="4" t="s">
        <v>47</v>
      </c>
      <c r="C453" s="4" t="s">
        <v>43</v>
      </c>
      <c r="D453" s="4">
        <f>VLOOKUP(A453,Orders!$A:$E,5,FALSE)</f>
        <v>8</v>
      </c>
      <c r="E453" s="4">
        <v>577</v>
      </c>
      <c r="F453" s="4">
        <v>5</v>
      </c>
      <c r="G453" s="10">
        <f t="shared" si="7"/>
        <v>115.4</v>
      </c>
      <c r="H453" s="4">
        <v>2</v>
      </c>
    </row>
    <row r="454" spans="1:8" x14ac:dyDescent="0.2">
      <c r="A454" s="4">
        <v>5105</v>
      </c>
      <c r="B454" s="4" t="s">
        <v>47</v>
      </c>
      <c r="C454" s="4" t="s">
        <v>43</v>
      </c>
      <c r="D454" s="4">
        <f>VLOOKUP(A454,Orders!$A:$E,5,FALSE)</f>
        <v>10</v>
      </c>
      <c r="E454" s="4">
        <v>1527</v>
      </c>
      <c r="F454" s="4">
        <v>20</v>
      </c>
      <c r="G454" s="10">
        <f t="shared" si="7"/>
        <v>76.349999999999994</v>
      </c>
      <c r="H454" s="4">
        <v>2</v>
      </c>
    </row>
    <row r="455" spans="1:8" x14ac:dyDescent="0.2">
      <c r="A455" s="4">
        <v>5143</v>
      </c>
      <c r="B455" s="4" t="s">
        <v>47</v>
      </c>
      <c r="C455" s="4" t="s">
        <v>43</v>
      </c>
      <c r="D455" s="4">
        <f>VLOOKUP(A455,Orders!$A:$E,5,FALSE)</f>
        <v>3</v>
      </c>
      <c r="E455" s="4">
        <v>1233</v>
      </c>
      <c r="F455" s="4">
        <v>6</v>
      </c>
      <c r="G455" s="10">
        <f t="shared" si="7"/>
        <v>205.5</v>
      </c>
      <c r="H455" s="4">
        <v>1</v>
      </c>
    </row>
    <row r="456" spans="1:8" x14ac:dyDescent="0.2">
      <c r="A456" s="4">
        <v>5162</v>
      </c>
      <c r="B456" s="4" t="s">
        <v>47</v>
      </c>
      <c r="C456" s="4" t="s">
        <v>43</v>
      </c>
      <c r="D456" s="4">
        <f>VLOOKUP(A456,Orders!$A:$E,5,FALSE)</f>
        <v>10</v>
      </c>
      <c r="E456" s="4">
        <v>1220</v>
      </c>
      <c r="F456" s="4">
        <v>11</v>
      </c>
      <c r="G456" s="10">
        <f t="shared" si="7"/>
        <v>110.90909090909091</v>
      </c>
      <c r="H456" s="4">
        <v>2</v>
      </c>
    </row>
    <row r="457" spans="1:8" x14ac:dyDescent="0.2">
      <c r="A457" s="4">
        <v>5173</v>
      </c>
      <c r="B457" s="4" t="s">
        <v>47</v>
      </c>
      <c r="C457" s="4" t="s">
        <v>43</v>
      </c>
      <c r="D457" s="4">
        <f>VLOOKUP(A457,Orders!$A:$E,5,FALSE)</f>
        <v>5</v>
      </c>
      <c r="E457" s="4">
        <v>701</v>
      </c>
      <c r="F457" s="4">
        <v>23</v>
      </c>
      <c r="G457" s="10">
        <f t="shared" si="7"/>
        <v>30.478260869565219</v>
      </c>
      <c r="H457" s="4">
        <v>2</v>
      </c>
    </row>
    <row r="458" spans="1:8" x14ac:dyDescent="0.2">
      <c r="A458" s="4">
        <v>5179</v>
      </c>
      <c r="B458" s="4" t="s">
        <v>47</v>
      </c>
      <c r="C458" s="4" t="s">
        <v>43</v>
      </c>
      <c r="D458" s="4">
        <f>VLOOKUP(A458,Orders!$A:$E,5,FALSE)</f>
        <v>2</v>
      </c>
      <c r="E458" s="4">
        <v>657</v>
      </c>
      <c r="F458" s="4">
        <v>10</v>
      </c>
      <c r="G458" s="10">
        <f t="shared" si="7"/>
        <v>65.7</v>
      </c>
      <c r="H458" s="4">
        <v>3</v>
      </c>
    </row>
    <row r="459" spans="1:8" x14ac:dyDescent="0.2">
      <c r="A459" s="4">
        <v>5182</v>
      </c>
      <c r="B459" s="4" t="s">
        <v>47</v>
      </c>
      <c r="C459" s="4" t="s">
        <v>43</v>
      </c>
      <c r="D459" s="4">
        <f>VLOOKUP(A459,Orders!$A:$E,5,FALSE)</f>
        <v>7</v>
      </c>
      <c r="E459" s="4">
        <v>400</v>
      </c>
      <c r="F459" s="4">
        <v>12</v>
      </c>
      <c r="G459" s="10">
        <f t="shared" si="7"/>
        <v>33.333333333333336</v>
      </c>
      <c r="H459" s="4">
        <v>3</v>
      </c>
    </row>
    <row r="460" spans="1:8" x14ac:dyDescent="0.2">
      <c r="A460" s="4">
        <v>5202</v>
      </c>
      <c r="B460" s="4" t="s">
        <v>47</v>
      </c>
      <c r="C460" s="4" t="s">
        <v>43</v>
      </c>
      <c r="D460" s="4">
        <f>VLOOKUP(A460,Orders!$A:$E,5,FALSE)</f>
        <v>9</v>
      </c>
      <c r="E460" s="4">
        <v>919</v>
      </c>
      <c r="F460" s="4">
        <v>21</v>
      </c>
      <c r="G460" s="10">
        <f t="shared" si="7"/>
        <v>43.761904761904759</v>
      </c>
      <c r="H460" s="4">
        <v>2</v>
      </c>
    </row>
    <row r="461" spans="1:8" x14ac:dyDescent="0.2">
      <c r="A461" s="4">
        <v>5218</v>
      </c>
      <c r="B461" s="4" t="s">
        <v>47</v>
      </c>
      <c r="C461" s="4" t="s">
        <v>43</v>
      </c>
      <c r="D461" s="4">
        <f>VLOOKUP(A461,Orders!$A:$E,5,FALSE)</f>
        <v>3</v>
      </c>
      <c r="E461" s="4">
        <v>813</v>
      </c>
      <c r="F461" s="4">
        <v>6</v>
      </c>
      <c r="G461" s="10">
        <f t="shared" si="7"/>
        <v>135.5</v>
      </c>
      <c r="H461" s="4">
        <v>2</v>
      </c>
    </row>
    <row r="462" spans="1:8" x14ac:dyDescent="0.2">
      <c r="A462" s="4">
        <v>5257</v>
      </c>
      <c r="B462" s="4" t="s">
        <v>47</v>
      </c>
      <c r="C462" s="4" t="s">
        <v>43</v>
      </c>
      <c r="D462" s="4">
        <f>VLOOKUP(A462,Orders!$A:$E,5,FALSE)</f>
        <v>9</v>
      </c>
      <c r="E462" s="4">
        <v>786</v>
      </c>
      <c r="F462" s="4">
        <v>20</v>
      </c>
      <c r="G462" s="10">
        <f t="shared" si="7"/>
        <v>39.299999999999997</v>
      </c>
      <c r="H462" s="4">
        <v>2</v>
      </c>
    </row>
    <row r="463" spans="1:8" x14ac:dyDescent="0.2">
      <c r="A463" s="4">
        <v>5317</v>
      </c>
      <c r="B463" s="4" t="s">
        <v>47</v>
      </c>
      <c r="C463" s="4" t="s">
        <v>43</v>
      </c>
      <c r="D463" s="4">
        <f>VLOOKUP(A463,Orders!$A:$E,5,FALSE)</f>
        <v>3</v>
      </c>
      <c r="E463" s="4">
        <v>1762</v>
      </c>
      <c r="F463" s="4">
        <v>8</v>
      </c>
      <c r="G463" s="10">
        <f t="shared" si="7"/>
        <v>220.25</v>
      </c>
      <c r="H463" s="4">
        <v>3</v>
      </c>
    </row>
    <row r="464" spans="1:8" x14ac:dyDescent="0.2">
      <c r="A464" s="4">
        <v>5332</v>
      </c>
      <c r="B464" s="4" t="s">
        <v>47</v>
      </c>
      <c r="C464" s="4" t="s">
        <v>43</v>
      </c>
      <c r="D464" s="4">
        <f>VLOOKUP(A464,Orders!$A:$E,5,FALSE)</f>
        <v>10</v>
      </c>
      <c r="E464" s="4">
        <v>1267</v>
      </c>
      <c r="F464" s="4">
        <v>10</v>
      </c>
      <c r="G464" s="10">
        <f t="shared" si="7"/>
        <v>126.7</v>
      </c>
      <c r="H464" s="4">
        <v>3</v>
      </c>
    </row>
    <row r="465" spans="1:8" x14ac:dyDescent="0.2">
      <c r="A465" s="4">
        <v>5403</v>
      </c>
      <c r="B465" s="4" t="s">
        <v>47</v>
      </c>
      <c r="C465" s="4" t="s">
        <v>43</v>
      </c>
      <c r="D465" s="4">
        <f>VLOOKUP(A465,Orders!$A:$E,5,FALSE)</f>
        <v>4</v>
      </c>
      <c r="E465" s="4">
        <v>353</v>
      </c>
      <c r="F465" s="4">
        <v>8</v>
      </c>
      <c r="G465" s="10">
        <f t="shared" si="7"/>
        <v>44.125</v>
      </c>
      <c r="H465" s="4">
        <v>1</v>
      </c>
    </row>
    <row r="466" spans="1:8" x14ac:dyDescent="0.2">
      <c r="A466" s="4">
        <v>5422</v>
      </c>
      <c r="B466" s="4" t="s">
        <v>47</v>
      </c>
      <c r="C466" s="4" t="s">
        <v>43</v>
      </c>
      <c r="D466" s="4">
        <f>VLOOKUP(A466,Orders!$A:$E,5,FALSE)</f>
        <v>8</v>
      </c>
      <c r="E466" s="4">
        <v>879</v>
      </c>
      <c r="F466" s="4">
        <v>4</v>
      </c>
      <c r="G466" s="10">
        <f t="shared" si="7"/>
        <v>219.75</v>
      </c>
      <c r="H466" s="4">
        <v>1</v>
      </c>
    </row>
    <row r="467" spans="1:8" x14ac:dyDescent="0.2">
      <c r="A467" s="4">
        <v>5424</v>
      </c>
      <c r="B467" s="4" t="s">
        <v>47</v>
      </c>
      <c r="C467" s="4" t="s">
        <v>43</v>
      </c>
      <c r="D467" s="4">
        <f>VLOOKUP(A467,Orders!$A:$E,5,FALSE)</f>
        <v>6</v>
      </c>
      <c r="E467" s="4">
        <v>657</v>
      </c>
      <c r="F467" s="4">
        <v>17</v>
      </c>
      <c r="G467" s="10">
        <f t="shared" si="7"/>
        <v>38.647058823529413</v>
      </c>
      <c r="H467" s="4">
        <v>2</v>
      </c>
    </row>
    <row r="468" spans="1:8" x14ac:dyDescent="0.2">
      <c r="A468" s="4">
        <v>5433</v>
      </c>
      <c r="B468" s="4" t="s">
        <v>47</v>
      </c>
      <c r="C468" s="4" t="s">
        <v>43</v>
      </c>
      <c r="D468" s="4">
        <f>VLOOKUP(A468,Orders!$A:$E,5,FALSE)</f>
        <v>10</v>
      </c>
      <c r="E468" s="4">
        <v>1551</v>
      </c>
      <c r="F468" s="4">
        <v>14</v>
      </c>
      <c r="G468" s="10">
        <f t="shared" si="7"/>
        <v>110.78571428571429</v>
      </c>
      <c r="H468" s="4">
        <v>3</v>
      </c>
    </row>
    <row r="469" spans="1:8" x14ac:dyDescent="0.2">
      <c r="A469" s="4">
        <v>5443</v>
      </c>
      <c r="B469" s="4" t="s">
        <v>47</v>
      </c>
      <c r="C469" s="4" t="s">
        <v>43</v>
      </c>
      <c r="D469" s="4">
        <f>VLOOKUP(A469,Orders!$A:$E,5,FALSE)</f>
        <v>2</v>
      </c>
      <c r="E469" s="4">
        <v>485</v>
      </c>
      <c r="F469" s="4">
        <v>16</v>
      </c>
      <c r="G469" s="10">
        <f t="shared" si="7"/>
        <v>30.3125</v>
      </c>
      <c r="H469" s="4">
        <v>1</v>
      </c>
    </row>
    <row r="470" spans="1:8" x14ac:dyDescent="0.2">
      <c r="A470" s="4">
        <v>5483</v>
      </c>
      <c r="B470" s="4" t="s">
        <v>47</v>
      </c>
      <c r="C470" s="4" t="s">
        <v>43</v>
      </c>
      <c r="D470" s="4">
        <f>VLOOKUP(A470,Orders!$A:$E,5,FALSE)</f>
        <v>3</v>
      </c>
      <c r="E470" s="4">
        <v>1311</v>
      </c>
      <c r="F470" s="4">
        <v>12</v>
      </c>
      <c r="G470" s="10">
        <f t="shared" si="7"/>
        <v>109.25</v>
      </c>
      <c r="H470" s="4">
        <v>1</v>
      </c>
    </row>
    <row r="471" spans="1:8" x14ac:dyDescent="0.2">
      <c r="A471" s="4">
        <v>5512</v>
      </c>
      <c r="B471" s="4" t="s">
        <v>47</v>
      </c>
      <c r="C471" s="4" t="s">
        <v>43</v>
      </c>
      <c r="D471" s="4">
        <f>VLOOKUP(A471,Orders!$A:$E,5,FALSE)</f>
        <v>5</v>
      </c>
      <c r="E471" s="4">
        <v>1898</v>
      </c>
      <c r="F471" s="4">
        <v>18</v>
      </c>
      <c r="G471" s="10">
        <f t="shared" si="7"/>
        <v>105.44444444444444</v>
      </c>
      <c r="H471" s="4">
        <v>3</v>
      </c>
    </row>
    <row r="472" spans="1:8" x14ac:dyDescent="0.2">
      <c r="A472" s="4">
        <v>5518</v>
      </c>
      <c r="B472" s="4" t="s">
        <v>47</v>
      </c>
      <c r="C472" s="4" t="s">
        <v>43</v>
      </c>
      <c r="D472" s="4">
        <f>VLOOKUP(A472,Orders!$A:$E,5,FALSE)</f>
        <v>7</v>
      </c>
      <c r="E472" s="4">
        <v>1416</v>
      </c>
      <c r="F472" s="4">
        <v>13</v>
      </c>
      <c r="G472" s="10">
        <f t="shared" si="7"/>
        <v>108.92307692307692</v>
      </c>
      <c r="H472" s="4">
        <v>1</v>
      </c>
    </row>
    <row r="473" spans="1:8" x14ac:dyDescent="0.2">
      <c r="A473" s="4">
        <v>5546</v>
      </c>
      <c r="B473" s="4" t="s">
        <v>47</v>
      </c>
      <c r="C473" s="4" t="s">
        <v>43</v>
      </c>
      <c r="D473" s="4">
        <f>VLOOKUP(A473,Orders!$A:$E,5,FALSE)</f>
        <v>5</v>
      </c>
      <c r="E473" s="4">
        <v>1039</v>
      </c>
      <c r="F473" s="4">
        <v>8</v>
      </c>
      <c r="G473" s="10">
        <f t="shared" si="7"/>
        <v>129.875</v>
      </c>
      <c r="H473" s="4">
        <v>3</v>
      </c>
    </row>
    <row r="474" spans="1:8" x14ac:dyDescent="0.2">
      <c r="A474" s="4">
        <v>5576</v>
      </c>
      <c r="B474" s="4" t="s">
        <v>47</v>
      </c>
      <c r="C474" s="4" t="s">
        <v>43</v>
      </c>
      <c r="D474" s="4">
        <f>VLOOKUP(A474,Orders!$A:$E,5,FALSE)</f>
        <v>5</v>
      </c>
      <c r="E474" s="4">
        <v>1325</v>
      </c>
      <c r="F474" s="4">
        <v>5</v>
      </c>
      <c r="G474" s="10">
        <f t="shared" si="7"/>
        <v>265</v>
      </c>
      <c r="H474" s="4">
        <v>1</v>
      </c>
    </row>
    <row r="475" spans="1:8" x14ac:dyDescent="0.2">
      <c r="A475" s="4">
        <v>5581</v>
      </c>
      <c r="B475" s="4" t="s">
        <v>47</v>
      </c>
      <c r="C475" s="4" t="s">
        <v>43</v>
      </c>
      <c r="D475" s="4">
        <f>VLOOKUP(A475,Orders!$A:$E,5,FALSE)</f>
        <v>10</v>
      </c>
      <c r="E475" s="4">
        <v>1156</v>
      </c>
      <c r="F475" s="4">
        <v>17</v>
      </c>
      <c r="G475" s="10">
        <f t="shared" si="7"/>
        <v>68</v>
      </c>
      <c r="H475" s="4">
        <v>1</v>
      </c>
    </row>
    <row r="476" spans="1:8" x14ac:dyDescent="0.2">
      <c r="A476" s="4">
        <v>5582</v>
      </c>
      <c r="B476" s="4" t="s">
        <v>47</v>
      </c>
      <c r="C476" s="4" t="s">
        <v>43</v>
      </c>
      <c r="D476" s="4">
        <f>VLOOKUP(A476,Orders!$A:$E,5,FALSE)</f>
        <v>2</v>
      </c>
      <c r="E476" s="4">
        <v>980</v>
      </c>
      <c r="F476" s="4">
        <v>17</v>
      </c>
      <c r="G476" s="10">
        <f t="shared" si="7"/>
        <v>57.647058823529413</v>
      </c>
      <c r="H476" s="4">
        <v>1</v>
      </c>
    </row>
    <row r="477" spans="1:8" x14ac:dyDescent="0.2">
      <c r="A477" s="4">
        <v>5597</v>
      </c>
      <c r="B477" s="4" t="s">
        <v>47</v>
      </c>
      <c r="C477" s="4" t="s">
        <v>43</v>
      </c>
      <c r="D477" s="4">
        <f>VLOOKUP(A477,Orders!$A:$E,5,FALSE)</f>
        <v>3</v>
      </c>
      <c r="E477" s="4">
        <v>800</v>
      </c>
      <c r="F477" s="4">
        <v>2</v>
      </c>
      <c r="G477" s="10">
        <f t="shared" si="7"/>
        <v>400</v>
      </c>
      <c r="H477" s="4">
        <v>3</v>
      </c>
    </row>
    <row r="478" spans="1:8" x14ac:dyDescent="0.2">
      <c r="A478" s="4">
        <v>5599</v>
      </c>
      <c r="B478" s="4" t="s">
        <v>47</v>
      </c>
      <c r="C478" s="4" t="s">
        <v>43</v>
      </c>
      <c r="D478" s="4">
        <f>VLOOKUP(A478,Orders!$A:$E,5,FALSE)</f>
        <v>4</v>
      </c>
      <c r="E478" s="4">
        <v>1174</v>
      </c>
      <c r="F478" s="4">
        <v>19</v>
      </c>
      <c r="G478" s="10">
        <f t="shared" si="7"/>
        <v>61.789473684210527</v>
      </c>
      <c r="H478" s="4">
        <v>1</v>
      </c>
    </row>
    <row r="479" spans="1:8" x14ac:dyDescent="0.2">
      <c r="A479" s="4">
        <v>5647</v>
      </c>
      <c r="B479" s="4" t="s">
        <v>47</v>
      </c>
      <c r="C479" s="4" t="s">
        <v>43</v>
      </c>
      <c r="D479" s="4">
        <f>VLOOKUP(A479,Orders!$A:$E,5,FALSE)</f>
        <v>7</v>
      </c>
      <c r="E479" s="4">
        <v>1524</v>
      </c>
      <c r="F479" s="4">
        <v>20</v>
      </c>
      <c r="G479" s="10">
        <f t="shared" si="7"/>
        <v>76.2</v>
      </c>
      <c r="H479" s="4">
        <v>1</v>
      </c>
    </row>
    <row r="480" spans="1:8" x14ac:dyDescent="0.2">
      <c r="A480" s="4">
        <v>5655</v>
      </c>
      <c r="B480" s="4" t="s">
        <v>47</v>
      </c>
      <c r="C480" s="4" t="s">
        <v>43</v>
      </c>
      <c r="D480" s="4">
        <f>VLOOKUP(A480,Orders!$A:$E,5,FALSE)</f>
        <v>10</v>
      </c>
      <c r="E480" s="4">
        <v>382</v>
      </c>
      <c r="F480" s="4">
        <v>13</v>
      </c>
      <c r="G480" s="10">
        <f t="shared" si="7"/>
        <v>29.384615384615383</v>
      </c>
      <c r="H480" s="4">
        <v>1</v>
      </c>
    </row>
    <row r="481" spans="1:8" x14ac:dyDescent="0.2">
      <c r="A481" s="4">
        <v>5668</v>
      </c>
      <c r="B481" s="4" t="s">
        <v>47</v>
      </c>
      <c r="C481" s="4" t="s">
        <v>43</v>
      </c>
      <c r="D481" s="4">
        <f>VLOOKUP(A481,Orders!$A:$E,5,FALSE)</f>
        <v>3</v>
      </c>
      <c r="E481" s="4">
        <v>1459</v>
      </c>
      <c r="F481" s="4">
        <v>4</v>
      </c>
      <c r="G481" s="10">
        <f t="shared" si="7"/>
        <v>364.75</v>
      </c>
      <c r="H481" s="4">
        <v>1</v>
      </c>
    </row>
    <row r="482" spans="1:8" x14ac:dyDescent="0.2">
      <c r="A482" s="4">
        <v>5672</v>
      </c>
      <c r="B482" s="4" t="s">
        <v>47</v>
      </c>
      <c r="C482" s="4" t="s">
        <v>43</v>
      </c>
      <c r="D482" s="4">
        <f>VLOOKUP(A482,Orders!$A:$E,5,FALSE)</f>
        <v>2</v>
      </c>
      <c r="E482" s="4">
        <v>1361</v>
      </c>
      <c r="F482" s="4">
        <v>23</v>
      </c>
      <c r="G482" s="10">
        <f t="shared" si="7"/>
        <v>59.173913043478258</v>
      </c>
      <c r="H482" s="4">
        <v>2</v>
      </c>
    </row>
    <row r="483" spans="1:8" x14ac:dyDescent="0.2">
      <c r="A483" s="4">
        <v>5680</v>
      </c>
      <c r="B483" s="4" t="s">
        <v>47</v>
      </c>
      <c r="C483" s="4" t="s">
        <v>43</v>
      </c>
      <c r="D483" s="4">
        <f>VLOOKUP(A483,Orders!$A:$E,5,FALSE)</f>
        <v>7</v>
      </c>
      <c r="E483" s="4">
        <v>1434</v>
      </c>
      <c r="F483" s="4">
        <v>13</v>
      </c>
      <c r="G483" s="10">
        <f t="shared" si="7"/>
        <v>110.30769230769231</v>
      </c>
      <c r="H483" s="4">
        <v>2</v>
      </c>
    </row>
    <row r="484" spans="1:8" x14ac:dyDescent="0.2">
      <c r="A484" s="4">
        <v>5730</v>
      </c>
      <c r="B484" s="4" t="s">
        <v>47</v>
      </c>
      <c r="C484" s="4" t="s">
        <v>43</v>
      </c>
      <c r="D484" s="4">
        <f>VLOOKUP(A484,Orders!$A:$E,5,FALSE)</f>
        <v>9</v>
      </c>
      <c r="E484" s="4">
        <v>1090</v>
      </c>
      <c r="F484" s="4">
        <v>7</v>
      </c>
      <c r="G484" s="10">
        <f t="shared" si="7"/>
        <v>155.71428571428572</v>
      </c>
      <c r="H484" s="4">
        <v>3</v>
      </c>
    </row>
    <row r="485" spans="1:8" x14ac:dyDescent="0.2">
      <c r="A485" s="4">
        <v>5731</v>
      </c>
      <c r="B485" s="4" t="s">
        <v>47</v>
      </c>
      <c r="C485" s="4" t="s">
        <v>43</v>
      </c>
      <c r="D485" s="4">
        <f>VLOOKUP(A485,Orders!$A:$E,5,FALSE)</f>
        <v>5</v>
      </c>
      <c r="E485" s="4">
        <v>1565</v>
      </c>
      <c r="F485" s="4">
        <v>13</v>
      </c>
      <c r="G485" s="10">
        <f t="shared" si="7"/>
        <v>120.38461538461539</v>
      </c>
      <c r="H485" s="4">
        <v>2</v>
      </c>
    </row>
    <row r="486" spans="1:8" x14ac:dyDescent="0.2">
      <c r="A486" s="4">
        <v>5760</v>
      </c>
      <c r="B486" s="4" t="s">
        <v>47</v>
      </c>
      <c r="C486" s="4" t="s">
        <v>43</v>
      </c>
      <c r="D486" s="4">
        <f>VLOOKUP(A486,Orders!$A:$E,5,FALSE)</f>
        <v>9</v>
      </c>
      <c r="E486" s="4">
        <v>1282</v>
      </c>
      <c r="F486" s="4">
        <v>5</v>
      </c>
      <c r="G486" s="10">
        <f t="shared" si="7"/>
        <v>256.39999999999998</v>
      </c>
      <c r="H486" s="4">
        <v>1</v>
      </c>
    </row>
    <row r="487" spans="1:8" x14ac:dyDescent="0.2">
      <c r="A487" s="4">
        <v>5763</v>
      </c>
      <c r="B487" s="4" t="s">
        <v>47</v>
      </c>
      <c r="C487" s="4" t="s">
        <v>43</v>
      </c>
      <c r="D487" s="4">
        <f>VLOOKUP(A487,Orders!$A:$E,5,FALSE)</f>
        <v>4</v>
      </c>
      <c r="E487" s="4">
        <v>129</v>
      </c>
      <c r="F487" s="4">
        <v>13</v>
      </c>
      <c r="G487" s="10">
        <f t="shared" si="7"/>
        <v>9.9230769230769234</v>
      </c>
      <c r="H487" s="4">
        <v>1</v>
      </c>
    </row>
    <row r="488" spans="1:8" x14ac:dyDescent="0.2">
      <c r="A488" s="4">
        <v>5772</v>
      </c>
      <c r="B488" s="4" t="s">
        <v>47</v>
      </c>
      <c r="C488" s="4" t="s">
        <v>43</v>
      </c>
      <c r="D488" s="4">
        <f>VLOOKUP(A488,Orders!$A:$E,5,FALSE)</f>
        <v>9</v>
      </c>
      <c r="E488" s="4">
        <v>834</v>
      </c>
      <c r="F488" s="4">
        <v>23</v>
      </c>
      <c r="G488" s="10">
        <f t="shared" si="7"/>
        <v>36.260869565217391</v>
      </c>
      <c r="H488" s="4">
        <v>2</v>
      </c>
    </row>
    <row r="489" spans="1:8" x14ac:dyDescent="0.2">
      <c r="A489" s="4">
        <v>5788</v>
      </c>
      <c r="B489" s="4" t="s">
        <v>47</v>
      </c>
      <c r="C489" s="4" t="s">
        <v>43</v>
      </c>
      <c r="D489" s="4">
        <f>VLOOKUP(A489,Orders!$A:$E,5,FALSE)</f>
        <v>9</v>
      </c>
      <c r="E489" s="4">
        <v>723</v>
      </c>
      <c r="F489" s="4">
        <v>18</v>
      </c>
      <c r="G489" s="10">
        <f t="shared" si="7"/>
        <v>40.166666666666664</v>
      </c>
      <c r="H489" s="4">
        <v>3</v>
      </c>
    </row>
    <row r="490" spans="1:8" x14ac:dyDescent="0.2">
      <c r="A490" s="4">
        <v>5800</v>
      </c>
      <c r="B490" s="4" t="s">
        <v>47</v>
      </c>
      <c r="C490" s="4" t="s">
        <v>43</v>
      </c>
      <c r="D490" s="4">
        <f>VLOOKUP(A490,Orders!$A:$E,5,FALSE)</f>
        <v>7</v>
      </c>
      <c r="E490" s="4">
        <v>1968</v>
      </c>
      <c r="F490" s="4">
        <v>8</v>
      </c>
      <c r="G490" s="10">
        <f t="shared" si="7"/>
        <v>246</v>
      </c>
      <c r="H490" s="4">
        <v>1</v>
      </c>
    </row>
    <row r="491" spans="1:8" x14ac:dyDescent="0.2">
      <c r="A491" s="4">
        <v>5802</v>
      </c>
      <c r="B491" s="4" t="s">
        <v>47</v>
      </c>
      <c r="C491" s="4" t="s">
        <v>43</v>
      </c>
      <c r="D491" s="4">
        <f>VLOOKUP(A491,Orders!$A:$E,5,FALSE)</f>
        <v>6</v>
      </c>
      <c r="E491" s="4">
        <v>157</v>
      </c>
      <c r="F491" s="4">
        <v>10</v>
      </c>
      <c r="G491" s="10">
        <f t="shared" si="7"/>
        <v>15.7</v>
      </c>
      <c r="H491" s="4">
        <v>2</v>
      </c>
    </row>
    <row r="492" spans="1:8" x14ac:dyDescent="0.2">
      <c r="A492" s="4">
        <v>5821</v>
      </c>
      <c r="B492" s="4" t="s">
        <v>47</v>
      </c>
      <c r="C492" s="4" t="s">
        <v>43</v>
      </c>
      <c r="D492" s="4">
        <f>VLOOKUP(A492,Orders!$A:$E,5,FALSE)</f>
        <v>6</v>
      </c>
      <c r="E492" s="4">
        <v>614</v>
      </c>
      <c r="F492" s="4">
        <v>21</v>
      </c>
      <c r="G492" s="10">
        <f t="shared" si="7"/>
        <v>29.238095238095237</v>
      </c>
      <c r="H492" s="4">
        <v>2</v>
      </c>
    </row>
    <row r="493" spans="1:8" x14ac:dyDescent="0.2">
      <c r="A493" s="4">
        <v>5834</v>
      </c>
      <c r="B493" s="4" t="s">
        <v>47</v>
      </c>
      <c r="C493" s="4" t="s">
        <v>43</v>
      </c>
      <c r="D493" s="4">
        <f>VLOOKUP(A493,Orders!$A:$E,5,FALSE)</f>
        <v>2</v>
      </c>
      <c r="E493" s="4">
        <v>69</v>
      </c>
      <c r="F493" s="4">
        <v>7</v>
      </c>
      <c r="G493" s="10">
        <f t="shared" si="7"/>
        <v>9.8571428571428577</v>
      </c>
      <c r="H493" s="4">
        <v>1</v>
      </c>
    </row>
    <row r="494" spans="1:8" x14ac:dyDescent="0.2">
      <c r="A494" s="4">
        <v>5846</v>
      </c>
      <c r="B494" s="4" t="s">
        <v>47</v>
      </c>
      <c r="C494" s="4" t="s">
        <v>43</v>
      </c>
      <c r="D494" s="4">
        <f>VLOOKUP(A494,Orders!$A:$E,5,FALSE)</f>
        <v>10</v>
      </c>
      <c r="E494" s="4">
        <v>998</v>
      </c>
      <c r="F494" s="4">
        <v>18</v>
      </c>
      <c r="G494" s="10">
        <f t="shared" si="7"/>
        <v>55.444444444444443</v>
      </c>
      <c r="H494" s="4">
        <v>1</v>
      </c>
    </row>
    <row r="495" spans="1:8" x14ac:dyDescent="0.2">
      <c r="A495" s="4">
        <v>5855</v>
      </c>
      <c r="B495" s="4" t="s">
        <v>47</v>
      </c>
      <c r="C495" s="4" t="s">
        <v>43</v>
      </c>
      <c r="D495" s="4">
        <f>VLOOKUP(A495,Orders!$A:$E,5,FALSE)</f>
        <v>5</v>
      </c>
      <c r="E495" s="4">
        <v>776</v>
      </c>
      <c r="F495" s="4">
        <v>10</v>
      </c>
      <c r="G495" s="10">
        <f t="shared" si="7"/>
        <v>77.599999999999994</v>
      </c>
      <c r="H495" s="4">
        <v>2</v>
      </c>
    </row>
    <row r="496" spans="1:8" x14ac:dyDescent="0.2">
      <c r="A496" s="4">
        <v>5868</v>
      </c>
      <c r="B496" s="4" t="s">
        <v>47</v>
      </c>
      <c r="C496" s="4" t="s">
        <v>43</v>
      </c>
      <c r="D496" s="4">
        <f>VLOOKUP(A496,Orders!$A:$E,5,FALSE)</f>
        <v>5</v>
      </c>
      <c r="E496" s="4">
        <v>1503</v>
      </c>
      <c r="F496" s="4">
        <v>11</v>
      </c>
      <c r="G496" s="10">
        <f t="shared" si="7"/>
        <v>136.63636363636363</v>
      </c>
      <c r="H496" s="4">
        <v>3</v>
      </c>
    </row>
    <row r="497" spans="1:8" x14ac:dyDescent="0.2">
      <c r="A497" s="4">
        <v>5879</v>
      </c>
      <c r="B497" s="4" t="s">
        <v>47</v>
      </c>
      <c r="C497" s="4" t="s">
        <v>43</v>
      </c>
      <c r="D497" s="4">
        <f>VLOOKUP(A497,Orders!$A:$E,5,FALSE)</f>
        <v>3</v>
      </c>
      <c r="E497" s="4">
        <v>760</v>
      </c>
      <c r="F497" s="4">
        <v>3</v>
      </c>
      <c r="G497" s="10">
        <f t="shared" si="7"/>
        <v>253.33333333333334</v>
      </c>
      <c r="H497" s="4">
        <v>1</v>
      </c>
    </row>
    <row r="498" spans="1:8" x14ac:dyDescent="0.2">
      <c r="A498" s="4">
        <v>5900</v>
      </c>
      <c r="B498" s="4" t="s">
        <v>47</v>
      </c>
      <c r="C498" s="4" t="s">
        <v>43</v>
      </c>
      <c r="D498" s="4">
        <f>VLOOKUP(A498,Orders!$A:$E,5,FALSE)</f>
        <v>7</v>
      </c>
      <c r="E498" s="4">
        <v>1250</v>
      </c>
      <c r="F498" s="4">
        <v>24</v>
      </c>
      <c r="G498" s="10">
        <f t="shared" si="7"/>
        <v>52.083333333333336</v>
      </c>
      <c r="H498" s="4">
        <v>3</v>
      </c>
    </row>
    <row r="499" spans="1:8" x14ac:dyDescent="0.2">
      <c r="A499" s="4">
        <v>5912</v>
      </c>
      <c r="B499" s="4" t="s">
        <v>47</v>
      </c>
      <c r="C499" s="4" t="s">
        <v>43</v>
      </c>
      <c r="D499" s="4">
        <f>VLOOKUP(A499,Orders!$A:$E,5,FALSE)</f>
        <v>9</v>
      </c>
      <c r="E499" s="4">
        <v>1280</v>
      </c>
      <c r="F499" s="4">
        <v>24</v>
      </c>
      <c r="G499" s="10">
        <f t="shared" si="7"/>
        <v>53.333333333333336</v>
      </c>
      <c r="H499" s="4">
        <v>3</v>
      </c>
    </row>
    <row r="500" spans="1:8" x14ac:dyDescent="0.2">
      <c r="A500" s="4">
        <v>5916</v>
      </c>
      <c r="B500" s="4" t="s">
        <v>47</v>
      </c>
      <c r="C500" s="4" t="s">
        <v>43</v>
      </c>
      <c r="D500" s="4">
        <f>VLOOKUP(A500,Orders!$A:$E,5,FALSE)</f>
        <v>3</v>
      </c>
      <c r="E500" s="4">
        <v>494</v>
      </c>
      <c r="F500" s="4">
        <v>4</v>
      </c>
      <c r="G500" s="10">
        <f t="shared" si="7"/>
        <v>123.5</v>
      </c>
      <c r="H500" s="4">
        <v>3</v>
      </c>
    </row>
    <row r="501" spans="1:8" x14ac:dyDescent="0.2">
      <c r="A501" s="4">
        <v>5920</v>
      </c>
      <c r="B501" s="4" t="s">
        <v>47</v>
      </c>
      <c r="C501" s="4" t="s">
        <v>43</v>
      </c>
      <c r="D501" s="4">
        <f>VLOOKUP(A501,Orders!$A:$E,5,FALSE)</f>
        <v>8</v>
      </c>
      <c r="E501" s="4">
        <v>1615</v>
      </c>
      <c r="F501" s="4">
        <v>16</v>
      </c>
      <c r="G501" s="10">
        <f t="shared" si="7"/>
        <v>100.9375</v>
      </c>
      <c r="H501" s="4">
        <v>3</v>
      </c>
    </row>
    <row r="502" spans="1:8" x14ac:dyDescent="0.2">
      <c r="A502" s="4">
        <v>5922</v>
      </c>
      <c r="B502" s="4" t="s">
        <v>47</v>
      </c>
      <c r="C502" s="4" t="s">
        <v>43</v>
      </c>
      <c r="D502" s="4">
        <f>VLOOKUP(A502,Orders!$A:$E,5,FALSE)</f>
        <v>4</v>
      </c>
      <c r="E502" s="4">
        <v>686</v>
      </c>
      <c r="F502" s="4">
        <v>7</v>
      </c>
      <c r="G502" s="10">
        <f t="shared" si="7"/>
        <v>98</v>
      </c>
      <c r="H502" s="4">
        <v>2</v>
      </c>
    </row>
    <row r="503" spans="1:8" x14ac:dyDescent="0.2">
      <c r="A503" s="4">
        <v>5926</v>
      </c>
      <c r="B503" s="4" t="s">
        <v>47</v>
      </c>
      <c r="C503" s="4" t="s">
        <v>43</v>
      </c>
      <c r="D503" s="4">
        <f>VLOOKUP(A503,Orders!$A:$E,5,FALSE)</f>
        <v>2</v>
      </c>
      <c r="E503" s="4">
        <v>1481</v>
      </c>
      <c r="F503" s="4">
        <v>9</v>
      </c>
      <c r="G503" s="10">
        <f t="shared" si="7"/>
        <v>164.55555555555554</v>
      </c>
      <c r="H503" s="4">
        <v>1</v>
      </c>
    </row>
    <row r="504" spans="1:8" x14ac:dyDescent="0.2">
      <c r="A504" s="4">
        <v>5947</v>
      </c>
      <c r="B504" s="4" t="s">
        <v>47</v>
      </c>
      <c r="C504" s="4" t="s">
        <v>43</v>
      </c>
      <c r="D504" s="4">
        <f>VLOOKUP(A504,Orders!$A:$E,5,FALSE)</f>
        <v>9</v>
      </c>
      <c r="E504" s="4">
        <v>227</v>
      </c>
      <c r="F504" s="4">
        <v>6</v>
      </c>
      <c r="G504" s="10">
        <f t="shared" si="7"/>
        <v>37.833333333333336</v>
      </c>
      <c r="H504" s="4">
        <v>3</v>
      </c>
    </row>
    <row r="505" spans="1:8" x14ac:dyDescent="0.2">
      <c r="A505" s="4">
        <v>5959</v>
      </c>
      <c r="B505" s="4" t="s">
        <v>47</v>
      </c>
      <c r="C505" s="4" t="s">
        <v>43</v>
      </c>
      <c r="D505" s="4">
        <f>VLOOKUP(A505,Orders!$A:$E,5,FALSE)</f>
        <v>9</v>
      </c>
      <c r="E505" s="4">
        <v>155</v>
      </c>
      <c r="F505" s="4">
        <v>7</v>
      </c>
      <c r="G505" s="10">
        <f t="shared" si="7"/>
        <v>22.142857142857142</v>
      </c>
      <c r="H505" s="4">
        <v>1</v>
      </c>
    </row>
    <row r="506" spans="1:8" x14ac:dyDescent="0.2">
      <c r="A506" s="4">
        <v>5970</v>
      </c>
      <c r="B506" s="4" t="s">
        <v>47</v>
      </c>
      <c r="C506" s="4" t="s">
        <v>43</v>
      </c>
      <c r="D506" s="4">
        <f>VLOOKUP(A506,Orders!$A:$E,5,FALSE)</f>
        <v>4</v>
      </c>
      <c r="E506" s="4">
        <v>1448</v>
      </c>
      <c r="F506" s="4">
        <v>19</v>
      </c>
      <c r="G506" s="10">
        <f t="shared" si="7"/>
        <v>76.21052631578948</v>
      </c>
      <c r="H506" s="4">
        <v>3</v>
      </c>
    </row>
    <row r="507" spans="1:8" x14ac:dyDescent="0.2">
      <c r="A507" s="4">
        <v>5982</v>
      </c>
      <c r="B507" s="4" t="s">
        <v>47</v>
      </c>
      <c r="C507" s="4" t="s">
        <v>43</v>
      </c>
      <c r="D507" s="4">
        <f>VLOOKUP(A507,Orders!$A:$E,5,FALSE)</f>
        <v>4</v>
      </c>
      <c r="E507" s="4">
        <v>24</v>
      </c>
      <c r="F507" s="4">
        <v>17</v>
      </c>
      <c r="G507" s="10">
        <f t="shared" si="7"/>
        <v>1.411764705882353</v>
      </c>
      <c r="H507" s="4">
        <v>1</v>
      </c>
    </row>
    <row r="508" spans="1:8" x14ac:dyDescent="0.2">
      <c r="A508" s="4">
        <v>5989</v>
      </c>
      <c r="B508" s="4" t="s">
        <v>47</v>
      </c>
      <c r="C508" s="4" t="s">
        <v>43</v>
      </c>
      <c r="D508" s="4">
        <f>VLOOKUP(A508,Orders!$A:$E,5,FALSE)</f>
        <v>9</v>
      </c>
      <c r="E508" s="4">
        <v>966</v>
      </c>
      <c r="F508" s="4">
        <v>21</v>
      </c>
      <c r="G508" s="10">
        <f t="shared" si="7"/>
        <v>46</v>
      </c>
      <c r="H508" s="4">
        <v>2</v>
      </c>
    </row>
    <row r="509" spans="1:8" x14ac:dyDescent="0.2">
      <c r="A509" s="4">
        <v>5990</v>
      </c>
      <c r="B509" s="4" t="s">
        <v>47</v>
      </c>
      <c r="C509" s="4" t="s">
        <v>43</v>
      </c>
      <c r="D509" s="4">
        <f>VLOOKUP(A509,Orders!$A:$E,5,FALSE)</f>
        <v>5</v>
      </c>
      <c r="E509" s="4">
        <v>1036</v>
      </c>
      <c r="F509" s="4">
        <v>21</v>
      </c>
      <c r="G509" s="10">
        <f t="shared" si="7"/>
        <v>49.333333333333336</v>
      </c>
      <c r="H509" s="4">
        <v>1</v>
      </c>
    </row>
    <row r="510" spans="1:8" x14ac:dyDescent="0.2">
      <c r="A510" s="4">
        <v>5996</v>
      </c>
      <c r="B510" s="4" t="s">
        <v>47</v>
      </c>
      <c r="C510" s="4" t="s">
        <v>43</v>
      </c>
      <c r="D510" s="4">
        <f>VLOOKUP(A510,Orders!$A:$E,5,FALSE)</f>
        <v>7</v>
      </c>
      <c r="E510" s="4">
        <v>182</v>
      </c>
      <c r="F510" s="4">
        <v>3</v>
      </c>
      <c r="G510" s="10">
        <f t="shared" si="7"/>
        <v>60.666666666666664</v>
      </c>
      <c r="H510" s="4">
        <v>3</v>
      </c>
    </row>
    <row r="511" spans="1:8" x14ac:dyDescent="0.2">
      <c r="A511" s="4">
        <v>5998</v>
      </c>
      <c r="B511" s="4" t="s">
        <v>47</v>
      </c>
      <c r="C511" s="4" t="s">
        <v>43</v>
      </c>
      <c r="D511" s="4">
        <f>VLOOKUP(A511,Orders!$A:$E,5,FALSE)</f>
        <v>4</v>
      </c>
      <c r="E511" s="4">
        <v>598</v>
      </c>
      <c r="F511" s="4">
        <v>12</v>
      </c>
      <c r="G511" s="10">
        <f t="shared" si="7"/>
        <v>49.833333333333336</v>
      </c>
      <c r="H511" s="4">
        <v>3</v>
      </c>
    </row>
    <row r="512" spans="1:8" x14ac:dyDescent="0.2">
      <c r="A512" s="4">
        <v>6007</v>
      </c>
      <c r="B512" s="4" t="s">
        <v>47</v>
      </c>
      <c r="C512" s="4" t="s">
        <v>43</v>
      </c>
      <c r="D512" s="4">
        <f>VLOOKUP(A512,Orders!$A:$E,5,FALSE)</f>
        <v>10</v>
      </c>
      <c r="E512" s="4">
        <v>1800</v>
      </c>
      <c r="F512" s="4">
        <v>7</v>
      </c>
      <c r="G512" s="10">
        <f t="shared" si="7"/>
        <v>257.14285714285717</v>
      </c>
      <c r="H512" s="4">
        <v>2</v>
      </c>
    </row>
    <row r="513" spans="1:8" x14ac:dyDescent="0.2">
      <c r="A513" s="4">
        <v>6023</v>
      </c>
      <c r="B513" s="4" t="s">
        <v>47</v>
      </c>
      <c r="C513" s="4" t="s">
        <v>43</v>
      </c>
      <c r="D513" s="4">
        <f>VLOOKUP(A513,Orders!$A:$E,5,FALSE)</f>
        <v>6</v>
      </c>
      <c r="E513" s="4">
        <v>474</v>
      </c>
      <c r="F513" s="4">
        <v>16</v>
      </c>
      <c r="G513" s="10">
        <f t="shared" si="7"/>
        <v>29.625</v>
      </c>
      <c r="H513" s="4">
        <v>1</v>
      </c>
    </row>
    <row r="514" spans="1:8" x14ac:dyDescent="0.2">
      <c r="A514" s="4">
        <v>6035</v>
      </c>
      <c r="B514" s="4" t="s">
        <v>47</v>
      </c>
      <c r="C514" s="4" t="s">
        <v>43</v>
      </c>
      <c r="D514" s="4">
        <f>VLOOKUP(A514,Orders!$A:$E,5,FALSE)</f>
        <v>8</v>
      </c>
      <c r="E514" s="4">
        <v>1614</v>
      </c>
      <c r="F514" s="4">
        <v>10</v>
      </c>
      <c r="G514" s="10">
        <f t="shared" ref="G514:G577" si="8">E514/F514</f>
        <v>161.4</v>
      </c>
      <c r="H514" s="4">
        <v>1</v>
      </c>
    </row>
    <row r="515" spans="1:8" x14ac:dyDescent="0.2">
      <c r="A515" s="4">
        <v>6051</v>
      </c>
      <c r="B515" s="4" t="s">
        <v>47</v>
      </c>
      <c r="C515" s="4" t="s">
        <v>43</v>
      </c>
      <c r="D515" s="4">
        <f>VLOOKUP(A515,Orders!$A:$E,5,FALSE)</f>
        <v>7</v>
      </c>
      <c r="E515" s="4">
        <v>1237</v>
      </c>
      <c r="F515" s="4">
        <v>18</v>
      </c>
      <c r="G515" s="10">
        <f t="shared" si="8"/>
        <v>68.722222222222229</v>
      </c>
      <c r="H515" s="4">
        <v>3</v>
      </c>
    </row>
    <row r="516" spans="1:8" x14ac:dyDescent="0.2">
      <c r="A516" s="4">
        <v>6063</v>
      </c>
      <c r="B516" s="4" t="s">
        <v>47</v>
      </c>
      <c r="C516" s="4" t="s">
        <v>43</v>
      </c>
      <c r="D516" s="4">
        <f>VLOOKUP(A516,Orders!$A:$E,5,FALSE)</f>
        <v>3</v>
      </c>
      <c r="E516" s="4">
        <v>494</v>
      </c>
      <c r="F516" s="4">
        <v>3</v>
      </c>
      <c r="G516" s="10">
        <f t="shared" si="8"/>
        <v>164.66666666666666</v>
      </c>
      <c r="H516" s="4">
        <v>2</v>
      </c>
    </row>
    <row r="517" spans="1:8" x14ac:dyDescent="0.2">
      <c r="A517" s="4">
        <v>6094</v>
      </c>
      <c r="B517" s="4" t="s">
        <v>47</v>
      </c>
      <c r="C517" s="4" t="s">
        <v>43</v>
      </c>
      <c r="D517" s="4">
        <f>VLOOKUP(A517,Orders!$A:$E,5,FALSE)</f>
        <v>8</v>
      </c>
      <c r="E517" s="4">
        <v>1620</v>
      </c>
      <c r="F517" s="4">
        <v>3</v>
      </c>
      <c r="G517" s="10">
        <f t="shared" si="8"/>
        <v>540</v>
      </c>
      <c r="H517" s="4">
        <v>3</v>
      </c>
    </row>
    <row r="518" spans="1:8" x14ac:dyDescent="0.2">
      <c r="A518" s="4">
        <v>6103</v>
      </c>
      <c r="B518" s="4" t="s">
        <v>47</v>
      </c>
      <c r="C518" s="4" t="s">
        <v>43</v>
      </c>
      <c r="D518" s="4">
        <f>VLOOKUP(A518,Orders!$A:$E,5,FALSE)</f>
        <v>2</v>
      </c>
      <c r="E518" s="4">
        <v>568</v>
      </c>
      <c r="F518" s="4">
        <v>13</v>
      </c>
      <c r="G518" s="10">
        <f t="shared" si="8"/>
        <v>43.692307692307693</v>
      </c>
      <c r="H518" s="4">
        <v>3</v>
      </c>
    </row>
    <row r="519" spans="1:8" x14ac:dyDescent="0.2">
      <c r="A519" s="4">
        <v>6110</v>
      </c>
      <c r="B519" s="4" t="s">
        <v>47</v>
      </c>
      <c r="C519" s="4" t="s">
        <v>43</v>
      </c>
      <c r="D519" s="4">
        <f>VLOOKUP(A519,Orders!$A:$E,5,FALSE)</f>
        <v>10</v>
      </c>
      <c r="E519" s="4">
        <v>1520</v>
      </c>
      <c r="F519" s="4">
        <v>11</v>
      </c>
      <c r="G519" s="10">
        <f t="shared" si="8"/>
        <v>138.18181818181819</v>
      </c>
      <c r="H519" s="4">
        <v>3</v>
      </c>
    </row>
    <row r="520" spans="1:8" x14ac:dyDescent="0.2">
      <c r="A520" s="4">
        <v>6125</v>
      </c>
      <c r="B520" s="4" t="s">
        <v>47</v>
      </c>
      <c r="C520" s="4" t="s">
        <v>43</v>
      </c>
      <c r="D520" s="4">
        <f>VLOOKUP(A520,Orders!$A:$E,5,FALSE)</f>
        <v>8</v>
      </c>
      <c r="E520" s="4">
        <v>994</v>
      </c>
      <c r="F520" s="4">
        <v>24</v>
      </c>
      <c r="G520" s="10">
        <f t="shared" si="8"/>
        <v>41.416666666666664</v>
      </c>
      <c r="H520" s="4">
        <v>2</v>
      </c>
    </row>
    <row r="521" spans="1:8" x14ac:dyDescent="0.2">
      <c r="A521" s="4">
        <v>6126</v>
      </c>
      <c r="B521" s="4" t="s">
        <v>47</v>
      </c>
      <c r="C521" s="4" t="s">
        <v>43</v>
      </c>
      <c r="D521" s="4">
        <f>VLOOKUP(A521,Orders!$A:$E,5,FALSE)</f>
        <v>9</v>
      </c>
      <c r="E521" s="4">
        <v>1916</v>
      </c>
      <c r="F521" s="4">
        <v>17</v>
      </c>
      <c r="G521" s="10">
        <f t="shared" si="8"/>
        <v>112.70588235294117</v>
      </c>
      <c r="H521" s="4">
        <v>1</v>
      </c>
    </row>
    <row r="522" spans="1:8" x14ac:dyDescent="0.2">
      <c r="A522" s="4">
        <v>6130</v>
      </c>
      <c r="B522" s="4" t="s">
        <v>47</v>
      </c>
      <c r="C522" s="4" t="s">
        <v>43</v>
      </c>
      <c r="D522" s="4">
        <f>VLOOKUP(A522,Orders!$A:$E,5,FALSE)</f>
        <v>2</v>
      </c>
      <c r="E522" s="4">
        <v>1533</v>
      </c>
      <c r="F522" s="4">
        <v>5</v>
      </c>
      <c r="G522" s="10">
        <f t="shared" si="8"/>
        <v>306.60000000000002</v>
      </c>
      <c r="H522" s="4">
        <v>3</v>
      </c>
    </row>
    <row r="523" spans="1:8" x14ac:dyDescent="0.2">
      <c r="A523" s="4">
        <v>6132</v>
      </c>
      <c r="B523" s="4" t="s">
        <v>47</v>
      </c>
      <c r="C523" s="4" t="s">
        <v>43</v>
      </c>
      <c r="D523" s="4">
        <f>VLOOKUP(A523,Orders!$A:$E,5,FALSE)</f>
        <v>2</v>
      </c>
      <c r="E523" s="4">
        <v>1520</v>
      </c>
      <c r="F523" s="4">
        <v>7</v>
      </c>
      <c r="G523" s="10">
        <f t="shared" si="8"/>
        <v>217.14285714285714</v>
      </c>
      <c r="H523" s="4">
        <v>1</v>
      </c>
    </row>
    <row r="524" spans="1:8" x14ac:dyDescent="0.2">
      <c r="A524" s="4">
        <v>6145</v>
      </c>
      <c r="B524" s="4" t="s">
        <v>47</v>
      </c>
      <c r="C524" s="4" t="s">
        <v>43</v>
      </c>
      <c r="D524" s="4">
        <f>VLOOKUP(A524,Orders!$A:$E,5,FALSE)</f>
        <v>4</v>
      </c>
      <c r="E524" s="4">
        <v>421</v>
      </c>
      <c r="F524" s="4">
        <v>14</v>
      </c>
      <c r="G524" s="10">
        <f t="shared" si="8"/>
        <v>30.071428571428573</v>
      </c>
      <c r="H524" s="4">
        <v>2</v>
      </c>
    </row>
    <row r="525" spans="1:8" x14ac:dyDescent="0.2">
      <c r="A525" s="4">
        <v>6149</v>
      </c>
      <c r="B525" s="4" t="s">
        <v>47</v>
      </c>
      <c r="C525" s="4" t="s">
        <v>43</v>
      </c>
      <c r="D525" s="4">
        <f>VLOOKUP(A525,Orders!$A:$E,5,FALSE)</f>
        <v>6</v>
      </c>
      <c r="E525" s="4">
        <v>1080</v>
      </c>
      <c r="F525" s="4">
        <v>7</v>
      </c>
      <c r="G525" s="10">
        <f t="shared" si="8"/>
        <v>154.28571428571428</v>
      </c>
      <c r="H525" s="4">
        <v>3</v>
      </c>
    </row>
    <row r="526" spans="1:8" x14ac:dyDescent="0.2">
      <c r="A526" s="4">
        <v>6165</v>
      </c>
      <c r="B526" s="4" t="s">
        <v>47</v>
      </c>
      <c r="C526" s="4" t="s">
        <v>43</v>
      </c>
      <c r="D526" s="4">
        <f>VLOOKUP(A526,Orders!$A:$E,5,FALSE)</f>
        <v>2</v>
      </c>
      <c r="E526" s="4">
        <v>1137</v>
      </c>
      <c r="F526" s="4">
        <v>6</v>
      </c>
      <c r="G526" s="10">
        <f t="shared" si="8"/>
        <v>189.5</v>
      </c>
      <c r="H526" s="4">
        <v>3</v>
      </c>
    </row>
    <row r="527" spans="1:8" x14ac:dyDescent="0.2">
      <c r="A527" s="4">
        <v>6218</v>
      </c>
      <c r="B527" s="4" t="s">
        <v>47</v>
      </c>
      <c r="C527" s="4" t="s">
        <v>43</v>
      </c>
      <c r="D527" s="4">
        <f>VLOOKUP(A527,Orders!$A:$E,5,FALSE)</f>
        <v>8</v>
      </c>
      <c r="E527" s="4">
        <v>176</v>
      </c>
      <c r="F527" s="4">
        <v>11</v>
      </c>
      <c r="G527" s="10">
        <f t="shared" si="8"/>
        <v>16</v>
      </c>
      <c r="H527" s="4">
        <v>3</v>
      </c>
    </row>
    <row r="528" spans="1:8" x14ac:dyDescent="0.2">
      <c r="A528" s="4">
        <v>6224</v>
      </c>
      <c r="B528" s="4" t="s">
        <v>47</v>
      </c>
      <c r="C528" s="4" t="s">
        <v>43</v>
      </c>
      <c r="D528" s="4">
        <f>VLOOKUP(A528,Orders!$A:$E,5,FALSE)</f>
        <v>7</v>
      </c>
      <c r="E528" s="4">
        <v>511</v>
      </c>
      <c r="F528" s="4">
        <v>16</v>
      </c>
      <c r="G528" s="10">
        <f t="shared" si="8"/>
        <v>31.9375</v>
      </c>
      <c r="H528" s="4">
        <v>2</v>
      </c>
    </row>
    <row r="529" spans="1:8" x14ac:dyDescent="0.2">
      <c r="A529" s="4">
        <v>6268</v>
      </c>
      <c r="B529" s="4" t="s">
        <v>47</v>
      </c>
      <c r="C529" s="4" t="s">
        <v>43</v>
      </c>
      <c r="D529" s="4">
        <f>VLOOKUP(A529,Orders!$A:$E,5,FALSE)</f>
        <v>6</v>
      </c>
      <c r="E529" s="4">
        <v>1170</v>
      </c>
      <c r="F529" s="4">
        <v>17</v>
      </c>
      <c r="G529" s="10">
        <f t="shared" si="8"/>
        <v>68.82352941176471</v>
      </c>
      <c r="H529" s="4">
        <v>2</v>
      </c>
    </row>
    <row r="530" spans="1:8" x14ac:dyDescent="0.2">
      <c r="A530" s="4">
        <v>6274</v>
      </c>
      <c r="B530" s="4" t="s">
        <v>47</v>
      </c>
      <c r="C530" s="4" t="s">
        <v>43</v>
      </c>
      <c r="D530" s="4">
        <f>VLOOKUP(A530,Orders!$A:$E,5,FALSE)</f>
        <v>8</v>
      </c>
      <c r="E530" s="4">
        <v>33</v>
      </c>
      <c r="F530" s="4">
        <v>23</v>
      </c>
      <c r="G530" s="10">
        <f t="shared" si="8"/>
        <v>1.4347826086956521</v>
      </c>
      <c r="H530" s="4">
        <v>3</v>
      </c>
    </row>
    <row r="531" spans="1:8" x14ac:dyDescent="0.2">
      <c r="A531" s="4">
        <v>6277</v>
      </c>
      <c r="B531" s="4" t="s">
        <v>47</v>
      </c>
      <c r="C531" s="4" t="s">
        <v>43</v>
      </c>
      <c r="D531" s="4">
        <f>VLOOKUP(A531,Orders!$A:$E,5,FALSE)</f>
        <v>8</v>
      </c>
      <c r="E531" s="4">
        <v>186</v>
      </c>
      <c r="F531" s="4">
        <v>23</v>
      </c>
      <c r="G531" s="10">
        <f t="shared" si="8"/>
        <v>8.0869565217391308</v>
      </c>
      <c r="H531" s="4">
        <v>1</v>
      </c>
    </row>
    <row r="532" spans="1:8" x14ac:dyDescent="0.2">
      <c r="A532" s="4">
        <v>6308</v>
      </c>
      <c r="B532" s="4" t="s">
        <v>47</v>
      </c>
      <c r="C532" s="4" t="s">
        <v>43</v>
      </c>
      <c r="D532" s="4">
        <f>VLOOKUP(A532,Orders!$A:$E,5,FALSE)</f>
        <v>3</v>
      </c>
      <c r="E532" s="4">
        <v>1306</v>
      </c>
      <c r="F532" s="4">
        <v>8</v>
      </c>
      <c r="G532" s="10">
        <f t="shared" si="8"/>
        <v>163.25</v>
      </c>
      <c r="H532" s="4">
        <v>2</v>
      </c>
    </row>
    <row r="533" spans="1:8" x14ac:dyDescent="0.2">
      <c r="A533" s="4">
        <v>6311</v>
      </c>
      <c r="B533" s="4" t="s">
        <v>47</v>
      </c>
      <c r="C533" s="4" t="s">
        <v>43</v>
      </c>
      <c r="D533" s="4">
        <f>VLOOKUP(A533,Orders!$A:$E,5,FALSE)</f>
        <v>4</v>
      </c>
      <c r="E533" s="4">
        <v>1756</v>
      </c>
      <c r="F533" s="4">
        <v>18</v>
      </c>
      <c r="G533" s="10">
        <f t="shared" si="8"/>
        <v>97.555555555555557</v>
      </c>
      <c r="H533" s="4">
        <v>1</v>
      </c>
    </row>
    <row r="534" spans="1:8" x14ac:dyDescent="0.2">
      <c r="A534" s="4">
        <v>6322</v>
      </c>
      <c r="B534" s="4" t="s">
        <v>47</v>
      </c>
      <c r="C534" s="4" t="s">
        <v>43</v>
      </c>
      <c r="D534" s="4">
        <f>VLOOKUP(A534,Orders!$A:$E,5,FALSE)</f>
        <v>8</v>
      </c>
      <c r="E534" s="4">
        <v>1090</v>
      </c>
      <c r="F534" s="4">
        <v>22</v>
      </c>
      <c r="G534" s="10">
        <f t="shared" si="8"/>
        <v>49.545454545454547</v>
      </c>
      <c r="H534" s="4">
        <v>1</v>
      </c>
    </row>
    <row r="535" spans="1:8" x14ac:dyDescent="0.2">
      <c r="A535" s="4">
        <v>6335</v>
      </c>
      <c r="B535" s="4" t="s">
        <v>47</v>
      </c>
      <c r="C535" s="4" t="s">
        <v>43</v>
      </c>
      <c r="D535" s="4">
        <f>VLOOKUP(A535,Orders!$A:$E,5,FALSE)</f>
        <v>10</v>
      </c>
      <c r="E535" s="4">
        <v>1932</v>
      </c>
      <c r="F535" s="4">
        <v>21</v>
      </c>
      <c r="G535" s="10">
        <f t="shared" si="8"/>
        <v>92</v>
      </c>
      <c r="H535" s="4">
        <v>2</v>
      </c>
    </row>
    <row r="536" spans="1:8" x14ac:dyDescent="0.2">
      <c r="A536" s="4">
        <v>6371</v>
      </c>
      <c r="B536" s="4" t="s">
        <v>47</v>
      </c>
      <c r="C536" s="4" t="s">
        <v>43</v>
      </c>
      <c r="D536" s="4">
        <f>VLOOKUP(A536,Orders!$A:$E,5,FALSE)</f>
        <v>4</v>
      </c>
      <c r="E536" s="4">
        <v>600</v>
      </c>
      <c r="F536" s="4">
        <v>4</v>
      </c>
      <c r="G536" s="10">
        <f t="shared" si="8"/>
        <v>150</v>
      </c>
      <c r="H536" s="4">
        <v>1</v>
      </c>
    </row>
    <row r="537" spans="1:8" x14ac:dyDescent="0.2">
      <c r="A537" s="4">
        <v>6388</v>
      </c>
      <c r="B537" s="4" t="s">
        <v>47</v>
      </c>
      <c r="C537" s="4" t="s">
        <v>43</v>
      </c>
      <c r="D537" s="4">
        <f>VLOOKUP(A537,Orders!$A:$E,5,FALSE)</f>
        <v>6</v>
      </c>
      <c r="E537" s="4">
        <v>683</v>
      </c>
      <c r="F537" s="4">
        <v>12</v>
      </c>
      <c r="G537" s="10">
        <f t="shared" si="8"/>
        <v>56.916666666666664</v>
      </c>
      <c r="H537" s="4">
        <v>2</v>
      </c>
    </row>
    <row r="538" spans="1:8" x14ac:dyDescent="0.2">
      <c r="A538" s="4">
        <v>6390</v>
      </c>
      <c r="B538" s="4" t="s">
        <v>47</v>
      </c>
      <c r="C538" s="4" t="s">
        <v>43</v>
      </c>
      <c r="D538" s="4">
        <f>VLOOKUP(A538,Orders!$A:$E,5,FALSE)</f>
        <v>8</v>
      </c>
      <c r="E538" s="4">
        <v>601</v>
      </c>
      <c r="F538" s="4">
        <v>11</v>
      </c>
      <c r="G538" s="10">
        <f t="shared" si="8"/>
        <v>54.636363636363633</v>
      </c>
      <c r="H538" s="4">
        <v>2</v>
      </c>
    </row>
    <row r="539" spans="1:8" x14ac:dyDescent="0.2">
      <c r="A539" s="4">
        <v>6396</v>
      </c>
      <c r="B539" s="4" t="s">
        <v>47</v>
      </c>
      <c r="C539" s="4" t="s">
        <v>43</v>
      </c>
      <c r="D539" s="4">
        <f>VLOOKUP(A539,Orders!$A:$E,5,FALSE)</f>
        <v>10</v>
      </c>
      <c r="E539" s="4">
        <v>1096</v>
      </c>
      <c r="F539" s="4">
        <v>8</v>
      </c>
      <c r="G539" s="10">
        <f t="shared" si="8"/>
        <v>137</v>
      </c>
      <c r="H539" s="4">
        <v>1</v>
      </c>
    </row>
    <row r="540" spans="1:8" x14ac:dyDescent="0.2">
      <c r="A540" s="4">
        <v>6407</v>
      </c>
      <c r="B540" s="4" t="s">
        <v>47</v>
      </c>
      <c r="C540" s="4" t="s">
        <v>43</v>
      </c>
      <c r="D540" s="4">
        <f>VLOOKUP(A540,Orders!$A:$E,5,FALSE)</f>
        <v>8</v>
      </c>
      <c r="E540" s="4">
        <v>686</v>
      </c>
      <c r="F540" s="4">
        <v>6</v>
      </c>
      <c r="G540" s="10">
        <f t="shared" si="8"/>
        <v>114.33333333333333</v>
      </c>
      <c r="H540" s="4">
        <v>3</v>
      </c>
    </row>
    <row r="541" spans="1:8" x14ac:dyDescent="0.2">
      <c r="A541" s="4">
        <v>6409</v>
      </c>
      <c r="B541" s="4" t="s">
        <v>47</v>
      </c>
      <c r="C541" s="4" t="s">
        <v>43</v>
      </c>
      <c r="D541" s="4">
        <f>VLOOKUP(A541,Orders!$A:$E,5,FALSE)</f>
        <v>2</v>
      </c>
      <c r="E541" s="4">
        <v>823</v>
      </c>
      <c r="F541" s="4">
        <v>3</v>
      </c>
      <c r="G541" s="10">
        <f t="shared" si="8"/>
        <v>274.33333333333331</v>
      </c>
      <c r="H541" s="4">
        <v>3</v>
      </c>
    </row>
    <row r="542" spans="1:8" x14ac:dyDescent="0.2">
      <c r="A542" s="4">
        <v>6442</v>
      </c>
      <c r="B542" s="4" t="s">
        <v>47</v>
      </c>
      <c r="C542" s="4" t="s">
        <v>43</v>
      </c>
      <c r="D542" s="4">
        <f>VLOOKUP(A542,Orders!$A:$E,5,FALSE)</f>
        <v>10</v>
      </c>
      <c r="E542" s="4">
        <v>1273</v>
      </c>
      <c r="F542" s="4">
        <v>8</v>
      </c>
      <c r="G542" s="10">
        <f t="shared" si="8"/>
        <v>159.125</v>
      </c>
      <c r="H542" s="4">
        <v>1</v>
      </c>
    </row>
    <row r="543" spans="1:8" x14ac:dyDescent="0.2">
      <c r="A543" s="4">
        <v>6446</v>
      </c>
      <c r="B543" s="4" t="s">
        <v>47</v>
      </c>
      <c r="C543" s="4" t="s">
        <v>43</v>
      </c>
      <c r="D543" s="4">
        <f>VLOOKUP(A543,Orders!$A:$E,5,FALSE)</f>
        <v>2</v>
      </c>
      <c r="E543" s="4">
        <v>444</v>
      </c>
      <c r="F543" s="4">
        <v>7</v>
      </c>
      <c r="G543" s="10">
        <f t="shared" si="8"/>
        <v>63.428571428571431</v>
      </c>
      <c r="H543" s="4">
        <v>1</v>
      </c>
    </row>
    <row r="544" spans="1:8" x14ac:dyDescent="0.2">
      <c r="A544" s="4">
        <v>6453</v>
      </c>
      <c r="B544" s="4" t="s">
        <v>47</v>
      </c>
      <c r="C544" s="4" t="s">
        <v>43</v>
      </c>
      <c r="D544" s="4">
        <f>VLOOKUP(A544,Orders!$A:$E,5,FALSE)</f>
        <v>9</v>
      </c>
      <c r="E544" s="4">
        <v>621</v>
      </c>
      <c r="F544" s="4">
        <v>20</v>
      </c>
      <c r="G544" s="10">
        <f t="shared" si="8"/>
        <v>31.05</v>
      </c>
      <c r="H544" s="4">
        <v>1</v>
      </c>
    </row>
    <row r="545" spans="1:8" x14ac:dyDescent="0.2">
      <c r="A545" s="4">
        <v>6469</v>
      </c>
      <c r="B545" s="4" t="s">
        <v>47</v>
      </c>
      <c r="C545" s="4" t="s">
        <v>43</v>
      </c>
      <c r="D545" s="4">
        <f>VLOOKUP(A545,Orders!$A:$E,5,FALSE)</f>
        <v>3</v>
      </c>
      <c r="E545" s="4">
        <v>308</v>
      </c>
      <c r="F545" s="4">
        <v>17</v>
      </c>
      <c r="G545" s="10">
        <f t="shared" si="8"/>
        <v>18.117647058823529</v>
      </c>
      <c r="H545" s="4">
        <v>1</v>
      </c>
    </row>
    <row r="546" spans="1:8" x14ac:dyDescent="0.2">
      <c r="A546" s="4">
        <v>6476</v>
      </c>
      <c r="B546" s="4" t="s">
        <v>47</v>
      </c>
      <c r="C546" s="4" t="s">
        <v>43</v>
      </c>
      <c r="D546" s="4">
        <f>VLOOKUP(A546,Orders!$A:$E,5,FALSE)</f>
        <v>2</v>
      </c>
      <c r="E546" s="4">
        <v>474</v>
      </c>
      <c r="F546" s="4">
        <v>24</v>
      </c>
      <c r="G546" s="10">
        <f t="shared" si="8"/>
        <v>19.75</v>
      </c>
      <c r="H546" s="4">
        <v>3</v>
      </c>
    </row>
    <row r="547" spans="1:8" x14ac:dyDescent="0.2">
      <c r="A547" s="4">
        <v>5013</v>
      </c>
      <c r="B547" s="4" t="s">
        <v>49</v>
      </c>
      <c r="C547" s="4" t="s">
        <v>43</v>
      </c>
      <c r="D547" s="4">
        <f>VLOOKUP(A547,Orders!$A:$E,5,FALSE)</f>
        <v>10</v>
      </c>
      <c r="E547" s="4">
        <v>1153</v>
      </c>
      <c r="F547" s="4">
        <v>24</v>
      </c>
      <c r="G547" s="10">
        <f t="shared" si="8"/>
        <v>48.041666666666664</v>
      </c>
      <c r="H547" s="4">
        <v>1</v>
      </c>
    </row>
    <row r="548" spans="1:8" x14ac:dyDescent="0.2">
      <c r="A548" s="4">
        <v>5015</v>
      </c>
      <c r="B548" s="4" t="s">
        <v>49</v>
      </c>
      <c r="C548" s="4" t="s">
        <v>43</v>
      </c>
      <c r="D548" s="4">
        <f>VLOOKUP(A548,Orders!$A:$E,5,FALSE)</f>
        <v>4</v>
      </c>
      <c r="E548" s="4">
        <v>1249</v>
      </c>
      <c r="F548" s="4">
        <v>9</v>
      </c>
      <c r="G548" s="10">
        <f t="shared" si="8"/>
        <v>138.77777777777777</v>
      </c>
      <c r="H548" s="4">
        <v>2</v>
      </c>
    </row>
    <row r="549" spans="1:8" x14ac:dyDescent="0.2">
      <c r="A549" s="4">
        <v>5022</v>
      </c>
      <c r="B549" s="4" t="s">
        <v>49</v>
      </c>
      <c r="C549" s="4" t="s">
        <v>43</v>
      </c>
      <c r="D549" s="4">
        <f>VLOOKUP(A549,Orders!$A:$E,5,FALSE)</f>
        <v>4</v>
      </c>
      <c r="E549" s="4">
        <v>615</v>
      </c>
      <c r="F549" s="4">
        <v>6</v>
      </c>
      <c r="G549" s="10">
        <f t="shared" si="8"/>
        <v>102.5</v>
      </c>
      <c r="H549" s="4">
        <v>3</v>
      </c>
    </row>
    <row r="550" spans="1:8" x14ac:dyDescent="0.2">
      <c r="A550" s="4">
        <v>5037</v>
      </c>
      <c r="B550" s="4" t="s">
        <v>49</v>
      </c>
      <c r="C550" s="4" t="s">
        <v>43</v>
      </c>
      <c r="D550" s="4">
        <f>VLOOKUP(A550,Orders!$A:$E,5,FALSE)</f>
        <v>5</v>
      </c>
      <c r="E550" s="4">
        <v>186</v>
      </c>
      <c r="F550" s="4">
        <v>15</v>
      </c>
      <c r="G550" s="10">
        <f t="shared" si="8"/>
        <v>12.4</v>
      </c>
      <c r="H550" s="4">
        <v>2</v>
      </c>
    </row>
    <row r="551" spans="1:8" x14ac:dyDescent="0.2">
      <c r="A551" s="4">
        <v>5057</v>
      </c>
      <c r="B551" s="4" t="s">
        <v>49</v>
      </c>
      <c r="C551" s="4" t="s">
        <v>43</v>
      </c>
      <c r="D551" s="4">
        <f>VLOOKUP(A551,Orders!$A:$E,5,FALSE)</f>
        <v>7</v>
      </c>
      <c r="E551" s="4">
        <v>1913</v>
      </c>
      <c r="F551" s="4">
        <v>9</v>
      </c>
      <c r="G551" s="10">
        <f t="shared" si="8"/>
        <v>212.55555555555554</v>
      </c>
      <c r="H551" s="4">
        <v>3</v>
      </c>
    </row>
    <row r="552" spans="1:8" x14ac:dyDescent="0.2">
      <c r="A552" s="4">
        <v>5064</v>
      </c>
      <c r="B552" s="4" t="s">
        <v>49</v>
      </c>
      <c r="C552" s="4" t="s">
        <v>43</v>
      </c>
      <c r="D552" s="4">
        <f>VLOOKUP(A552,Orders!$A:$E,5,FALSE)</f>
        <v>10</v>
      </c>
      <c r="E552" s="4">
        <v>1790</v>
      </c>
      <c r="F552" s="4">
        <v>6</v>
      </c>
      <c r="G552" s="10">
        <f t="shared" si="8"/>
        <v>298.33333333333331</v>
      </c>
      <c r="H552" s="4">
        <v>2</v>
      </c>
    </row>
    <row r="553" spans="1:8" x14ac:dyDescent="0.2">
      <c r="A553" s="4">
        <v>5083</v>
      </c>
      <c r="B553" s="4" t="s">
        <v>49</v>
      </c>
      <c r="C553" s="4" t="s">
        <v>43</v>
      </c>
      <c r="D553" s="4">
        <f>VLOOKUP(A553,Orders!$A:$E,5,FALSE)</f>
        <v>4</v>
      </c>
      <c r="E553" s="4">
        <v>731</v>
      </c>
      <c r="F553" s="4">
        <v>24</v>
      </c>
      <c r="G553" s="10">
        <f t="shared" si="8"/>
        <v>30.458333333333332</v>
      </c>
      <c r="H553" s="4">
        <v>2</v>
      </c>
    </row>
    <row r="554" spans="1:8" x14ac:dyDescent="0.2">
      <c r="A554" s="4">
        <v>5094</v>
      </c>
      <c r="B554" s="4" t="s">
        <v>49</v>
      </c>
      <c r="C554" s="4" t="s">
        <v>43</v>
      </c>
      <c r="D554" s="4">
        <f>VLOOKUP(A554,Orders!$A:$E,5,FALSE)</f>
        <v>2</v>
      </c>
      <c r="E554" s="4">
        <v>1361</v>
      </c>
      <c r="F554" s="4">
        <v>3</v>
      </c>
      <c r="G554" s="10">
        <f t="shared" si="8"/>
        <v>453.66666666666669</v>
      </c>
      <c r="H554" s="4">
        <v>3</v>
      </c>
    </row>
    <row r="555" spans="1:8" x14ac:dyDescent="0.2">
      <c r="A555" s="4">
        <v>5154</v>
      </c>
      <c r="B555" s="4" t="s">
        <v>49</v>
      </c>
      <c r="C555" s="4" t="s">
        <v>43</v>
      </c>
      <c r="D555" s="4">
        <f>VLOOKUP(A555,Orders!$A:$E,5,FALSE)</f>
        <v>5</v>
      </c>
      <c r="E555" s="4">
        <v>1828</v>
      </c>
      <c r="F555" s="4">
        <v>21</v>
      </c>
      <c r="G555" s="10">
        <f t="shared" si="8"/>
        <v>87.047619047619051</v>
      </c>
      <c r="H555" s="4">
        <v>1</v>
      </c>
    </row>
    <row r="556" spans="1:8" x14ac:dyDescent="0.2">
      <c r="A556" s="4">
        <v>5177</v>
      </c>
      <c r="B556" s="4" t="s">
        <v>49</v>
      </c>
      <c r="C556" s="4" t="s">
        <v>43</v>
      </c>
      <c r="D556" s="4">
        <f>VLOOKUP(A556,Orders!$A:$E,5,FALSE)</f>
        <v>3</v>
      </c>
      <c r="E556" s="4">
        <v>373</v>
      </c>
      <c r="F556" s="4">
        <v>16</v>
      </c>
      <c r="G556" s="10">
        <f t="shared" si="8"/>
        <v>23.3125</v>
      </c>
      <c r="H556" s="4">
        <v>1</v>
      </c>
    </row>
    <row r="557" spans="1:8" x14ac:dyDescent="0.2">
      <c r="A557" s="4">
        <v>5180</v>
      </c>
      <c r="B557" s="4" t="s">
        <v>49</v>
      </c>
      <c r="C557" s="4" t="s">
        <v>43</v>
      </c>
      <c r="D557" s="4">
        <f>VLOOKUP(A557,Orders!$A:$E,5,FALSE)</f>
        <v>8</v>
      </c>
      <c r="E557" s="4">
        <v>719</v>
      </c>
      <c r="F557" s="4">
        <v>16</v>
      </c>
      <c r="G557" s="10">
        <f t="shared" si="8"/>
        <v>44.9375</v>
      </c>
      <c r="H557" s="4">
        <v>3</v>
      </c>
    </row>
    <row r="558" spans="1:8" x14ac:dyDescent="0.2">
      <c r="A558" s="4">
        <v>5194</v>
      </c>
      <c r="B558" s="4" t="s">
        <v>49</v>
      </c>
      <c r="C558" s="4" t="s">
        <v>43</v>
      </c>
      <c r="D558" s="4">
        <f>VLOOKUP(A558,Orders!$A:$E,5,FALSE)</f>
        <v>4</v>
      </c>
      <c r="E558" s="4">
        <v>1071</v>
      </c>
      <c r="F558" s="4">
        <v>8</v>
      </c>
      <c r="G558" s="10">
        <f t="shared" si="8"/>
        <v>133.875</v>
      </c>
      <c r="H558" s="4">
        <v>2</v>
      </c>
    </row>
    <row r="559" spans="1:8" x14ac:dyDescent="0.2">
      <c r="A559" s="4">
        <v>5199</v>
      </c>
      <c r="B559" s="4" t="s">
        <v>49</v>
      </c>
      <c r="C559" s="4" t="s">
        <v>43</v>
      </c>
      <c r="D559" s="4">
        <f>VLOOKUP(A559,Orders!$A:$E,5,FALSE)</f>
        <v>10</v>
      </c>
      <c r="E559" s="4">
        <v>345</v>
      </c>
      <c r="F559" s="4">
        <v>15</v>
      </c>
      <c r="G559" s="10">
        <f t="shared" si="8"/>
        <v>23</v>
      </c>
      <c r="H559" s="4">
        <v>2</v>
      </c>
    </row>
    <row r="560" spans="1:8" x14ac:dyDescent="0.2">
      <c r="A560" s="4">
        <v>5205</v>
      </c>
      <c r="B560" s="4" t="s">
        <v>49</v>
      </c>
      <c r="C560" s="4" t="s">
        <v>43</v>
      </c>
      <c r="D560" s="4">
        <f>VLOOKUP(A560,Orders!$A:$E,5,FALSE)</f>
        <v>7</v>
      </c>
      <c r="E560" s="4">
        <v>1922</v>
      </c>
      <c r="F560" s="4">
        <v>9</v>
      </c>
      <c r="G560" s="10">
        <f t="shared" si="8"/>
        <v>213.55555555555554</v>
      </c>
      <c r="H560" s="4">
        <v>3</v>
      </c>
    </row>
    <row r="561" spans="1:8" x14ac:dyDescent="0.2">
      <c r="A561" s="4">
        <v>5213</v>
      </c>
      <c r="B561" s="4" t="s">
        <v>49</v>
      </c>
      <c r="C561" s="4" t="s">
        <v>43</v>
      </c>
      <c r="D561" s="4">
        <f>VLOOKUP(A561,Orders!$A:$E,5,FALSE)</f>
        <v>3</v>
      </c>
      <c r="E561" s="4">
        <v>398</v>
      </c>
      <c r="F561" s="4">
        <v>9</v>
      </c>
      <c r="G561" s="10">
        <f t="shared" si="8"/>
        <v>44.222222222222221</v>
      </c>
      <c r="H561" s="4">
        <v>1</v>
      </c>
    </row>
    <row r="562" spans="1:8" x14ac:dyDescent="0.2">
      <c r="A562" s="4">
        <v>5215</v>
      </c>
      <c r="B562" s="4" t="s">
        <v>49</v>
      </c>
      <c r="C562" s="4" t="s">
        <v>43</v>
      </c>
      <c r="D562" s="4">
        <f>VLOOKUP(A562,Orders!$A:$E,5,FALSE)</f>
        <v>2</v>
      </c>
      <c r="E562" s="4">
        <v>997</v>
      </c>
      <c r="F562" s="4">
        <v>7</v>
      </c>
      <c r="G562" s="10">
        <f t="shared" si="8"/>
        <v>142.42857142857142</v>
      </c>
      <c r="H562" s="4">
        <v>2</v>
      </c>
    </row>
    <row r="563" spans="1:8" x14ac:dyDescent="0.2">
      <c r="A563" s="4">
        <v>5241</v>
      </c>
      <c r="B563" s="4" t="s">
        <v>49</v>
      </c>
      <c r="C563" s="4" t="s">
        <v>43</v>
      </c>
      <c r="D563" s="4">
        <f>VLOOKUP(A563,Orders!$A:$E,5,FALSE)</f>
        <v>6</v>
      </c>
      <c r="E563" s="4">
        <v>1841</v>
      </c>
      <c r="F563" s="4">
        <v>21</v>
      </c>
      <c r="G563" s="10">
        <f t="shared" si="8"/>
        <v>87.666666666666671</v>
      </c>
      <c r="H563" s="4">
        <v>3</v>
      </c>
    </row>
    <row r="564" spans="1:8" x14ac:dyDescent="0.2">
      <c r="A564" s="4">
        <v>5243</v>
      </c>
      <c r="B564" s="4" t="s">
        <v>49</v>
      </c>
      <c r="C564" s="4" t="s">
        <v>43</v>
      </c>
      <c r="D564" s="4">
        <f>VLOOKUP(A564,Orders!$A:$E,5,FALSE)</f>
        <v>8</v>
      </c>
      <c r="E564" s="4">
        <v>1131</v>
      </c>
      <c r="F564" s="4">
        <v>10</v>
      </c>
      <c r="G564" s="10">
        <f t="shared" si="8"/>
        <v>113.1</v>
      </c>
      <c r="H564" s="4">
        <v>1</v>
      </c>
    </row>
    <row r="565" spans="1:8" x14ac:dyDescent="0.2">
      <c r="A565" s="4">
        <v>5255</v>
      </c>
      <c r="B565" s="4" t="s">
        <v>49</v>
      </c>
      <c r="C565" s="4" t="s">
        <v>43</v>
      </c>
      <c r="D565" s="4">
        <f>VLOOKUP(A565,Orders!$A:$E,5,FALSE)</f>
        <v>3</v>
      </c>
      <c r="E565" s="4">
        <v>1733</v>
      </c>
      <c r="F565" s="4">
        <v>15</v>
      </c>
      <c r="G565" s="10">
        <f t="shared" si="8"/>
        <v>115.53333333333333</v>
      </c>
      <c r="H565" s="4">
        <v>1</v>
      </c>
    </row>
    <row r="566" spans="1:8" x14ac:dyDescent="0.2">
      <c r="A566" s="4">
        <v>5259</v>
      </c>
      <c r="B566" s="4" t="s">
        <v>49</v>
      </c>
      <c r="C566" s="4" t="s">
        <v>43</v>
      </c>
      <c r="D566" s="4">
        <f>VLOOKUP(A566,Orders!$A:$E,5,FALSE)</f>
        <v>8</v>
      </c>
      <c r="E566" s="4">
        <v>1258</v>
      </c>
      <c r="F566" s="4">
        <v>14</v>
      </c>
      <c r="G566" s="10">
        <f t="shared" si="8"/>
        <v>89.857142857142861</v>
      </c>
      <c r="H566" s="4">
        <v>1</v>
      </c>
    </row>
    <row r="567" spans="1:8" x14ac:dyDescent="0.2">
      <c r="A567" s="4">
        <v>5307</v>
      </c>
      <c r="B567" s="4" t="s">
        <v>49</v>
      </c>
      <c r="C567" s="4" t="s">
        <v>43</v>
      </c>
      <c r="D567" s="4">
        <f>VLOOKUP(A567,Orders!$A:$E,5,FALSE)</f>
        <v>8</v>
      </c>
      <c r="E567" s="4">
        <v>695</v>
      </c>
      <c r="F567" s="4">
        <v>22</v>
      </c>
      <c r="G567" s="10">
        <f t="shared" si="8"/>
        <v>31.59090909090909</v>
      </c>
      <c r="H567" s="4">
        <v>3</v>
      </c>
    </row>
    <row r="568" spans="1:8" x14ac:dyDescent="0.2">
      <c r="A568" s="4">
        <v>5333</v>
      </c>
      <c r="B568" s="4" t="s">
        <v>49</v>
      </c>
      <c r="C568" s="4" t="s">
        <v>43</v>
      </c>
      <c r="D568" s="4">
        <f>VLOOKUP(A568,Orders!$A:$E,5,FALSE)</f>
        <v>9</v>
      </c>
      <c r="E568" s="4">
        <v>1541</v>
      </c>
      <c r="F568" s="4">
        <v>8</v>
      </c>
      <c r="G568" s="10">
        <f t="shared" si="8"/>
        <v>192.625</v>
      </c>
      <c r="H568" s="4">
        <v>3</v>
      </c>
    </row>
    <row r="569" spans="1:8" x14ac:dyDescent="0.2">
      <c r="A569" s="4">
        <v>5337</v>
      </c>
      <c r="B569" s="4" t="s">
        <v>49</v>
      </c>
      <c r="C569" s="4" t="s">
        <v>43</v>
      </c>
      <c r="D569" s="4">
        <f>VLOOKUP(A569,Orders!$A:$E,5,FALSE)</f>
        <v>3</v>
      </c>
      <c r="E569" s="4">
        <v>422</v>
      </c>
      <c r="F569" s="4">
        <v>17</v>
      </c>
      <c r="G569" s="10">
        <f t="shared" si="8"/>
        <v>24.823529411764707</v>
      </c>
      <c r="H569" s="4">
        <v>1</v>
      </c>
    </row>
    <row r="570" spans="1:8" x14ac:dyDescent="0.2">
      <c r="A570" s="4">
        <v>5348</v>
      </c>
      <c r="B570" s="4" t="s">
        <v>49</v>
      </c>
      <c r="C570" s="4" t="s">
        <v>43</v>
      </c>
      <c r="D570" s="4">
        <f>VLOOKUP(A570,Orders!$A:$E,5,FALSE)</f>
        <v>6</v>
      </c>
      <c r="E570" s="4">
        <v>1915</v>
      </c>
      <c r="F570" s="4">
        <v>16</v>
      </c>
      <c r="G570" s="10">
        <f t="shared" si="8"/>
        <v>119.6875</v>
      </c>
      <c r="H570" s="4">
        <v>2</v>
      </c>
    </row>
    <row r="571" spans="1:8" x14ac:dyDescent="0.2">
      <c r="A571" s="4">
        <v>5360</v>
      </c>
      <c r="B571" s="4" t="s">
        <v>49</v>
      </c>
      <c r="C571" s="4" t="s">
        <v>43</v>
      </c>
      <c r="D571" s="4">
        <f>VLOOKUP(A571,Orders!$A:$E,5,FALSE)</f>
        <v>3</v>
      </c>
      <c r="E571" s="4">
        <v>1696</v>
      </c>
      <c r="F571" s="4">
        <v>24</v>
      </c>
      <c r="G571" s="10">
        <f t="shared" si="8"/>
        <v>70.666666666666671</v>
      </c>
      <c r="H571" s="4">
        <v>1</v>
      </c>
    </row>
    <row r="572" spans="1:8" x14ac:dyDescent="0.2">
      <c r="A572" s="4">
        <v>5364</v>
      </c>
      <c r="B572" s="4" t="s">
        <v>49</v>
      </c>
      <c r="C572" s="4" t="s">
        <v>43</v>
      </c>
      <c r="D572" s="4">
        <f>VLOOKUP(A572,Orders!$A:$E,5,FALSE)</f>
        <v>6</v>
      </c>
      <c r="E572" s="4">
        <v>172</v>
      </c>
      <c r="F572" s="4">
        <v>9</v>
      </c>
      <c r="G572" s="10">
        <f t="shared" si="8"/>
        <v>19.111111111111111</v>
      </c>
      <c r="H572" s="4">
        <v>1</v>
      </c>
    </row>
    <row r="573" spans="1:8" x14ac:dyDescent="0.2">
      <c r="A573" s="4">
        <v>5411</v>
      </c>
      <c r="B573" s="4" t="s">
        <v>49</v>
      </c>
      <c r="C573" s="4" t="s">
        <v>43</v>
      </c>
      <c r="D573" s="4">
        <f>VLOOKUP(A573,Orders!$A:$E,5,FALSE)</f>
        <v>6</v>
      </c>
      <c r="E573" s="4">
        <v>308</v>
      </c>
      <c r="F573" s="4">
        <v>9</v>
      </c>
      <c r="G573" s="10">
        <f t="shared" si="8"/>
        <v>34.222222222222221</v>
      </c>
      <c r="H573" s="4">
        <v>1</v>
      </c>
    </row>
    <row r="574" spans="1:8" x14ac:dyDescent="0.2">
      <c r="A574" s="4">
        <v>5426</v>
      </c>
      <c r="B574" s="4" t="s">
        <v>49</v>
      </c>
      <c r="C574" s="4" t="s">
        <v>43</v>
      </c>
      <c r="D574" s="4">
        <f>VLOOKUP(A574,Orders!$A:$E,5,FALSE)</f>
        <v>8</v>
      </c>
      <c r="E574" s="4">
        <v>998</v>
      </c>
      <c r="F574" s="4">
        <v>17</v>
      </c>
      <c r="G574" s="10">
        <f t="shared" si="8"/>
        <v>58.705882352941174</v>
      </c>
      <c r="H574" s="4">
        <v>3</v>
      </c>
    </row>
    <row r="575" spans="1:8" x14ac:dyDescent="0.2">
      <c r="A575" s="4">
        <v>5455</v>
      </c>
      <c r="B575" s="4" t="s">
        <v>49</v>
      </c>
      <c r="C575" s="4" t="s">
        <v>43</v>
      </c>
      <c r="D575" s="4">
        <f>VLOOKUP(A575,Orders!$A:$E,5,FALSE)</f>
        <v>4</v>
      </c>
      <c r="E575" s="4">
        <v>173</v>
      </c>
      <c r="F575" s="4">
        <v>10</v>
      </c>
      <c r="G575" s="10">
        <f t="shared" si="8"/>
        <v>17.3</v>
      </c>
      <c r="H575" s="4">
        <v>3</v>
      </c>
    </row>
    <row r="576" spans="1:8" x14ac:dyDescent="0.2">
      <c r="A576" s="4">
        <v>5464</v>
      </c>
      <c r="B576" s="4" t="s">
        <v>49</v>
      </c>
      <c r="C576" s="4" t="s">
        <v>43</v>
      </c>
      <c r="D576" s="4">
        <f>VLOOKUP(A576,Orders!$A:$E,5,FALSE)</f>
        <v>6</v>
      </c>
      <c r="E576" s="4">
        <v>1600</v>
      </c>
      <c r="F576" s="4">
        <v>22</v>
      </c>
      <c r="G576" s="10">
        <f t="shared" si="8"/>
        <v>72.727272727272734</v>
      </c>
      <c r="H576" s="4">
        <v>3</v>
      </c>
    </row>
    <row r="577" spans="1:8" x14ac:dyDescent="0.2">
      <c r="A577" s="4">
        <v>5468</v>
      </c>
      <c r="B577" s="4" t="s">
        <v>49</v>
      </c>
      <c r="C577" s="4" t="s">
        <v>43</v>
      </c>
      <c r="D577" s="4">
        <f>VLOOKUP(A577,Orders!$A:$E,5,FALSE)</f>
        <v>7</v>
      </c>
      <c r="E577" s="4">
        <v>1303</v>
      </c>
      <c r="F577" s="4">
        <v>16</v>
      </c>
      <c r="G577" s="10">
        <f t="shared" si="8"/>
        <v>81.4375</v>
      </c>
      <c r="H577" s="4">
        <v>2</v>
      </c>
    </row>
    <row r="578" spans="1:8" x14ac:dyDescent="0.2">
      <c r="A578" s="4">
        <v>5477</v>
      </c>
      <c r="B578" s="4" t="s">
        <v>49</v>
      </c>
      <c r="C578" s="4" t="s">
        <v>43</v>
      </c>
      <c r="D578" s="4">
        <f>VLOOKUP(A578,Orders!$A:$E,5,FALSE)</f>
        <v>4</v>
      </c>
      <c r="E578" s="4">
        <v>1619</v>
      </c>
      <c r="F578" s="4">
        <v>24</v>
      </c>
      <c r="G578" s="10">
        <f t="shared" ref="G578:G641" si="9">E578/F578</f>
        <v>67.458333333333329</v>
      </c>
      <c r="H578" s="4">
        <v>2</v>
      </c>
    </row>
    <row r="579" spans="1:8" x14ac:dyDescent="0.2">
      <c r="A579" s="4">
        <v>5501</v>
      </c>
      <c r="B579" s="4" t="s">
        <v>49</v>
      </c>
      <c r="C579" s="4" t="s">
        <v>43</v>
      </c>
      <c r="D579" s="4">
        <f>VLOOKUP(A579,Orders!$A:$E,5,FALSE)</f>
        <v>8</v>
      </c>
      <c r="E579" s="4">
        <v>683</v>
      </c>
      <c r="F579" s="4">
        <v>9</v>
      </c>
      <c r="G579" s="10">
        <f t="shared" si="9"/>
        <v>75.888888888888886</v>
      </c>
      <c r="H579" s="4">
        <v>2</v>
      </c>
    </row>
    <row r="580" spans="1:8" x14ac:dyDescent="0.2">
      <c r="A580" s="4">
        <v>5503</v>
      </c>
      <c r="B580" s="4" t="s">
        <v>49</v>
      </c>
      <c r="C580" s="4" t="s">
        <v>43</v>
      </c>
      <c r="D580" s="4">
        <f>VLOOKUP(A580,Orders!$A:$E,5,FALSE)</f>
        <v>9</v>
      </c>
      <c r="E580" s="4">
        <v>1032</v>
      </c>
      <c r="F580" s="4">
        <v>9</v>
      </c>
      <c r="G580" s="10">
        <f t="shared" si="9"/>
        <v>114.66666666666667</v>
      </c>
      <c r="H580" s="4">
        <v>3</v>
      </c>
    </row>
    <row r="581" spans="1:8" x14ac:dyDescent="0.2">
      <c r="A581" s="4">
        <v>5524</v>
      </c>
      <c r="B581" s="4" t="s">
        <v>49</v>
      </c>
      <c r="C581" s="4" t="s">
        <v>43</v>
      </c>
      <c r="D581" s="4">
        <f>VLOOKUP(A581,Orders!$A:$E,5,FALSE)</f>
        <v>6</v>
      </c>
      <c r="E581" s="4">
        <v>1268</v>
      </c>
      <c r="F581" s="4">
        <v>3</v>
      </c>
      <c r="G581" s="10">
        <f t="shared" si="9"/>
        <v>422.66666666666669</v>
      </c>
      <c r="H581" s="4">
        <v>3</v>
      </c>
    </row>
    <row r="582" spans="1:8" x14ac:dyDescent="0.2">
      <c r="A582" s="4">
        <v>5525</v>
      </c>
      <c r="B582" s="4" t="s">
        <v>49</v>
      </c>
      <c r="C582" s="4" t="s">
        <v>43</v>
      </c>
      <c r="D582" s="4">
        <f>VLOOKUP(A582,Orders!$A:$E,5,FALSE)</f>
        <v>5</v>
      </c>
      <c r="E582" s="4">
        <v>1606</v>
      </c>
      <c r="F582" s="4">
        <v>4</v>
      </c>
      <c r="G582" s="10">
        <f t="shared" si="9"/>
        <v>401.5</v>
      </c>
      <c r="H582" s="4">
        <v>3</v>
      </c>
    </row>
    <row r="583" spans="1:8" x14ac:dyDescent="0.2">
      <c r="A583" s="4">
        <v>5536</v>
      </c>
      <c r="B583" s="4" t="s">
        <v>49</v>
      </c>
      <c r="C583" s="4" t="s">
        <v>43</v>
      </c>
      <c r="D583" s="4">
        <f>VLOOKUP(A583,Orders!$A:$E,5,FALSE)</f>
        <v>6</v>
      </c>
      <c r="E583" s="4">
        <v>1820</v>
      </c>
      <c r="F583" s="4">
        <v>21</v>
      </c>
      <c r="G583" s="10">
        <f t="shared" si="9"/>
        <v>86.666666666666671</v>
      </c>
      <c r="H583" s="4">
        <v>1</v>
      </c>
    </row>
    <row r="584" spans="1:8" x14ac:dyDescent="0.2">
      <c r="A584" s="4">
        <v>5541</v>
      </c>
      <c r="B584" s="4" t="s">
        <v>49</v>
      </c>
      <c r="C584" s="4" t="s">
        <v>43</v>
      </c>
      <c r="D584" s="4">
        <f>VLOOKUP(A584,Orders!$A:$E,5,FALSE)</f>
        <v>2</v>
      </c>
      <c r="E584" s="4">
        <v>1806</v>
      </c>
      <c r="F584" s="4">
        <v>23</v>
      </c>
      <c r="G584" s="10">
        <f t="shared" si="9"/>
        <v>78.521739130434781</v>
      </c>
      <c r="H584" s="4">
        <v>1</v>
      </c>
    </row>
    <row r="585" spans="1:8" x14ac:dyDescent="0.2">
      <c r="A585" s="4">
        <v>5551</v>
      </c>
      <c r="B585" s="4" t="s">
        <v>49</v>
      </c>
      <c r="C585" s="4" t="s">
        <v>43</v>
      </c>
      <c r="D585" s="4">
        <f>VLOOKUP(A585,Orders!$A:$E,5,FALSE)</f>
        <v>9</v>
      </c>
      <c r="E585" s="4">
        <v>1897</v>
      </c>
      <c r="F585" s="4">
        <v>17</v>
      </c>
      <c r="G585" s="10">
        <f t="shared" si="9"/>
        <v>111.58823529411765</v>
      </c>
      <c r="H585" s="4">
        <v>3</v>
      </c>
    </row>
    <row r="586" spans="1:8" x14ac:dyDescent="0.2">
      <c r="A586" s="4">
        <v>5574</v>
      </c>
      <c r="B586" s="4" t="s">
        <v>49</v>
      </c>
      <c r="C586" s="4" t="s">
        <v>43</v>
      </c>
      <c r="D586" s="4">
        <f>VLOOKUP(A586,Orders!$A:$E,5,FALSE)</f>
        <v>10</v>
      </c>
      <c r="E586" s="4">
        <v>1303</v>
      </c>
      <c r="F586" s="4">
        <v>24</v>
      </c>
      <c r="G586" s="10">
        <f t="shared" si="9"/>
        <v>54.291666666666664</v>
      </c>
      <c r="H586" s="4">
        <v>2</v>
      </c>
    </row>
    <row r="587" spans="1:8" x14ac:dyDescent="0.2">
      <c r="A587" s="4">
        <v>5580</v>
      </c>
      <c r="B587" s="4" t="s">
        <v>49</v>
      </c>
      <c r="C587" s="4" t="s">
        <v>43</v>
      </c>
      <c r="D587" s="4">
        <f>VLOOKUP(A587,Orders!$A:$E,5,FALSE)</f>
        <v>8</v>
      </c>
      <c r="E587" s="4">
        <v>1578</v>
      </c>
      <c r="F587" s="4">
        <v>5</v>
      </c>
      <c r="G587" s="10">
        <f t="shared" si="9"/>
        <v>315.60000000000002</v>
      </c>
      <c r="H587" s="4">
        <v>2</v>
      </c>
    </row>
    <row r="588" spans="1:8" x14ac:dyDescent="0.2">
      <c r="A588" s="4">
        <v>5587</v>
      </c>
      <c r="B588" s="4" t="s">
        <v>49</v>
      </c>
      <c r="C588" s="4" t="s">
        <v>43</v>
      </c>
      <c r="D588" s="4">
        <f>VLOOKUP(A588,Orders!$A:$E,5,FALSE)</f>
        <v>7</v>
      </c>
      <c r="E588" s="4">
        <v>1184</v>
      </c>
      <c r="F588" s="4">
        <v>2</v>
      </c>
      <c r="G588" s="10">
        <f t="shared" si="9"/>
        <v>592</v>
      </c>
      <c r="H588" s="4">
        <v>1</v>
      </c>
    </row>
    <row r="589" spans="1:8" x14ac:dyDescent="0.2">
      <c r="A589" s="4">
        <v>5594</v>
      </c>
      <c r="B589" s="4" t="s">
        <v>49</v>
      </c>
      <c r="C589" s="4" t="s">
        <v>43</v>
      </c>
      <c r="D589" s="4">
        <f>VLOOKUP(A589,Orders!$A:$E,5,FALSE)</f>
        <v>8</v>
      </c>
      <c r="E589" s="4">
        <v>248</v>
      </c>
      <c r="F589" s="4">
        <v>23</v>
      </c>
      <c r="G589" s="10">
        <f t="shared" si="9"/>
        <v>10.782608695652174</v>
      </c>
      <c r="H589" s="4">
        <v>1</v>
      </c>
    </row>
    <row r="590" spans="1:8" x14ac:dyDescent="0.2">
      <c r="A590" s="4">
        <v>5643</v>
      </c>
      <c r="B590" s="4" t="s">
        <v>49</v>
      </c>
      <c r="C590" s="4" t="s">
        <v>43</v>
      </c>
      <c r="D590" s="4">
        <f>VLOOKUP(A590,Orders!$A:$E,5,FALSE)</f>
        <v>3</v>
      </c>
      <c r="E590" s="4">
        <v>1022</v>
      </c>
      <c r="F590" s="4">
        <v>12</v>
      </c>
      <c r="G590" s="10">
        <f t="shared" si="9"/>
        <v>85.166666666666671</v>
      </c>
      <c r="H590" s="4">
        <v>1</v>
      </c>
    </row>
    <row r="591" spans="1:8" x14ac:dyDescent="0.2">
      <c r="A591" s="4">
        <v>5654</v>
      </c>
      <c r="B591" s="4" t="s">
        <v>49</v>
      </c>
      <c r="C591" s="4" t="s">
        <v>43</v>
      </c>
      <c r="D591" s="4">
        <f>VLOOKUP(A591,Orders!$A:$E,5,FALSE)</f>
        <v>9</v>
      </c>
      <c r="E591" s="4">
        <v>67</v>
      </c>
      <c r="F591" s="4">
        <v>6</v>
      </c>
      <c r="G591" s="10">
        <f t="shared" si="9"/>
        <v>11.166666666666666</v>
      </c>
      <c r="H591" s="4">
        <v>1</v>
      </c>
    </row>
    <row r="592" spans="1:8" x14ac:dyDescent="0.2">
      <c r="A592" s="4">
        <v>5659</v>
      </c>
      <c r="B592" s="4" t="s">
        <v>49</v>
      </c>
      <c r="C592" s="4" t="s">
        <v>43</v>
      </c>
      <c r="D592" s="4">
        <f>VLOOKUP(A592,Orders!$A:$E,5,FALSE)</f>
        <v>3</v>
      </c>
      <c r="E592" s="4">
        <v>1274</v>
      </c>
      <c r="F592" s="4">
        <v>5</v>
      </c>
      <c r="G592" s="10">
        <f t="shared" si="9"/>
        <v>254.8</v>
      </c>
      <c r="H592" s="4">
        <v>1</v>
      </c>
    </row>
    <row r="593" spans="1:8" x14ac:dyDescent="0.2">
      <c r="A593" s="4">
        <v>5717</v>
      </c>
      <c r="B593" s="4" t="s">
        <v>49</v>
      </c>
      <c r="C593" s="4" t="s">
        <v>43</v>
      </c>
      <c r="D593" s="4">
        <f>VLOOKUP(A593,Orders!$A:$E,5,FALSE)</f>
        <v>8</v>
      </c>
      <c r="E593" s="4">
        <v>79</v>
      </c>
      <c r="F593" s="4">
        <v>22</v>
      </c>
      <c r="G593" s="10">
        <f t="shared" si="9"/>
        <v>3.5909090909090908</v>
      </c>
      <c r="H593" s="4">
        <v>3</v>
      </c>
    </row>
    <row r="594" spans="1:8" x14ac:dyDescent="0.2">
      <c r="A594" s="4">
        <v>5732</v>
      </c>
      <c r="B594" s="4" t="s">
        <v>49</v>
      </c>
      <c r="C594" s="4" t="s">
        <v>43</v>
      </c>
      <c r="D594" s="4">
        <f>VLOOKUP(A594,Orders!$A:$E,5,FALSE)</f>
        <v>6</v>
      </c>
      <c r="E594" s="4">
        <v>865</v>
      </c>
      <c r="F594" s="4">
        <v>12</v>
      </c>
      <c r="G594" s="10">
        <f t="shared" si="9"/>
        <v>72.083333333333329</v>
      </c>
      <c r="H594" s="4">
        <v>1</v>
      </c>
    </row>
    <row r="595" spans="1:8" x14ac:dyDescent="0.2">
      <c r="A595" s="4">
        <v>5756</v>
      </c>
      <c r="B595" s="4" t="s">
        <v>49</v>
      </c>
      <c r="C595" s="4" t="s">
        <v>43</v>
      </c>
      <c r="D595" s="4">
        <f>VLOOKUP(A595,Orders!$A:$E,5,FALSE)</f>
        <v>3</v>
      </c>
      <c r="E595" s="4">
        <v>463</v>
      </c>
      <c r="F595" s="4">
        <v>7</v>
      </c>
      <c r="G595" s="10">
        <f t="shared" si="9"/>
        <v>66.142857142857139</v>
      </c>
      <c r="H595" s="4">
        <v>2</v>
      </c>
    </row>
    <row r="596" spans="1:8" x14ac:dyDescent="0.2">
      <c r="A596" s="4">
        <v>5780</v>
      </c>
      <c r="B596" s="4" t="s">
        <v>49</v>
      </c>
      <c r="C596" s="4" t="s">
        <v>43</v>
      </c>
      <c r="D596" s="4">
        <f>VLOOKUP(A596,Orders!$A:$E,5,FALSE)</f>
        <v>10</v>
      </c>
      <c r="E596" s="4">
        <v>1244</v>
      </c>
      <c r="F596" s="4">
        <v>13</v>
      </c>
      <c r="G596" s="10">
        <f t="shared" si="9"/>
        <v>95.692307692307693</v>
      </c>
      <c r="H596" s="4">
        <v>2</v>
      </c>
    </row>
    <row r="597" spans="1:8" x14ac:dyDescent="0.2">
      <c r="A597" s="4">
        <v>5808</v>
      </c>
      <c r="B597" s="4" t="s">
        <v>49</v>
      </c>
      <c r="C597" s="4" t="s">
        <v>43</v>
      </c>
      <c r="D597" s="4">
        <f>VLOOKUP(A597,Orders!$A:$E,5,FALSE)</f>
        <v>6</v>
      </c>
      <c r="E597" s="4">
        <v>543</v>
      </c>
      <c r="F597" s="4">
        <v>24</v>
      </c>
      <c r="G597" s="10">
        <f t="shared" si="9"/>
        <v>22.625</v>
      </c>
      <c r="H597" s="4">
        <v>2</v>
      </c>
    </row>
    <row r="598" spans="1:8" x14ac:dyDescent="0.2">
      <c r="A598" s="4">
        <v>5830</v>
      </c>
      <c r="B598" s="4" t="s">
        <v>49</v>
      </c>
      <c r="C598" s="4" t="s">
        <v>43</v>
      </c>
      <c r="D598" s="4">
        <f>VLOOKUP(A598,Orders!$A:$E,5,FALSE)</f>
        <v>4</v>
      </c>
      <c r="E598" s="4">
        <v>877</v>
      </c>
      <c r="F598" s="4">
        <v>17</v>
      </c>
      <c r="G598" s="10">
        <f t="shared" si="9"/>
        <v>51.588235294117645</v>
      </c>
      <c r="H598" s="4">
        <v>1</v>
      </c>
    </row>
    <row r="599" spans="1:8" x14ac:dyDescent="0.2">
      <c r="A599" s="4">
        <v>5873</v>
      </c>
      <c r="B599" s="4" t="s">
        <v>49</v>
      </c>
      <c r="C599" s="4" t="s">
        <v>43</v>
      </c>
      <c r="D599" s="4">
        <f>VLOOKUP(A599,Orders!$A:$E,5,FALSE)</f>
        <v>4</v>
      </c>
      <c r="E599" s="4">
        <v>1999</v>
      </c>
      <c r="F599" s="4">
        <v>14</v>
      </c>
      <c r="G599" s="10">
        <f t="shared" si="9"/>
        <v>142.78571428571428</v>
      </c>
      <c r="H599" s="4">
        <v>3</v>
      </c>
    </row>
    <row r="600" spans="1:8" x14ac:dyDescent="0.2">
      <c r="A600" s="4">
        <v>5898</v>
      </c>
      <c r="B600" s="4" t="s">
        <v>49</v>
      </c>
      <c r="C600" s="4" t="s">
        <v>43</v>
      </c>
      <c r="D600" s="4">
        <f>VLOOKUP(A600,Orders!$A:$E,5,FALSE)</f>
        <v>5</v>
      </c>
      <c r="E600" s="4">
        <v>1042</v>
      </c>
      <c r="F600" s="4">
        <v>18</v>
      </c>
      <c r="G600" s="10">
        <f t="shared" si="9"/>
        <v>57.888888888888886</v>
      </c>
      <c r="H600" s="4">
        <v>3</v>
      </c>
    </row>
    <row r="601" spans="1:8" x14ac:dyDescent="0.2">
      <c r="A601" s="4">
        <v>5911</v>
      </c>
      <c r="B601" s="4" t="s">
        <v>49</v>
      </c>
      <c r="C601" s="4" t="s">
        <v>43</v>
      </c>
      <c r="D601" s="4">
        <f>VLOOKUP(A601,Orders!$A:$E,5,FALSE)</f>
        <v>6</v>
      </c>
      <c r="E601" s="4">
        <v>1577</v>
      </c>
      <c r="F601" s="4">
        <v>9</v>
      </c>
      <c r="G601" s="10">
        <f t="shared" si="9"/>
        <v>175.22222222222223</v>
      </c>
      <c r="H601" s="4">
        <v>1</v>
      </c>
    </row>
    <row r="602" spans="1:8" x14ac:dyDescent="0.2">
      <c r="A602" s="4">
        <v>5933</v>
      </c>
      <c r="B602" s="4" t="s">
        <v>49</v>
      </c>
      <c r="C602" s="4" t="s">
        <v>43</v>
      </c>
      <c r="D602" s="4">
        <f>VLOOKUP(A602,Orders!$A:$E,5,FALSE)</f>
        <v>6</v>
      </c>
      <c r="E602" s="4">
        <v>1257</v>
      </c>
      <c r="F602" s="4">
        <v>15</v>
      </c>
      <c r="G602" s="10">
        <f t="shared" si="9"/>
        <v>83.8</v>
      </c>
      <c r="H602" s="4">
        <v>2</v>
      </c>
    </row>
    <row r="603" spans="1:8" x14ac:dyDescent="0.2">
      <c r="A603" s="4">
        <v>5948</v>
      </c>
      <c r="B603" s="4" t="s">
        <v>49</v>
      </c>
      <c r="C603" s="4" t="s">
        <v>43</v>
      </c>
      <c r="D603" s="4">
        <f>VLOOKUP(A603,Orders!$A:$E,5,FALSE)</f>
        <v>7</v>
      </c>
      <c r="E603" s="4">
        <v>70</v>
      </c>
      <c r="F603" s="4">
        <v>18</v>
      </c>
      <c r="G603" s="10">
        <f t="shared" si="9"/>
        <v>3.8888888888888888</v>
      </c>
      <c r="H603" s="4">
        <v>1</v>
      </c>
    </row>
    <row r="604" spans="1:8" x14ac:dyDescent="0.2">
      <c r="A604" s="4">
        <v>5949</v>
      </c>
      <c r="B604" s="4" t="s">
        <v>49</v>
      </c>
      <c r="C604" s="4" t="s">
        <v>43</v>
      </c>
      <c r="D604" s="4">
        <f>VLOOKUP(A604,Orders!$A:$E,5,FALSE)</f>
        <v>4</v>
      </c>
      <c r="E604" s="4">
        <v>938</v>
      </c>
      <c r="F604" s="4">
        <v>14</v>
      </c>
      <c r="G604" s="10">
        <f t="shared" si="9"/>
        <v>67</v>
      </c>
      <c r="H604" s="4">
        <v>2</v>
      </c>
    </row>
    <row r="605" spans="1:8" x14ac:dyDescent="0.2">
      <c r="A605" s="4">
        <v>5951</v>
      </c>
      <c r="B605" s="4" t="s">
        <v>49</v>
      </c>
      <c r="C605" s="4" t="s">
        <v>43</v>
      </c>
      <c r="D605" s="4">
        <f>VLOOKUP(A605,Orders!$A:$E,5,FALSE)</f>
        <v>4</v>
      </c>
      <c r="E605" s="4">
        <v>1660</v>
      </c>
      <c r="F605" s="4">
        <v>18</v>
      </c>
      <c r="G605" s="10">
        <f t="shared" si="9"/>
        <v>92.222222222222229</v>
      </c>
      <c r="H605" s="4">
        <v>3</v>
      </c>
    </row>
    <row r="606" spans="1:8" x14ac:dyDescent="0.2">
      <c r="A606" s="4">
        <v>5968</v>
      </c>
      <c r="B606" s="4" t="s">
        <v>49</v>
      </c>
      <c r="C606" s="4" t="s">
        <v>43</v>
      </c>
      <c r="D606" s="4">
        <f>VLOOKUP(A606,Orders!$A:$E,5,FALSE)</f>
        <v>4</v>
      </c>
      <c r="E606" s="4">
        <v>1707</v>
      </c>
      <c r="F606" s="4">
        <v>6</v>
      </c>
      <c r="G606" s="10">
        <f t="shared" si="9"/>
        <v>284.5</v>
      </c>
      <c r="H606" s="4">
        <v>3</v>
      </c>
    </row>
    <row r="607" spans="1:8" x14ac:dyDescent="0.2">
      <c r="A607" s="4">
        <v>5984</v>
      </c>
      <c r="B607" s="4" t="s">
        <v>49</v>
      </c>
      <c r="C607" s="4" t="s">
        <v>43</v>
      </c>
      <c r="D607" s="4">
        <f>VLOOKUP(A607,Orders!$A:$E,5,FALSE)</f>
        <v>7</v>
      </c>
      <c r="E607" s="4">
        <v>102</v>
      </c>
      <c r="F607" s="4">
        <v>7</v>
      </c>
      <c r="G607" s="10">
        <f t="shared" si="9"/>
        <v>14.571428571428571</v>
      </c>
      <c r="H607" s="4">
        <v>2</v>
      </c>
    </row>
    <row r="608" spans="1:8" x14ac:dyDescent="0.2">
      <c r="A608" s="4">
        <v>5985</v>
      </c>
      <c r="B608" s="4" t="s">
        <v>49</v>
      </c>
      <c r="C608" s="4" t="s">
        <v>43</v>
      </c>
      <c r="D608" s="4">
        <f>VLOOKUP(A608,Orders!$A:$E,5,FALSE)</f>
        <v>4</v>
      </c>
      <c r="E608" s="4">
        <v>99</v>
      </c>
      <c r="F608" s="4">
        <v>20</v>
      </c>
      <c r="G608" s="10">
        <f t="shared" si="9"/>
        <v>4.95</v>
      </c>
      <c r="H608" s="4">
        <v>1</v>
      </c>
    </row>
    <row r="609" spans="1:8" x14ac:dyDescent="0.2">
      <c r="A609" s="4">
        <v>5988</v>
      </c>
      <c r="B609" s="4" t="s">
        <v>49</v>
      </c>
      <c r="C609" s="4" t="s">
        <v>43</v>
      </c>
      <c r="D609" s="4">
        <f>VLOOKUP(A609,Orders!$A:$E,5,FALSE)</f>
        <v>8</v>
      </c>
      <c r="E609" s="4">
        <v>1723</v>
      </c>
      <c r="F609" s="4">
        <v>21</v>
      </c>
      <c r="G609" s="10">
        <f t="shared" si="9"/>
        <v>82.047619047619051</v>
      </c>
      <c r="H609" s="4">
        <v>2</v>
      </c>
    </row>
    <row r="610" spans="1:8" x14ac:dyDescent="0.2">
      <c r="A610" s="4">
        <v>5991</v>
      </c>
      <c r="B610" s="4" t="s">
        <v>49</v>
      </c>
      <c r="C610" s="4" t="s">
        <v>43</v>
      </c>
      <c r="D610" s="4">
        <f>VLOOKUP(A610,Orders!$A:$E,5,FALSE)</f>
        <v>3</v>
      </c>
      <c r="E610" s="4">
        <v>825</v>
      </c>
      <c r="F610" s="4">
        <v>12</v>
      </c>
      <c r="G610" s="10">
        <f t="shared" si="9"/>
        <v>68.75</v>
      </c>
      <c r="H610" s="4">
        <v>3</v>
      </c>
    </row>
    <row r="611" spans="1:8" x14ac:dyDescent="0.2">
      <c r="A611" s="4">
        <v>6003</v>
      </c>
      <c r="B611" s="4" t="s">
        <v>49</v>
      </c>
      <c r="C611" s="4" t="s">
        <v>43</v>
      </c>
      <c r="D611" s="4">
        <f>VLOOKUP(A611,Orders!$A:$E,5,FALSE)</f>
        <v>9</v>
      </c>
      <c r="E611" s="4">
        <v>120</v>
      </c>
      <c r="F611" s="4">
        <v>3</v>
      </c>
      <c r="G611" s="10">
        <f t="shared" si="9"/>
        <v>40</v>
      </c>
      <c r="H611" s="4">
        <v>2</v>
      </c>
    </row>
    <row r="612" spans="1:8" x14ac:dyDescent="0.2">
      <c r="A612" s="4">
        <v>6013</v>
      </c>
      <c r="B612" s="4" t="s">
        <v>49</v>
      </c>
      <c r="C612" s="4" t="s">
        <v>43</v>
      </c>
      <c r="D612" s="4">
        <f>VLOOKUP(A612,Orders!$A:$E,5,FALSE)</f>
        <v>2</v>
      </c>
      <c r="E612" s="4">
        <v>234</v>
      </c>
      <c r="F612" s="4">
        <v>17</v>
      </c>
      <c r="G612" s="10">
        <f t="shared" si="9"/>
        <v>13.764705882352942</v>
      </c>
      <c r="H612" s="4">
        <v>3</v>
      </c>
    </row>
    <row r="613" spans="1:8" x14ac:dyDescent="0.2">
      <c r="A613" s="4">
        <v>6026</v>
      </c>
      <c r="B613" s="4" t="s">
        <v>49</v>
      </c>
      <c r="C613" s="4" t="s">
        <v>43</v>
      </c>
      <c r="D613" s="4">
        <f>VLOOKUP(A613,Orders!$A:$E,5,FALSE)</f>
        <v>10</v>
      </c>
      <c r="E613" s="4">
        <v>1037</v>
      </c>
      <c r="F613" s="4">
        <v>20</v>
      </c>
      <c r="G613" s="10">
        <f t="shared" si="9"/>
        <v>51.85</v>
      </c>
      <c r="H613" s="4">
        <v>1</v>
      </c>
    </row>
    <row r="614" spans="1:8" x14ac:dyDescent="0.2">
      <c r="A614" s="4">
        <v>6027</v>
      </c>
      <c r="B614" s="4" t="s">
        <v>49</v>
      </c>
      <c r="C614" s="4" t="s">
        <v>43</v>
      </c>
      <c r="D614" s="4">
        <f>VLOOKUP(A614,Orders!$A:$E,5,FALSE)</f>
        <v>3</v>
      </c>
      <c r="E614" s="4">
        <v>1771</v>
      </c>
      <c r="F614" s="4">
        <v>9</v>
      </c>
      <c r="G614" s="10">
        <f t="shared" si="9"/>
        <v>196.77777777777777</v>
      </c>
      <c r="H614" s="4">
        <v>2</v>
      </c>
    </row>
    <row r="615" spans="1:8" x14ac:dyDescent="0.2">
      <c r="A615" s="4">
        <v>6038</v>
      </c>
      <c r="B615" s="4" t="s">
        <v>49</v>
      </c>
      <c r="C615" s="4" t="s">
        <v>43</v>
      </c>
      <c r="D615" s="4">
        <f>VLOOKUP(A615,Orders!$A:$E,5,FALSE)</f>
        <v>2</v>
      </c>
      <c r="E615" s="4">
        <v>749</v>
      </c>
      <c r="F615" s="4">
        <v>4</v>
      </c>
      <c r="G615" s="10">
        <f t="shared" si="9"/>
        <v>187.25</v>
      </c>
      <c r="H615" s="4">
        <v>2</v>
      </c>
    </row>
    <row r="616" spans="1:8" x14ac:dyDescent="0.2">
      <c r="A616" s="4">
        <v>6040</v>
      </c>
      <c r="B616" s="4" t="s">
        <v>49</v>
      </c>
      <c r="C616" s="4" t="s">
        <v>43</v>
      </c>
      <c r="D616" s="4">
        <f>VLOOKUP(A616,Orders!$A:$E,5,FALSE)</f>
        <v>2</v>
      </c>
      <c r="E616" s="4">
        <v>1885</v>
      </c>
      <c r="F616" s="4">
        <v>21</v>
      </c>
      <c r="G616" s="10">
        <f t="shared" si="9"/>
        <v>89.761904761904759</v>
      </c>
      <c r="H616" s="4">
        <v>1</v>
      </c>
    </row>
    <row r="617" spans="1:8" x14ac:dyDescent="0.2">
      <c r="A617" s="4">
        <v>6053</v>
      </c>
      <c r="B617" s="4" t="s">
        <v>49</v>
      </c>
      <c r="C617" s="4" t="s">
        <v>43</v>
      </c>
      <c r="D617" s="4">
        <f>VLOOKUP(A617,Orders!$A:$E,5,FALSE)</f>
        <v>5</v>
      </c>
      <c r="E617" s="4">
        <v>1299</v>
      </c>
      <c r="F617" s="4">
        <v>3</v>
      </c>
      <c r="G617" s="10">
        <f t="shared" si="9"/>
        <v>433</v>
      </c>
      <c r="H617" s="4">
        <v>3</v>
      </c>
    </row>
    <row r="618" spans="1:8" x14ac:dyDescent="0.2">
      <c r="A618" s="4">
        <v>6055</v>
      </c>
      <c r="B618" s="4" t="s">
        <v>49</v>
      </c>
      <c r="C618" s="4" t="s">
        <v>43</v>
      </c>
      <c r="D618" s="4">
        <f>VLOOKUP(A618,Orders!$A:$E,5,FALSE)</f>
        <v>5</v>
      </c>
      <c r="E618" s="4">
        <v>1778</v>
      </c>
      <c r="F618" s="4">
        <v>5</v>
      </c>
      <c r="G618" s="10">
        <f t="shared" si="9"/>
        <v>355.6</v>
      </c>
      <c r="H618" s="4">
        <v>1</v>
      </c>
    </row>
    <row r="619" spans="1:8" x14ac:dyDescent="0.2">
      <c r="A619" s="4">
        <v>6058</v>
      </c>
      <c r="B619" s="4" t="s">
        <v>49</v>
      </c>
      <c r="C619" s="4" t="s">
        <v>43</v>
      </c>
      <c r="D619" s="4">
        <f>VLOOKUP(A619,Orders!$A:$E,5,FALSE)</f>
        <v>3</v>
      </c>
      <c r="E619" s="4">
        <v>1040</v>
      </c>
      <c r="F619" s="4">
        <v>11</v>
      </c>
      <c r="G619" s="10">
        <f t="shared" si="9"/>
        <v>94.545454545454547</v>
      </c>
      <c r="H619" s="4">
        <v>3</v>
      </c>
    </row>
    <row r="620" spans="1:8" x14ac:dyDescent="0.2">
      <c r="A620" s="4">
        <v>6064</v>
      </c>
      <c r="B620" s="4" t="s">
        <v>49</v>
      </c>
      <c r="C620" s="4" t="s">
        <v>43</v>
      </c>
      <c r="D620" s="4">
        <f>VLOOKUP(A620,Orders!$A:$E,5,FALSE)</f>
        <v>2</v>
      </c>
      <c r="E620" s="4">
        <v>1682</v>
      </c>
      <c r="F620" s="4">
        <v>24</v>
      </c>
      <c r="G620" s="10">
        <f t="shared" si="9"/>
        <v>70.083333333333329</v>
      </c>
      <c r="H620" s="4">
        <v>3</v>
      </c>
    </row>
    <row r="621" spans="1:8" x14ac:dyDescent="0.2">
      <c r="A621" s="4">
        <v>6067</v>
      </c>
      <c r="B621" s="4" t="s">
        <v>49</v>
      </c>
      <c r="C621" s="4" t="s">
        <v>43</v>
      </c>
      <c r="D621" s="4">
        <f>VLOOKUP(A621,Orders!$A:$E,5,FALSE)</f>
        <v>3</v>
      </c>
      <c r="E621" s="4">
        <v>300</v>
      </c>
      <c r="F621" s="4">
        <v>4</v>
      </c>
      <c r="G621" s="10">
        <f t="shared" si="9"/>
        <v>75</v>
      </c>
      <c r="H621" s="4">
        <v>1</v>
      </c>
    </row>
    <row r="622" spans="1:8" x14ac:dyDescent="0.2">
      <c r="A622" s="4">
        <v>6104</v>
      </c>
      <c r="B622" s="4" t="s">
        <v>49</v>
      </c>
      <c r="C622" s="4" t="s">
        <v>43</v>
      </c>
      <c r="D622" s="4">
        <f>VLOOKUP(A622,Orders!$A:$E,5,FALSE)</f>
        <v>5</v>
      </c>
      <c r="E622" s="4">
        <v>576</v>
      </c>
      <c r="F622" s="4">
        <v>23</v>
      </c>
      <c r="G622" s="10">
        <f t="shared" si="9"/>
        <v>25.043478260869566</v>
      </c>
      <c r="H622" s="4">
        <v>3</v>
      </c>
    </row>
    <row r="623" spans="1:8" x14ac:dyDescent="0.2">
      <c r="A623" s="4">
        <v>6113</v>
      </c>
      <c r="B623" s="4" t="s">
        <v>49</v>
      </c>
      <c r="C623" s="4" t="s">
        <v>43</v>
      </c>
      <c r="D623" s="4">
        <f>VLOOKUP(A623,Orders!$A:$E,5,FALSE)</f>
        <v>2</v>
      </c>
      <c r="E623" s="4">
        <v>798</v>
      </c>
      <c r="F623" s="4">
        <v>17</v>
      </c>
      <c r="G623" s="10">
        <f t="shared" si="9"/>
        <v>46.941176470588232</v>
      </c>
      <c r="H623" s="4">
        <v>3</v>
      </c>
    </row>
    <row r="624" spans="1:8" x14ac:dyDescent="0.2">
      <c r="A624" s="4">
        <v>6121</v>
      </c>
      <c r="B624" s="4" t="s">
        <v>49</v>
      </c>
      <c r="C624" s="4" t="s">
        <v>43</v>
      </c>
      <c r="D624" s="4">
        <f>VLOOKUP(A624,Orders!$A:$E,5,FALSE)</f>
        <v>4</v>
      </c>
      <c r="E624" s="4">
        <v>94</v>
      </c>
      <c r="F624" s="4">
        <v>10</v>
      </c>
      <c r="G624" s="10">
        <f t="shared" si="9"/>
        <v>9.4</v>
      </c>
      <c r="H624" s="4">
        <v>1</v>
      </c>
    </row>
    <row r="625" spans="1:8" x14ac:dyDescent="0.2">
      <c r="A625" s="4">
        <v>6138</v>
      </c>
      <c r="B625" s="4" t="s">
        <v>49</v>
      </c>
      <c r="C625" s="4" t="s">
        <v>43</v>
      </c>
      <c r="D625" s="4">
        <f>VLOOKUP(A625,Orders!$A:$E,5,FALSE)</f>
        <v>6</v>
      </c>
      <c r="E625" s="4">
        <v>1111</v>
      </c>
      <c r="F625" s="4">
        <v>7</v>
      </c>
      <c r="G625" s="10">
        <f t="shared" si="9"/>
        <v>158.71428571428572</v>
      </c>
      <c r="H625" s="4">
        <v>3</v>
      </c>
    </row>
    <row r="626" spans="1:8" x14ac:dyDescent="0.2">
      <c r="A626" s="4">
        <v>6152</v>
      </c>
      <c r="B626" s="4" t="s">
        <v>49</v>
      </c>
      <c r="C626" s="4" t="s">
        <v>43</v>
      </c>
      <c r="D626" s="4">
        <f>VLOOKUP(A626,Orders!$A:$E,5,FALSE)</f>
        <v>4</v>
      </c>
      <c r="E626" s="4">
        <v>551</v>
      </c>
      <c r="F626" s="4">
        <v>10</v>
      </c>
      <c r="G626" s="10">
        <f t="shared" si="9"/>
        <v>55.1</v>
      </c>
      <c r="H626" s="4">
        <v>2</v>
      </c>
    </row>
    <row r="627" spans="1:8" x14ac:dyDescent="0.2">
      <c r="A627" s="4">
        <v>6162</v>
      </c>
      <c r="B627" s="4" t="s">
        <v>49</v>
      </c>
      <c r="C627" s="4" t="s">
        <v>43</v>
      </c>
      <c r="D627" s="4">
        <f>VLOOKUP(A627,Orders!$A:$E,5,FALSE)</f>
        <v>8</v>
      </c>
      <c r="E627" s="4">
        <v>1632</v>
      </c>
      <c r="F627" s="4">
        <v>22</v>
      </c>
      <c r="G627" s="10">
        <f t="shared" si="9"/>
        <v>74.181818181818187</v>
      </c>
      <c r="H627" s="4">
        <v>3</v>
      </c>
    </row>
    <row r="628" spans="1:8" x14ac:dyDescent="0.2">
      <c r="A628" s="4">
        <v>6190</v>
      </c>
      <c r="B628" s="4" t="s">
        <v>49</v>
      </c>
      <c r="C628" s="4" t="s">
        <v>43</v>
      </c>
      <c r="D628" s="4">
        <f>VLOOKUP(A628,Orders!$A:$E,5,FALSE)</f>
        <v>10</v>
      </c>
      <c r="E628" s="4">
        <v>966</v>
      </c>
      <c r="F628" s="4">
        <v>3</v>
      </c>
      <c r="G628" s="10">
        <f t="shared" si="9"/>
        <v>322</v>
      </c>
      <c r="H628" s="4">
        <v>2</v>
      </c>
    </row>
    <row r="629" spans="1:8" x14ac:dyDescent="0.2">
      <c r="A629" s="4">
        <v>6192</v>
      </c>
      <c r="B629" s="4" t="s">
        <v>49</v>
      </c>
      <c r="C629" s="4" t="s">
        <v>43</v>
      </c>
      <c r="D629" s="4">
        <f>VLOOKUP(A629,Orders!$A:$E,5,FALSE)</f>
        <v>10</v>
      </c>
      <c r="E629" s="4">
        <v>402</v>
      </c>
      <c r="F629" s="4">
        <v>14</v>
      </c>
      <c r="G629" s="10">
        <f t="shared" si="9"/>
        <v>28.714285714285715</v>
      </c>
      <c r="H629" s="4">
        <v>1</v>
      </c>
    </row>
    <row r="630" spans="1:8" x14ac:dyDescent="0.2">
      <c r="A630" s="4">
        <v>6200</v>
      </c>
      <c r="B630" s="4" t="s">
        <v>49</v>
      </c>
      <c r="C630" s="4" t="s">
        <v>43</v>
      </c>
      <c r="D630" s="4">
        <f>VLOOKUP(A630,Orders!$A:$E,5,FALSE)</f>
        <v>8</v>
      </c>
      <c r="E630" s="4">
        <v>613</v>
      </c>
      <c r="F630" s="4">
        <v>23</v>
      </c>
      <c r="G630" s="10">
        <f t="shared" si="9"/>
        <v>26.652173913043477</v>
      </c>
      <c r="H630" s="4">
        <v>3</v>
      </c>
    </row>
    <row r="631" spans="1:8" x14ac:dyDescent="0.2">
      <c r="A631" s="4">
        <v>6203</v>
      </c>
      <c r="B631" s="4" t="s">
        <v>49</v>
      </c>
      <c r="C631" s="4" t="s">
        <v>43</v>
      </c>
      <c r="D631" s="4">
        <f>VLOOKUP(A631,Orders!$A:$E,5,FALSE)</f>
        <v>9</v>
      </c>
      <c r="E631" s="4">
        <v>828</v>
      </c>
      <c r="F631" s="4">
        <v>9</v>
      </c>
      <c r="G631" s="10">
        <f t="shared" si="9"/>
        <v>92</v>
      </c>
      <c r="H631" s="4">
        <v>1</v>
      </c>
    </row>
    <row r="632" spans="1:8" x14ac:dyDescent="0.2">
      <c r="A632" s="4">
        <v>6220</v>
      </c>
      <c r="B632" s="4" t="s">
        <v>49</v>
      </c>
      <c r="C632" s="4" t="s">
        <v>43</v>
      </c>
      <c r="D632" s="4">
        <f>VLOOKUP(A632,Orders!$A:$E,5,FALSE)</f>
        <v>7</v>
      </c>
      <c r="E632" s="4">
        <v>1124</v>
      </c>
      <c r="F632" s="4">
        <v>11</v>
      </c>
      <c r="G632" s="10">
        <f t="shared" si="9"/>
        <v>102.18181818181819</v>
      </c>
      <c r="H632" s="4">
        <v>1</v>
      </c>
    </row>
    <row r="633" spans="1:8" x14ac:dyDescent="0.2">
      <c r="A633" s="4">
        <v>6226</v>
      </c>
      <c r="B633" s="4" t="s">
        <v>49</v>
      </c>
      <c r="C633" s="4" t="s">
        <v>43</v>
      </c>
      <c r="D633" s="4">
        <f>VLOOKUP(A633,Orders!$A:$E,5,FALSE)</f>
        <v>7</v>
      </c>
      <c r="E633" s="4">
        <v>1444</v>
      </c>
      <c r="F633" s="4">
        <v>11</v>
      </c>
      <c r="G633" s="10">
        <f t="shared" si="9"/>
        <v>131.27272727272728</v>
      </c>
      <c r="H633" s="4">
        <v>1</v>
      </c>
    </row>
    <row r="634" spans="1:8" x14ac:dyDescent="0.2">
      <c r="A634" s="4">
        <v>6253</v>
      </c>
      <c r="B634" s="4" t="s">
        <v>49</v>
      </c>
      <c r="C634" s="4" t="s">
        <v>43</v>
      </c>
      <c r="D634" s="4">
        <f>VLOOKUP(A634,Orders!$A:$E,5,FALSE)</f>
        <v>5</v>
      </c>
      <c r="E634" s="4">
        <v>1601</v>
      </c>
      <c r="F634" s="4">
        <v>18</v>
      </c>
      <c r="G634" s="10">
        <f t="shared" si="9"/>
        <v>88.944444444444443</v>
      </c>
      <c r="H634" s="4">
        <v>2</v>
      </c>
    </row>
    <row r="635" spans="1:8" x14ac:dyDescent="0.2">
      <c r="A635" s="4">
        <v>6278</v>
      </c>
      <c r="B635" s="4" t="s">
        <v>49</v>
      </c>
      <c r="C635" s="4" t="s">
        <v>43</v>
      </c>
      <c r="D635" s="4">
        <f>VLOOKUP(A635,Orders!$A:$E,5,FALSE)</f>
        <v>6</v>
      </c>
      <c r="E635" s="4">
        <v>118</v>
      </c>
      <c r="F635" s="4">
        <v>4</v>
      </c>
      <c r="G635" s="10">
        <f t="shared" si="9"/>
        <v>29.5</v>
      </c>
      <c r="H635" s="4">
        <v>2</v>
      </c>
    </row>
    <row r="636" spans="1:8" x14ac:dyDescent="0.2">
      <c r="A636" s="4">
        <v>6290</v>
      </c>
      <c r="B636" s="4" t="s">
        <v>49</v>
      </c>
      <c r="C636" s="4" t="s">
        <v>43</v>
      </c>
      <c r="D636" s="4">
        <f>VLOOKUP(A636,Orders!$A:$E,5,FALSE)</f>
        <v>3</v>
      </c>
      <c r="E636" s="4">
        <v>419</v>
      </c>
      <c r="F636" s="4">
        <v>8</v>
      </c>
      <c r="G636" s="10">
        <f t="shared" si="9"/>
        <v>52.375</v>
      </c>
      <c r="H636" s="4">
        <v>1</v>
      </c>
    </row>
    <row r="637" spans="1:8" x14ac:dyDescent="0.2">
      <c r="A637" s="4">
        <v>6302</v>
      </c>
      <c r="B637" s="4" t="s">
        <v>49</v>
      </c>
      <c r="C637" s="4" t="s">
        <v>43</v>
      </c>
      <c r="D637" s="4">
        <f>VLOOKUP(A637,Orders!$A:$E,5,FALSE)</f>
        <v>5</v>
      </c>
      <c r="E637" s="4">
        <v>1694</v>
      </c>
      <c r="F637" s="4">
        <v>5</v>
      </c>
      <c r="G637" s="10">
        <f t="shared" si="9"/>
        <v>338.8</v>
      </c>
      <c r="H637" s="4">
        <v>2</v>
      </c>
    </row>
    <row r="638" spans="1:8" x14ac:dyDescent="0.2">
      <c r="A638" s="4">
        <v>6320</v>
      </c>
      <c r="B638" s="4" t="s">
        <v>49</v>
      </c>
      <c r="C638" s="4" t="s">
        <v>43</v>
      </c>
      <c r="D638" s="4">
        <f>VLOOKUP(A638,Orders!$A:$E,5,FALSE)</f>
        <v>8</v>
      </c>
      <c r="E638" s="4">
        <v>1611</v>
      </c>
      <c r="F638" s="4">
        <v>12</v>
      </c>
      <c r="G638" s="10">
        <f t="shared" si="9"/>
        <v>134.25</v>
      </c>
      <c r="H638" s="4">
        <v>3</v>
      </c>
    </row>
    <row r="639" spans="1:8" x14ac:dyDescent="0.2">
      <c r="A639" s="4">
        <v>6326</v>
      </c>
      <c r="B639" s="4" t="s">
        <v>49</v>
      </c>
      <c r="C639" s="4" t="s">
        <v>43</v>
      </c>
      <c r="D639" s="4">
        <f>VLOOKUP(A639,Orders!$A:$E,5,FALSE)</f>
        <v>2</v>
      </c>
      <c r="E639" s="4">
        <v>1971</v>
      </c>
      <c r="F639" s="4">
        <v>7</v>
      </c>
      <c r="G639" s="10">
        <f t="shared" si="9"/>
        <v>281.57142857142856</v>
      </c>
      <c r="H639" s="4">
        <v>1</v>
      </c>
    </row>
    <row r="640" spans="1:8" x14ac:dyDescent="0.2">
      <c r="A640" s="4">
        <v>6330</v>
      </c>
      <c r="B640" s="4" t="s">
        <v>49</v>
      </c>
      <c r="C640" s="4" t="s">
        <v>43</v>
      </c>
      <c r="D640" s="4">
        <f>VLOOKUP(A640,Orders!$A:$E,5,FALSE)</f>
        <v>9</v>
      </c>
      <c r="E640" s="4">
        <v>1345</v>
      </c>
      <c r="F640" s="4">
        <v>4</v>
      </c>
      <c r="G640" s="10">
        <f t="shared" si="9"/>
        <v>336.25</v>
      </c>
      <c r="H640" s="4">
        <v>2</v>
      </c>
    </row>
    <row r="641" spans="1:8" x14ac:dyDescent="0.2">
      <c r="A641" s="4">
        <v>6341</v>
      </c>
      <c r="B641" s="4" t="s">
        <v>49</v>
      </c>
      <c r="C641" s="4" t="s">
        <v>43</v>
      </c>
      <c r="D641" s="4">
        <f>VLOOKUP(A641,Orders!$A:$E,5,FALSE)</f>
        <v>8</v>
      </c>
      <c r="E641" s="4">
        <v>836</v>
      </c>
      <c r="F641" s="4">
        <v>22</v>
      </c>
      <c r="G641" s="10">
        <f t="shared" si="9"/>
        <v>38</v>
      </c>
      <c r="H641" s="4">
        <v>1</v>
      </c>
    </row>
    <row r="642" spans="1:8" x14ac:dyDescent="0.2">
      <c r="A642" s="4">
        <v>6356</v>
      </c>
      <c r="B642" s="4" t="s">
        <v>49</v>
      </c>
      <c r="C642" s="4" t="s">
        <v>43</v>
      </c>
      <c r="D642" s="4">
        <f>VLOOKUP(A642,Orders!$A:$E,5,FALSE)</f>
        <v>3</v>
      </c>
      <c r="E642" s="4">
        <v>477</v>
      </c>
      <c r="F642" s="4">
        <v>18</v>
      </c>
      <c r="G642" s="10">
        <f t="shared" ref="G642:G705" si="10">E642/F642</f>
        <v>26.5</v>
      </c>
      <c r="H642" s="4">
        <v>1</v>
      </c>
    </row>
    <row r="643" spans="1:8" x14ac:dyDescent="0.2">
      <c r="A643" s="4">
        <v>6359</v>
      </c>
      <c r="B643" s="4" t="s">
        <v>49</v>
      </c>
      <c r="C643" s="4" t="s">
        <v>43</v>
      </c>
      <c r="D643" s="4">
        <f>VLOOKUP(A643,Orders!$A:$E,5,FALSE)</f>
        <v>2</v>
      </c>
      <c r="E643" s="4">
        <v>1269</v>
      </c>
      <c r="F643" s="4">
        <v>12</v>
      </c>
      <c r="G643" s="10">
        <f t="shared" si="10"/>
        <v>105.75</v>
      </c>
      <c r="H643" s="4">
        <v>2</v>
      </c>
    </row>
    <row r="644" spans="1:8" x14ac:dyDescent="0.2">
      <c r="A644" s="4">
        <v>6361</v>
      </c>
      <c r="B644" s="4" t="s">
        <v>49</v>
      </c>
      <c r="C644" s="4" t="s">
        <v>43</v>
      </c>
      <c r="D644" s="4">
        <f>VLOOKUP(A644,Orders!$A:$E,5,FALSE)</f>
        <v>2</v>
      </c>
      <c r="E644" s="4">
        <v>1817</v>
      </c>
      <c r="F644" s="4">
        <v>23</v>
      </c>
      <c r="G644" s="10">
        <f t="shared" si="10"/>
        <v>79</v>
      </c>
      <c r="H644" s="4">
        <v>3</v>
      </c>
    </row>
    <row r="645" spans="1:8" x14ac:dyDescent="0.2">
      <c r="A645" s="4">
        <v>6370</v>
      </c>
      <c r="B645" s="4" t="s">
        <v>49</v>
      </c>
      <c r="C645" s="4" t="s">
        <v>43</v>
      </c>
      <c r="D645" s="4">
        <f>VLOOKUP(A645,Orders!$A:$E,5,FALSE)</f>
        <v>8</v>
      </c>
      <c r="E645" s="4">
        <v>52</v>
      </c>
      <c r="F645" s="4">
        <v>21</v>
      </c>
      <c r="G645" s="10">
        <f t="shared" si="10"/>
        <v>2.4761904761904763</v>
      </c>
      <c r="H645" s="4">
        <v>2</v>
      </c>
    </row>
    <row r="646" spans="1:8" x14ac:dyDescent="0.2">
      <c r="A646" s="4">
        <v>6384</v>
      </c>
      <c r="B646" s="4" t="s">
        <v>49</v>
      </c>
      <c r="C646" s="4" t="s">
        <v>43</v>
      </c>
      <c r="D646" s="4">
        <f>VLOOKUP(A646,Orders!$A:$E,5,FALSE)</f>
        <v>2</v>
      </c>
      <c r="E646" s="4">
        <v>298</v>
      </c>
      <c r="F646" s="4">
        <v>2</v>
      </c>
      <c r="G646" s="10">
        <f t="shared" si="10"/>
        <v>149</v>
      </c>
      <c r="H646" s="4">
        <v>1</v>
      </c>
    </row>
    <row r="647" spans="1:8" x14ac:dyDescent="0.2">
      <c r="A647" s="4">
        <v>6399</v>
      </c>
      <c r="B647" s="4" t="s">
        <v>49</v>
      </c>
      <c r="C647" s="4" t="s">
        <v>43</v>
      </c>
      <c r="D647" s="4">
        <f>VLOOKUP(A647,Orders!$A:$E,5,FALSE)</f>
        <v>5</v>
      </c>
      <c r="E647" s="4">
        <v>140</v>
      </c>
      <c r="F647" s="4">
        <v>14</v>
      </c>
      <c r="G647" s="10">
        <f t="shared" si="10"/>
        <v>10</v>
      </c>
      <c r="H647" s="4">
        <v>3</v>
      </c>
    </row>
    <row r="648" spans="1:8" x14ac:dyDescent="0.2">
      <c r="A648" s="4">
        <v>6456</v>
      </c>
      <c r="B648" s="4" t="s">
        <v>49</v>
      </c>
      <c r="C648" s="4" t="s">
        <v>43</v>
      </c>
      <c r="D648" s="4">
        <f>VLOOKUP(A648,Orders!$A:$E,5,FALSE)</f>
        <v>3</v>
      </c>
      <c r="E648" s="4">
        <v>326</v>
      </c>
      <c r="F648" s="4">
        <v>11</v>
      </c>
      <c r="G648" s="10">
        <f t="shared" si="10"/>
        <v>29.636363636363637</v>
      </c>
      <c r="H648" s="4">
        <v>1</v>
      </c>
    </row>
    <row r="649" spans="1:8" x14ac:dyDescent="0.2">
      <c r="A649" s="4">
        <v>6475</v>
      </c>
      <c r="B649" s="4" t="s">
        <v>49</v>
      </c>
      <c r="C649" s="4" t="s">
        <v>43</v>
      </c>
      <c r="D649" s="4">
        <f>VLOOKUP(A649,Orders!$A:$E,5,FALSE)</f>
        <v>5</v>
      </c>
      <c r="E649" s="4">
        <v>721</v>
      </c>
      <c r="F649" s="4">
        <v>12</v>
      </c>
      <c r="G649" s="10">
        <f t="shared" si="10"/>
        <v>60.083333333333336</v>
      </c>
      <c r="H649" s="4">
        <v>2</v>
      </c>
    </row>
    <row r="650" spans="1:8" x14ac:dyDescent="0.2">
      <c r="A650" s="4">
        <v>6477</v>
      </c>
      <c r="B650" s="4" t="s">
        <v>49</v>
      </c>
      <c r="C650" s="4" t="s">
        <v>43</v>
      </c>
      <c r="D650" s="4">
        <f>VLOOKUP(A650,Orders!$A:$E,5,FALSE)</f>
        <v>9</v>
      </c>
      <c r="E650" s="4">
        <v>531</v>
      </c>
      <c r="F650" s="4">
        <v>3</v>
      </c>
      <c r="G650" s="10">
        <f t="shared" si="10"/>
        <v>177</v>
      </c>
      <c r="H650" s="4">
        <v>1</v>
      </c>
    </row>
    <row r="651" spans="1:8" x14ac:dyDescent="0.2">
      <c r="A651" s="4">
        <v>6487</v>
      </c>
      <c r="B651" s="4" t="s">
        <v>49</v>
      </c>
      <c r="C651" s="4" t="s">
        <v>43</v>
      </c>
      <c r="D651" s="4">
        <f>VLOOKUP(A651,Orders!$A:$E,5,FALSE)</f>
        <v>6</v>
      </c>
      <c r="E651" s="4">
        <v>1021</v>
      </c>
      <c r="F651" s="4">
        <v>7</v>
      </c>
      <c r="G651" s="10">
        <f t="shared" si="10"/>
        <v>145.85714285714286</v>
      </c>
      <c r="H651" s="4">
        <v>2</v>
      </c>
    </row>
    <row r="652" spans="1:8" x14ac:dyDescent="0.2">
      <c r="A652" s="4">
        <v>5005</v>
      </c>
      <c r="B652" s="4" t="s">
        <v>51</v>
      </c>
      <c r="C652" s="4" t="s">
        <v>43</v>
      </c>
      <c r="D652" s="4">
        <f>VLOOKUP(A652,Orders!$A:$E,5,FALSE)</f>
        <v>10</v>
      </c>
      <c r="E652" s="4">
        <v>920</v>
      </c>
      <c r="F652" s="4">
        <v>2</v>
      </c>
      <c r="G652" s="10">
        <f t="shared" si="10"/>
        <v>460</v>
      </c>
      <c r="H652" s="4">
        <v>2</v>
      </c>
    </row>
    <row r="653" spans="1:8" x14ac:dyDescent="0.2">
      <c r="A653" s="4">
        <v>5027</v>
      </c>
      <c r="B653" s="4" t="s">
        <v>51</v>
      </c>
      <c r="C653" s="4" t="s">
        <v>43</v>
      </c>
      <c r="D653" s="4">
        <f>VLOOKUP(A653,Orders!$A:$E,5,FALSE)</f>
        <v>4</v>
      </c>
      <c r="E653" s="4">
        <v>1755</v>
      </c>
      <c r="F653" s="4">
        <v>18</v>
      </c>
      <c r="G653" s="10">
        <f t="shared" si="10"/>
        <v>97.5</v>
      </c>
      <c r="H653" s="4">
        <v>1</v>
      </c>
    </row>
    <row r="654" spans="1:8" x14ac:dyDescent="0.2">
      <c r="A654" s="4">
        <v>5039</v>
      </c>
      <c r="B654" s="4" t="s">
        <v>51</v>
      </c>
      <c r="C654" s="4" t="s">
        <v>43</v>
      </c>
      <c r="D654" s="4">
        <f>VLOOKUP(A654,Orders!$A:$E,5,FALSE)</f>
        <v>5</v>
      </c>
      <c r="E654" s="4">
        <v>361</v>
      </c>
      <c r="F654" s="4">
        <v>5</v>
      </c>
      <c r="G654" s="10">
        <f t="shared" si="10"/>
        <v>72.2</v>
      </c>
      <c r="H654" s="4">
        <v>2</v>
      </c>
    </row>
    <row r="655" spans="1:8" x14ac:dyDescent="0.2">
      <c r="A655" s="4">
        <v>5104</v>
      </c>
      <c r="B655" s="4" t="s">
        <v>51</v>
      </c>
      <c r="C655" s="4" t="s">
        <v>43</v>
      </c>
      <c r="D655" s="4">
        <f>VLOOKUP(A655,Orders!$A:$E,5,FALSE)</f>
        <v>2</v>
      </c>
      <c r="E655" s="4">
        <v>50</v>
      </c>
      <c r="F655" s="4">
        <v>19</v>
      </c>
      <c r="G655" s="10">
        <f t="shared" si="10"/>
        <v>2.6315789473684212</v>
      </c>
      <c r="H655" s="4">
        <v>3</v>
      </c>
    </row>
    <row r="656" spans="1:8" x14ac:dyDescent="0.2">
      <c r="A656" s="4">
        <v>5121</v>
      </c>
      <c r="B656" s="4" t="s">
        <v>51</v>
      </c>
      <c r="C656" s="4" t="s">
        <v>43</v>
      </c>
      <c r="D656" s="4">
        <f>VLOOKUP(A656,Orders!$A:$E,5,FALSE)</f>
        <v>5</v>
      </c>
      <c r="E656" s="4">
        <v>569</v>
      </c>
      <c r="F656" s="4">
        <v>24</v>
      </c>
      <c r="G656" s="10">
        <f t="shared" si="10"/>
        <v>23.708333333333332</v>
      </c>
      <c r="H656" s="4">
        <v>1</v>
      </c>
    </row>
    <row r="657" spans="1:8" x14ac:dyDescent="0.2">
      <c r="A657" s="4">
        <v>5129</v>
      </c>
      <c r="B657" s="4" t="s">
        <v>51</v>
      </c>
      <c r="C657" s="4" t="s">
        <v>43</v>
      </c>
      <c r="D657" s="4">
        <f>VLOOKUP(A657,Orders!$A:$E,5,FALSE)</f>
        <v>9</v>
      </c>
      <c r="E657" s="4">
        <v>627</v>
      </c>
      <c r="F657" s="4">
        <v>5</v>
      </c>
      <c r="G657" s="10">
        <f t="shared" si="10"/>
        <v>125.4</v>
      </c>
      <c r="H657" s="4">
        <v>2</v>
      </c>
    </row>
    <row r="658" spans="1:8" x14ac:dyDescent="0.2">
      <c r="A658" s="4">
        <v>5136</v>
      </c>
      <c r="B658" s="4" t="s">
        <v>51</v>
      </c>
      <c r="C658" s="4" t="s">
        <v>43</v>
      </c>
      <c r="D658" s="4">
        <f>VLOOKUP(A658,Orders!$A:$E,5,FALSE)</f>
        <v>8</v>
      </c>
      <c r="E658" s="4">
        <v>31</v>
      </c>
      <c r="F658" s="4">
        <v>11</v>
      </c>
      <c r="G658" s="10">
        <f t="shared" si="10"/>
        <v>2.8181818181818183</v>
      </c>
      <c r="H658" s="4">
        <v>3</v>
      </c>
    </row>
    <row r="659" spans="1:8" x14ac:dyDescent="0.2">
      <c r="A659" s="4">
        <v>5171</v>
      </c>
      <c r="B659" s="4" t="s">
        <v>51</v>
      </c>
      <c r="C659" s="4" t="s">
        <v>43</v>
      </c>
      <c r="D659" s="4">
        <f>VLOOKUP(A659,Orders!$A:$E,5,FALSE)</f>
        <v>7</v>
      </c>
      <c r="E659" s="4">
        <v>134</v>
      </c>
      <c r="F659" s="4">
        <v>16</v>
      </c>
      <c r="G659" s="10">
        <f t="shared" si="10"/>
        <v>8.375</v>
      </c>
      <c r="H659" s="4">
        <v>3</v>
      </c>
    </row>
    <row r="660" spans="1:8" x14ac:dyDescent="0.2">
      <c r="A660" s="4">
        <v>5207</v>
      </c>
      <c r="B660" s="4" t="s">
        <v>51</v>
      </c>
      <c r="C660" s="4" t="s">
        <v>43</v>
      </c>
      <c r="D660" s="4">
        <f>VLOOKUP(A660,Orders!$A:$E,5,FALSE)</f>
        <v>5</v>
      </c>
      <c r="E660" s="4">
        <v>355</v>
      </c>
      <c r="F660" s="4">
        <v>18</v>
      </c>
      <c r="G660" s="10">
        <f t="shared" si="10"/>
        <v>19.722222222222221</v>
      </c>
      <c r="H660" s="4">
        <v>1</v>
      </c>
    </row>
    <row r="661" spans="1:8" x14ac:dyDescent="0.2">
      <c r="A661" s="4">
        <v>5214</v>
      </c>
      <c r="B661" s="4" t="s">
        <v>51</v>
      </c>
      <c r="C661" s="4" t="s">
        <v>43</v>
      </c>
      <c r="D661" s="4">
        <f>VLOOKUP(A661,Orders!$A:$E,5,FALSE)</f>
        <v>7</v>
      </c>
      <c r="E661" s="4">
        <v>1503</v>
      </c>
      <c r="F661" s="4">
        <v>9</v>
      </c>
      <c r="G661" s="10">
        <f t="shared" si="10"/>
        <v>167</v>
      </c>
      <c r="H661" s="4">
        <v>1</v>
      </c>
    </row>
    <row r="662" spans="1:8" x14ac:dyDescent="0.2">
      <c r="A662" s="4">
        <v>5221</v>
      </c>
      <c r="B662" s="4" t="s">
        <v>51</v>
      </c>
      <c r="C662" s="4" t="s">
        <v>43</v>
      </c>
      <c r="D662" s="4">
        <f>VLOOKUP(A662,Orders!$A:$E,5,FALSE)</f>
        <v>8</v>
      </c>
      <c r="E662" s="4">
        <v>474</v>
      </c>
      <c r="F662" s="4">
        <v>21</v>
      </c>
      <c r="G662" s="10">
        <f t="shared" si="10"/>
        <v>22.571428571428573</v>
      </c>
      <c r="H662" s="4">
        <v>1</v>
      </c>
    </row>
    <row r="663" spans="1:8" x14ac:dyDescent="0.2">
      <c r="A663" s="4">
        <v>5232</v>
      </c>
      <c r="B663" s="4" t="s">
        <v>51</v>
      </c>
      <c r="C663" s="4" t="s">
        <v>43</v>
      </c>
      <c r="D663" s="4">
        <f>VLOOKUP(A663,Orders!$A:$E,5,FALSE)</f>
        <v>9</v>
      </c>
      <c r="E663" s="4">
        <v>1015</v>
      </c>
      <c r="F663" s="4">
        <v>22</v>
      </c>
      <c r="G663" s="10">
        <f t="shared" si="10"/>
        <v>46.136363636363633</v>
      </c>
      <c r="H663" s="4">
        <v>3</v>
      </c>
    </row>
    <row r="664" spans="1:8" x14ac:dyDescent="0.2">
      <c r="A664" s="4">
        <v>5237</v>
      </c>
      <c r="B664" s="4" t="s">
        <v>51</v>
      </c>
      <c r="C664" s="4" t="s">
        <v>43</v>
      </c>
      <c r="D664" s="4">
        <f>VLOOKUP(A664,Orders!$A:$E,5,FALSE)</f>
        <v>2</v>
      </c>
      <c r="E664" s="4">
        <v>327</v>
      </c>
      <c r="F664" s="4">
        <v>2</v>
      </c>
      <c r="G664" s="10">
        <f t="shared" si="10"/>
        <v>163.5</v>
      </c>
      <c r="H664" s="4">
        <v>2</v>
      </c>
    </row>
    <row r="665" spans="1:8" x14ac:dyDescent="0.2">
      <c r="A665" s="4">
        <v>5251</v>
      </c>
      <c r="B665" s="4" t="s">
        <v>51</v>
      </c>
      <c r="C665" s="4" t="s">
        <v>43</v>
      </c>
      <c r="D665" s="4">
        <f>VLOOKUP(A665,Orders!$A:$E,5,FALSE)</f>
        <v>3</v>
      </c>
      <c r="E665" s="4">
        <v>176</v>
      </c>
      <c r="F665" s="4">
        <v>12</v>
      </c>
      <c r="G665" s="10">
        <f t="shared" si="10"/>
        <v>14.666666666666666</v>
      </c>
      <c r="H665" s="4">
        <v>2</v>
      </c>
    </row>
    <row r="666" spans="1:8" x14ac:dyDescent="0.2">
      <c r="A666" s="4">
        <v>5253</v>
      </c>
      <c r="B666" s="4" t="s">
        <v>51</v>
      </c>
      <c r="C666" s="4" t="s">
        <v>43</v>
      </c>
      <c r="D666" s="4">
        <f>VLOOKUP(A666,Orders!$A:$E,5,FALSE)</f>
        <v>4</v>
      </c>
      <c r="E666" s="4">
        <v>711</v>
      </c>
      <c r="F666" s="4">
        <v>22</v>
      </c>
      <c r="G666" s="10">
        <f t="shared" si="10"/>
        <v>32.31818181818182</v>
      </c>
      <c r="H666" s="4">
        <v>3</v>
      </c>
    </row>
    <row r="667" spans="1:8" x14ac:dyDescent="0.2">
      <c r="A667" s="4">
        <v>5297</v>
      </c>
      <c r="B667" s="4" t="s">
        <v>51</v>
      </c>
      <c r="C667" s="4" t="s">
        <v>43</v>
      </c>
      <c r="D667" s="4">
        <f>VLOOKUP(A667,Orders!$A:$E,5,FALSE)</f>
        <v>9</v>
      </c>
      <c r="E667" s="4">
        <v>34</v>
      </c>
      <c r="F667" s="4">
        <v>3</v>
      </c>
      <c r="G667" s="10">
        <f t="shared" si="10"/>
        <v>11.333333333333334</v>
      </c>
      <c r="H667" s="4">
        <v>3</v>
      </c>
    </row>
    <row r="668" spans="1:8" x14ac:dyDescent="0.2">
      <c r="A668" s="4">
        <v>5338</v>
      </c>
      <c r="B668" s="4" t="s">
        <v>51</v>
      </c>
      <c r="C668" s="4" t="s">
        <v>43</v>
      </c>
      <c r="D668" s="4">
        <f>VLOOKUP(A668,Orders!$A:$E,5,FALSE)</f>
        <v>9</v>
      </c>
      <c r="E668" s="4">
        <v>994</v>
      </c>
      <c r="F668" s="4">
        <v>8</v>
      </c>
      <c r="G668" s="10">
        <f t="shared" si="10"/>
        <v>124.25</v>
      </c>
      <c r="H668" s="4">
        <v>1</v>
      </c>
    </row>
    <row r="669" spans="1:8" x14ac:dyDescent="0.2">
      <c r="A669" s="4">
        <v>5340</v>
      </c>
      <c r="B669" s="4" t="s">
        <v>51</v>
      </c>
      <c r="C669" s="4" t="s">
        <v>43</v>
      </c>
      <c r="D669" s="4">
        <f>VLOOKUP(A669,Orders!$A:$E,5,FALSE)</f>
        <v>7</v>
      </c>
      <c r="E669" s="4">
        <v>1494</v>
      </c>
      <c r="F669" s="4">
        <v>16</v>
      </c>
      <c r="G669" s="10">
        <f t="shared" si="10"/>
        <v>93.375</v>
      </c>
      <c r="H669" s="4">
        <v>3</v>
      </c>
    </row>
    <row r="670" spans="1:8" x14ac:dyDescent="0.2">
      <c r="A670" s="4">
        <v>5351</v>
      </c>
      <c r="B670" s="4" t="s">
        <v>51</v>
      </c>
      <c r="C670" s="4" t="s">
        <v>43</v>
      </c>
      <c r="D670" s="4">
        <f>VLOOKUP(A670,Orders!$A:$E,5,FALSE)</f>
        <v>5</v>
      </c>
      <c r="E670" s="4">
        <v>1422</v>
      </c>
      <c r="F670" s="4">
        <v>11</v>
      </c>
      <c r="G670" s="10">
        <f t="shared" si="10"/>
        <v>129.27272727272728</v>
      </c>
      <c r="H670" s="4">
        <v>3</v>
      </c>
    </row>
    <row r="671" spans="1:8" x14ac:dyDescent="0.2">
      <c r="A671" s="4">
        <v>5389</v>
      </c>
      <c r="B671" s="4" t="s">
        <v>51</v>
      </c>
      <c r="C671" s="4" t="s">
        <v>43</v>
      </c>
      <c r="D671" s="4">
        <f>VLOOKUP(A671,Orders!$A:$E,5,FALSE)</f>
        <v>6</v>
      </c>
      <c r="E671" s="4">
        <v>842</v>
      </c>
      <c r="F671" s="4">
        <v>20</v>
      </c>
      <c r="G671" s="10">
        <f t="shared" si="10"/>
        <v>42.1</v>
      </c>
      <c r="H671" s="4">
        <v>2</v>
      </c>
    </row>
    <row r="672" spans="1:8" x14ac:dyDescent="0.2">
      <c r="A672" s="4">
        <v>5400</v>
      </c>
      <c r="B672" s="4" t="s">
        <v>51</v>
      </c>
      <c r="C672" s="4" t="s">
        <v>43</v>
      </c>
      <c r="D672" s="4">
        <f>VLOOKUP(A672,Orders!$A:$E,5,FALSE)</f>
        <v>8</v>
      </c>
      <c r="E672" s="4">
        <v>929</v>
      </c>
      <c r="F672" s="4">
        <v>8</v>
      </c>
      <c r="G672" s="10">
        <f t="shared" si="10"/>
        <v>116.125</v>
      </c>
      <c r="H672" s="4">
        <v>2</v>
      </c>
    </row>
    <row r="673" spans="1:8" x14ac:dyDescent="0.2">
      <c r="A673" s="4">
        <v>5413</v>
      </c>
      <c r="B673" s="4" t="s">
        <v>51</v>
      </c>
      <c r="C673" s="4" t="s">
        <v>43</v>
      </c>
      <c r="D673" s="4">
        <f>VLOOKUP(A673,Orders!$A:$E,5,FALSE)</f>
        <v>3</v>
      </c>
      <c r="E673" s="4">
        <v>145</v>
      </c>
      <c r="F673" s="4">
        <v>21</v>
      </c>
      <c r="G673" s="10">
        <f t="shared" si="10"/>
        <v>6.9047619047619051</v>
      </c>
      <c r="H673" s="4">
        <v>1</v>
      </c>
    </row>
    <row r="674" spans="1:8" x14ac:dyDescent="0.2">
      <c r="A674" s="4">
        <v>5490</v>
      </c>
      <c r="B674" s="4" t="s">
        <v>51</v>
      </c>
      <c r="C674" s="4" t="s">
        <v>43</v>
      </c>
      <c r="D674" s="4">
        <f>VLOOKUP(A674,Orders!$A:$E,5,FALSE)</f>
        <v>8</v>
      </c>
      <c r="E674" s="4">
        <v>703</v>
      </c>
      <c r="F674" s="4">
        <v>13</v>
      </c>
      <c r="G674" s="10">
        <f t="shared" si="10"/>
        <v>54.07692307692308</v>
      </c>
      <c r="H674" s="4">
        <v>3</v>
      </c>
    </row>
    <row r="675" spans="1:8" x14ac:dyDescent="0.2">
      <c r="A675" s="4">
        <v>5516</v>
      </c>
      <c r="B675" s="4" t="s">
        <v>51</v>
      </c>
      <c r="C675" s="4" t="s">
        <v>43</v>
      </c>
      <c r="D675" s="4">
        <f>VLOOKUP(A675,Orders!$A:$E,5,FALSE)</f>
        <v>7</v>
      </c>
      <c r="E675" s="4">
        <v>1972</v>
      </c>
      <c r="F675" s="4">
        <v>7</v>
      </c>
      <c r="G675" s="10">
        <f t="shared" si="10"/>
        <v>281.71428571428572</v>
      </c>
      <c r="H675" s="4">
        <v>1</v>
      </c>
    </row>
    <row r="676" spans="1:8" x14ac:dyDescent="0.2">
      <c r="A676" s="4">
        <v>5517</v>
      </c>
      <c r="B676" s="4" t="s">
        <v>51</v>
      </c>
      <c r="C676" s="4" t="s">
        <v>43</v>
      </c>
      <c r="D676" s="4">
        <f>VLOOKUP(A676,Orders!$A:$E,5,FALSE)</f>
        <v>2</v>
      </c>
      <c r="E676" s="4">
        <v>1854</v>
      </c>
      <c r="F676" s="4">
        <v>13</v>
      </c>
      <c r="G676" s="10">
        <f t="shared" si="10"/>
        <v>142.61538461538461</v>
      </c>
      <c r="H676" s="4">
        <v>2</v>
      </c>
    </row>
    <row r="677" spans="1:8" x14ac:dyDescent="0.2">
      <c r="A677" s="4">
        <v>5533</v>
      </c>
      <c r="B677" s="4" t="s">
        <v>51</v>
      </c>
      <c r="C677" s="4" t="s">
        <v>43</v>
      </c>
      <c r="D677" s="4">
        <f>VLOOKUP(A677,Orders!$A:$E,5,FALSE)</f>
        <v>3</v>
      </c>
      <c r="E677" s="4">
        <v>397</v>
      </c>
      <c r="F677" s="4">
        <v>10</v>
      </c>
      <c r="G677" s="10">
        <f t="shared" si="10"/>
        <v>39.700000000000003</v>
      </c>
      <c r="H677" s="4">
        <v>2</v>
      </c>
    </row>
    <row r="678" spans="1:8" x14ac:dyDescent="0.2">
      <c r="A678" s="4">
        <v>5569</v>
      </c>
      <c r="B678" s="4" t="s">
        <v>51</v>
      </c>
      <c r="C678" s="4" t="s">
        <v>43</v>
      </c>
      <c r="D678" s="4">
        <f>VLOOKUP(A678,Orders!$A:$E,5,FALSE)</f>
        <v>4</v>
      </c>
      <c r="E678" s="4">
        <v>339</v>
      </c>
      <c r="F678" s="4">
        <v>6</v>
      </c>
      <c r="G678" s="10">
        <f t="shared" si="10"/>
        <v>56.5</v>
      </c>
      <c r="H678" s="4">
        <v>3</v>
      </c>
    </row>
    <row r="679" spans="1:8" x14ac:dyDescent="0.2">
      <c r="A679" s="4">
        <v>5595</v>
      </c>
      <c r="B679" s="4" t="s">
        <v>51</v>
      </c>
      <c r="C679" s="4" t="s">
        <v>43</v>
      </c>
      <c r="D679" s="4">
        <f>VLOOKUP(A679,Orders!$A:$E,5,FALSE)</f>
        <v>4</v>
      </c>
      <c r="E679" s="4">
        <v>1286</v>
      </c>
      <c r="F679" s="4">
        <v>7</v>
      </c>
      <c r="G679" s="10">
        <f t="shared" si="10"/>
        <v>183.71428571428572</v>
      </c>
      <c r="H679" s="4">
        <v>3</v>
      </c>
    </row>
    <row r="680" spans="1:8" x14ac:dyDescent="0.2">
      <c r="A680" s="4">
        <v>5641</v>
      </c>
      <c r="B680" s="4" t="s">
        <v>51</v>
      </c>
      <c r="C680" s="4" t="s">
        <v>43</v>
      </c>
      <c r="D680" s="4">
        <f>VLOOKUP(A680,Orders!$A:$E,5,FALSE)</f>
        <v>6</v>
      </c>
      <c r="E680" s="4">
        <v>1293</v>
      </c>
      <c r="F680" s="4">
        <v>20</v>
      </c>
      <c r="G680" s="10">
        <f t="shared" si="10"/>
        <v>64.650000000000006</v>
      </c>
      <c r="H680" s="4">
        <v>2</v>
      </c>
    </row>
    <row r="681" spans="1:8" x14ac:dyDescent="0.2">
      <c r="A681" s="4">
        <v>5646</v>
      </c>
      <c r="B681" s="4" t="s">
        <v>51</v>
      </c>
      <c r="C681" s="4" t="s">
        <v>43</v>
      </c>
      <c r="D681" s="4">
        <f>VLOOKUP(A681,Orders!$A:$E,5,FALSE)</f>
        <v>3</v>
      </c>
      <c r="E681" s="4">
        <v>701</v>
      </c>
      <c r="F681" s="4">
        <v>19</v>
      </c>
      <c r="G681" s="10">
        <f t="shared" si="10"/>
        <v>36.89473684210526</v>
      </c>
      <c r="H681" s="4">
        <v>1</v>
      </c>
    </row>
    <row r="682" spans="1:8" x14ac:dyDescent="0.2">
      <c r="A682" s="4">
        <v>5649</v>
      </c>
      <c r="B682" s="4" t="s">
        <v>51</v>
      </c>
      <c r="C682" s="4" t="s">
        <v>43</v>
      </c>
      <c r="D682" s="4">
        <f>VLOOKUP(A682,Orders!$A:$E,5,FALSE)</f>
        <v>2</v>
      </c>
      <c r="E682" s="4">
        <v>1443</v>
      </c>
      <c r="F682" s="4">
        <v>23</v>
      </c>
      <c r="G682" s="10">
        <f t="shared" si="10"/>
        <v>62.739130434782609</v>
      </c>
      <c r="H682" s="4">
        <v>2</v>
      </c>
    </row>
    <row r="683" spans="1:8" x14ac:dyDescent="0.2">
      <c r="A683" s="4">
        <v>5675</v>
      </c>
      <c r="B683" s="4" t="s">
        <v>51</v>
      </c>
      <c r="C683" s="4" t="s">
        <v>43</v>
      </c>
      <c r="D683" s="4">
        <f>VLOOKUP(A683,Orders!$A:$E,5,FALSE)</f>
        <v>4</v>
      </c>
      <c r="E683" s="4">
        <v>1400</v>
      </c>
      <c r="F683" s="4">
        <v>24</v>
      </c>
      <c r="G683" s="10">
        <f t="shared" si="10"/>
        <v>58.333333333333336</v>
      </c>
      <c r="H683" s="4">
        <v>2</v>
      </c>
    </row>
    <row r="684" spans="1:8" x14ac:dyDescent="0.2">
      <c r="A684" s="4">
        <v>5695</v>
      </c>
      <c r="B684" s="4" t="s">
        <v>51</v>
      </c>
      <c r="C684" s="4" t="s">
        <v>43</v>
      </c>
      <c r="D684" s="4">
        <f>VLOOKUP(A684,Orders!$A:$E,5,FALSE)</f>
        <v>4</v>
      </c>
      <c r="E684" s="4">
        <v>1979</v>
      </c>
      <c r="F684" s="4">
        <v>11</v>
      </c>
      <c r="G684" s="10">
        <f t="shared" si="10"/>
        <v>179.90909090909091</v>
      </c>
      <c r="H684" s="4">
        <v>3</v>
      </c>
    </row>
    <row r="685" spans="1:8" x14ac:dyDescent="0.2">
      <c r="A685" s="4">
        <v>5697</v>
      </c>
      <c r="B685" s="4" t="s">
        <v>51</v>
      </c>
      <c r="C685" s="4" t="s">
        <v>43</v>
      </c>
      <c r="D685" s="4">
        <f>VLOOKUP(A685,Orders!$A:$E,5,FALSE)</f>
        <v>9</v>
      </c>
      <c r="E685" s="4">
        <v>1246</v>
      </c>
      <c r="F685" s="4">
        <v>6</v>
      </c>
      <c r="G685" s="10">
        <f t="shared" si="10"/>
        <v>207.66666666666666</v>
      </c>
      <c r="H685" s="4">
        <v>3</v>
      </c>
    </row>
    <row r="686" spans="1:8" x14ac:dyDescent="0.2">
      <c r="A686" s="4">
        <v>5705</v>
      </c>
      <c r="B686" s="4" t="s">
        <v>51</v>
      </c>
      <c r="C686" s="4" t="s">
        <v>43</v>
      </c>
      <c r="D686" s="4">
        <f>VLOOKUP(A686,Orders!$A:$E,5,FALSE)</f>
        <v>4</v>
      </c>
      <c r="E686" s="4">
        <v>661</v>
      </c>
      <c r="F686" s="4">
        <v>18</v>
      </c>
      <c r="G686" s="10">
        <f t="shared" si="10"/>
        <v>36.722222222222221</v>
      </c>
      <c r="H686" s="4">
        <v>1</v>
      </c>
    </row>
    <row r="687" spans="1:8" x14ac:dyDescent="0.2">
      <c r="A687" s="4">
        <v>5718</v>
      </c>
      <c r="B687" s="4" t="s">
        <v>51</v>
      </c>
      <c r="C687" s="4" t="s">
        <v>43</v>
      </c>
      <c r="D687" s="4">
        <f>VLOOKUP(A687,Orders!$A:$E,5,FALSE)</f>
        <v>7</v>
      </c>
      <c r="E687" s="4">
        <v>774</v>
      </c>
      <c r="F687" s="4">
        <v>16</v>
      </c>
      <c r="G687" s="10">
        <f t="shared" si="10"/>
        <v>48.375</v>
      </c>
      <c r="H687" s="4">
        <v>1</v>
      </c>
    </row>
    <row r="688" spans="1:8" x14ac:dyDescent="0.2">
      <c r="A688" s="4">
        <v>5725</v>
      </c>
      <c r="B688" s="4" t="s">
        <v>51</v>
      </c>
      <c r="C688" s="4" t="s">
        <v>43</v>
      </c>
      <c r="D688" s="4">
        <f>VLOOKUP(A688,Orders!$A:$E,5,FALSE)</f>
        <v>6</v>
      </c>
      <c r="E688" s="4">
        <v>1307</v>
      </c>
      <c r="F688" s="4">
        <v>15</v>
      </c>
      <c r="G688" s="10">
        <f t="shared" si="10"/>
        <v>87.13333333333334</v>
      </c>
      <c r="H688" s="4">
        <v>3</v>
      </c>
    </row>
    <row r="689" spans="1:8" x14ac:dyDescent="0.2">
      <c r="A689" s="4">
        <v>5738</v>
      </c>
      <c r="B689" s="4" t="s">
        <v>51</v>
      </c>
      <c r="C689" s="4" t="s">
        <v>43</v>
      </c>
      <c r="D689" s="4">
        <f>VLOOKUP(A689,Orders!$A:$E,5,FALSE)</f>
        <v>2</v>
      </c>
      <c r="E689" s="4">
        <v>106</v>
      </c>
      <c r="F689" s="4">
        <v>9</v>
      </c>
      <c r="G689" s="10">
        <f t="shared" si="10"/>
        <v>11.777777777777779</v>
      </c>
      <c r="H689" s="4">
        <v>1</v>
      </c>
    </row>
    <row r="690" spans="1:8" x14ac:dyDescent="0.2">
      <c r="A690" s="4">
        <v>5741</v>
      </c>
      <c r="B690" s="4" t="s">
        <v>51</v>
      </c>
      <c r="C690" s="4" t="s">
        <v>43</v>
      </c>
      <c r="D690" s="4">
        <f>VLOOKUP(A690,Orders!$A:$E,5,FALSE)</f>
        <v>4</v>
      </c>
      <c r="E690" s="4">
        <v>1391</v>
      </c>
      <c r="F690" s="4">
        <v>24</v>
      </c>
      <c r="G690" s="10">
        <f t="shared" si="10"/>
        <v>57.958333333333336</v>
      </c>
      <c r="H690" s="4">
        <v>3</v>
      </c>
    </row>
    <row r="691" spans="1:8" x14ac:dyDescent="0.2">
      <c r="A691" s="4">
        <v>5742</v>
      </c>
      <c r="B691" s="4" t="s">
        <v>51</v>
      </c>
      <c r="C691" s="4" t="s">
        <v>43</v>
      </c>
      <c r="D691" s="4">
        <f>VLOOKUP(A691,Orders!$A:$E,5,FALSE)</f>
        <v>3</v>
      </c>
      <c r="E691" s="4">
        <v>102</v>
      </c>
      <c r="F691" s="4">
        <v>8</v>
      </c>
      <c r="G691" s="10">
        <f t="shared" si="10"/>
        <v>12.75</v>
      </c>
      <c r="H691" s="4">
        <v>3</v>
      </c>
    </row>
    <row r="692" spans="1:8" x14ac:dyDescent="0.2">
      <c r="A692" s="4">
        <v>5749</v>
      </c>
      <c r="B692" s="4" t="s">
        <v>51</v>
      </c>
      <c r="C692" s="4" t="s">
        <v>43</v>
      </c>
      <c r="D692" s="4">
        <f>VLOOKUP(A692,Orders!$A:$E,5,FALSE)</f>
        <v>4</v>
      </c>
      <c r="E692" s="4">
        <v>1352</v>
      </c>
      <c r="F692" s="4">
        <v>11</v>
      </c>
      <c r="G692" s="10">
        <f t="shared" si="10"/>
        <v>122.90909090909091</v>
      </c>
      <c r="H692" s="4">
        <v>2</v>
      </c>
    </row>
    <row r="693" spans="1:8" x14ac:dyDescent="0.2">
      <c r="A693" s="4">
        <v>5752</v>
      </c>
      <c r="B693" s="4" t="s">
        <v>51</v>
      </c>
      <c r="C693" s="4" t="s">
        <v>43</v>
      </c>
      <c r="D693" s="4">
        <f>VLOOKUP(A693,Orders!$A:$E,5,FALSE)</f>
        <v>3</v>
      </c>
      <c r="E693" s="4">
        <v>1541</v>
      </c>
      <c r="F693" s="4">
        <v>8</v>
      </c>
      <c r="G693" s="10">
        <f t="shared" si="10"/>
        <v>192.625</v>
      </c>
      <c r="H693" s="4">
        <v>1</v>
      </c>
    </row>
    <row r="694" spans="1:8" x14ac:dyDescent="0.2">
      <c r="A694" s="4">
        <v>5771</v>
      </c>
      <c r="B694" s="4" t="s">
        <v>51</v>
      </c>
      <c r="C694" s="4" t="s">
        <v>43</v>
      </c>
      <c r="D694" s="4">
        <f>VLOOKUP(A694,Orders!$A:$E,5,FALSE)</f>
        <v>9</v>
      </c>
      <c r="E694" s="4">
        <v>1517</v>
      </c>
      <c r="F694" s="4">
        <v>24</v>
      </c>
      <c r="G694" s="10">
        <f t="shared" si="10"/>
        <v>63.208333333333336</v>
      </c>
      <c r="H694" s="4">
        <v>1</v>
      </c>
    </row>
    <row r="695" spans="1:8" x14ac:dyDescent="0.2">
      <c r="A695" s="4">
        <v>5791</v>
      </c>
      <c r="B695" s="4" t="s">
        <v>51</v>
      </c>
      <c r="C695" s="4" t="s">
        <v>43</v>
      </c>
      <c r="D695" s="4">
        <f>VLOOKUP(A695,Orders!$A:$E,5,FALSE)</f>
        <v>4</v>
      </c>
      <c r="E695" s="4">
        <v>1706</v>
      </c>
      <c r="F695" s="4">
        <v>15</v>
      </c>
      <c r="G695" s="10">
        <f t="shared" si="10"/>
        <v>113.73333333333333</v>
      </c>
      <c r="H695" s="4">
        <v>1</v>
      </c>
    </row>
    <row r="696" spans="1:8" x14ac:dyDescent="0.2">
      <c r="A696" s="4">
        <v>5794</v>
      </c>
      <c r="B696" s="4" t="s">
        <v>51</v>
      </c>
      <c r="C696" s="4" t="s">
        <v>43</v>
      </c>
      <c r="D696" s="4">
        <f>VLOOKUP(A696,Orders!$A:$E,5,FALSE)</f>
        <v>4</v>
      </c>
      <c r="E696" s="4">
        <v>686</v>
      </c>
      <c r="F696" s="4">
        <v>13</v>
      </c>
      <c r="G696" s="10">
        <f t="shared" si="10"/>
        <v>52.769230769230766</v>
      </c>
      <c r="H696" s="4">
        <v>3</v>
      </c>
    </row>
    <row r="697" spans="1:8" x14ac:dyDescent="0.2">
      <c r="A697" s="4">
        <v>5796</v>
      </c>
      <c r="B697" s="4" t="s">
        <v>51</v>
      </c>
      <c r="C697" s="4" t="s">
        <v>43</v>
      </c>
      <c r="D697" s="4">
        <f>VLOOKUP(A697,Orders!$A:$E,5,FALSE)</f>
        <v>3</v>
      </c>
      <c r="E697" s="4">
        <v>482</v>
      </c>
      <c r="F697" s="4">
        <v>22</v>
      </c>
      <c r="G697" s="10">
        <f t="shared" si="10"/>
        <v>21.90909090909091</v>
      </c>
      <c r="H697" s="4">
        <v>3</v>
      </c>
    </row>
    <row r="698" spans="1:8" x14ac:dyDescent="0.2">
      <c r="A698" s="4">
        <v>5804</v>
      </c>
      <c r="B698" s="4" t="s">
        <v>51</v>
      </c>
      <c r="C698" s="4" t="s">
        <v>43</v>
      </c>
      <c r="D698" s="4">
        <f>VLOOKUP(A698,Orders!$A:$E,5,FALSE)</f>
        <v>3</v>
      </c>
      <c r="E698" s="4">
        <v>1449</v>
      </c>
      <c r="F698" s="4">
        <v>21</v>
      </c>
      <c r="G698" s="10">
        <f t="shared" si="10"/>
        <v>69</v>
      </c>
      <c r="H698" s="4">
        <v>2</v>
      </c>
    </row>
    <row r="699" spans="1:8" x14ac:dyDescent="0.2">
      <c r="A699" s="4">
        <v>5809</v>
      </c>
      <c r="B699" s="4" t="s">
        <v>51</v>
      </c>
      <c r="C699" s="4" t="s">
        <v>43</v>
      </c>
      <c r="D699" s="4">
        <f>VLOOKUP(A699,Orders!$A:$E,5,FALSE)</f>
        <v>6</v>
      </c>
      <c r="E699" s="4">
        <v>885</v>
      </c>
      <c r="F699" s="4">
        <v>24</v>
      </c>
      <c r="G699" s="10">
        <f t="shared" si="10"/>
        <v>36.875</v>
      </c>
      <c r="H699" s="4">
        <v>3</v>
      </c>
    </row>
    <row r="700" spans="1:8" x14ac:dyDescent="0.2">
      <c r="A700" s="4">
        <v>5811</v>
      </c>
      <c r="B700" s="4" t="s">
        <v>51</v>
      </c>
      <c r="C700" s="4" t="s">
        <v>43</v>
      </c>
      <c r="D700" s="4">
        <f>VLOOKUP(A700,Orders!$A:$E,5,FALSE)</f>
        <v>3</v>
      </c>
      <c r="E700" s="4">
        <v>992</v>
      </c>
      <c r="F700" s="4">
        <v>10</v>
      </c>
      <c r="G700" s="10">
        <f t="shared" si="10"/>
        <v>99.2</v>
      </c>
      <c r="H700" s="4">
        <v>3</v>
      </c>
    </row>
    <row r="701" spans="1:8" x14ac:dyDescent="0.2">
      <c r="A701" s="4">
        <v>5814</v>
      </c>
      <c r="B701" s="4" t="s">
        <v>51</v>
      </c>
      <c r="C701" s="4" t="s">
        <v>43</v>
      </c>
      <c r="D701" s="4">
        <f>VLOOKUP(A701,Orders!$A:$E,5,FALSE)</f>
        <v>7</v>
      </c>
      <c r="E701" s="4">
        <v>681</v>
      </c>
      <c r="F701" s="4">
        <v>11</v>
      </c>
      <c r="G701" s="10">
        <f t="shared" si="10"/>
        <v>61.909090909090907</v>
      </c>
      <c r="H701" s="4">
        <v>3</v>
      </c>
    </row>
    <row r="702" spans="1:8" x14ac:dyDescent="0.2">
      <c r="A702" s="4">
        <v>5817</v>
      </c>
      <c r="B702" s="4" t="s">
        <v>51</v>
      </c>
      <c r="C702" s="4" t="s">
        <v>43</v>
      </c>
      <c r="D702" s="4">
        <f>VLOOKUP(A702,Orders!$A:$E,5,FALSE)</f>
        <v>10</v>
      </c>
      <c r="E702" s="4">
        <v>1048</v>
      </c>
      <c r="F702" s="4">
        <v>7</v>
      </c>
      <c r="G702" s="10">
        <f t="shared" si="10"/>
        <v>149.71428571428572</v>
      </c>
      <c r="H702" s="4">
        <v>2</v>
      </c>
    </row>
    <row r="703" spans="1:8" x14ac:dyDescent="0.2">
      <c r="A703" s="4">
        <v>5822</v>
      </c>
      <c r="B703" s="4" t="s">
        <v>51</v>
      </c>
      <c r="C703" s="4" t="s">
        <v>43</v>
      </c>
      <c r="D703" s="4">
        <f>VLOOKUP(A703,Orders!$A:$E,5,FALSE)</f>
        <v>6</v>
      </c>
      <c r="E703" s="4">
        <v>1426</v>
      </c>
      <c r="F703" s="4">
        <v>6</v>
      </c>
      <c r="G703" s="10">
        <f t="shared" si="10"/>
        <v>237.66666666666666</v>
      </c>
      <c r="H703" s="4">
        <v>1</v>
      </c>
    </row>
    <row r="704" spans="1:8" x14ac:dyDescent="0.2">
      <c r="A704" s="4">
        <v>5829</v>
      </c>
      <c r="B704" s="4" t="s">
        <v>51</v>
      </c>
      <c r="C704" s="4" t="s">
        <v>43</v>
      </c>
      <c r="D704" s="4">
        <f>VLOOKUP(A704,Orders!$A:$E,5,FALSE)</f>
        <v>3</v>
      </c>
      <c r="E704" s="4">
        <v>1470</v>
      </c>
      <c r="F704" s="4">
        <v>18</v>
      </c>
      <c r="G704" s="10">
        <f t="shared" si="10"/>
        <v>81.666666666666671</v>
      </c>
      <c r="H704" s="4">
        <v>3</v>
      </c>
    </row>
    <row r="705" spans="1:8" x14ac:dyDescent="0.2">
      <c r="A705" s="4">
        <v>5839</v>
      </c>
      <c r="B705" s="4" t="s">
        <v>51</v>
      </c>
      <c r="C705" s="4" t="s">
        <v>43</v>
      </c>
      <c r="D705" s="4">
        <f>VLOOKUP(A705,Orders!$A:$E,5,FALSE)</f>
        <v>7</v>
      </c>
      <c r="E705" s="4">
        <v>781</v>
      </c>
      <c r="F705" s="4">
        <v>3</v>
      </c>
      <c r="G705" s="10">
        <f t="shared" si="10"/>
        <v>260.33333333333331</v>
      </c>
      <c r="H705" s="4">
        <v>3</v>
      </c>
    </row>
    <row r="706" spans="1:8" x14ac:dyDescent="0.2">
      <c r="A706" s="4">
        <v>5874</v>
      </c>
      <c r="B706" s="4" t="s">
        <v>51</v>
      </c>
      <c r="C706" s="4" t="s">
        <v>43</v>
      </c>
      <c r="D706" s="4">
        <f>VLOOKUP(A706,Orders!$A:$E,5,FALSE)</f>
        <v>4</v>
      </c>
      <c r="E706" s="4">
        <v>156</v>
      </c>
      <c r="F706" s="4">
        <v>8</v>
      </c>
      <c r="G706" s="10">
        <f t="shared" ref="G706:G769" si="11">E706/F706</f>
        <v>19.5</v>
      </c>
      <c r="H706" s="4">
        <v>2</v>
      </c>
    </row>
    <row r="707" spans="1:8" x14ac:dyDescent="0.2">
      <c r="A707" s="4">
        <v>5896</v>
      </c>
      <c r="B707" s="4" t="s">
        <v>51</v>
      </c>
      <c r="C707" s="4" t="s">
        <v>43</v>
      </c>
      <c r="D707" s="4">
        <f>VLOOKUP(A707,Orders!$A:$E,5,FALSE)</f>
        <v>10</v>
      </c>
      <c r="E707" s="4">
        <v>1128</v>
      </c>
      <c r="F707" s="4">
        <v>10</v>
      </c>
      <c r="G707" s="10">
        <f t="shared" si="11"/>
        <v>112.8</v>
      </c>
      <c r="H707" s="4">
        <v>1</v>
      </c>
    </row>
    <row r="708" spans="1:8" x14ac:dyDescent="0.2">
      <c r="A708" s="4">
        <v>5904</v>
      </c>
      <c r="B708" s="4" t="s">
        <v>51</v>
      </c>
      <c r="C708" s="4" t="s">
        <v>43</v>
      </c>
      <c r="D708" s="4">
        <f>VLOOKUP(A708,Orders!$A:$E,5,FALSE)</f>
        <v>8</v>
      </c>
      <c r="E708" s="4">
        <v>1425</v>
      </c>
      <c r="F708" s="4">
        <v>20</v>
      </c>
      <c r="G708" s="10">
        <f t="shared" si="11"/>
        <v>71.25</v>
      </c>
      <c r="H708" s="4">
        <v>1</v>
      </c>
    </row>
    <row r="709" spans="1:8" x14ac:dyDescent="0.2">
      <c r="A709" s="4">
        <v>5945</v>
      </c>
      <c r="B709" s="4" t="s">
        <v>51</v>
      </c>
      <c r="C709" s="4" t="s">
        <v>43</v>
      </c>
      <c r="D709" s="4">
        <f>VLOOKUP(A709,Orders!$A:$E,5,FALSE)</f>
        <v>2</v>
      </c>
      <c r="E709" s="4">
        <v>1932</v>
      </c>
      <c r="F709" s="4">
        <v>17</v>
      </c>
      <c r="G709" s="10">
        <f t="shared" si="11"/>
        <v>113.64705882352941</v>
      </c>
      <c r="H709" s="4">
        <v>1</v>
      </c>
    </row>
    <row r="710" spans="1:8" x14ac:dyDescent="0.2">
      <c r="A710" s="4">
        <v>5973</v>
      </c>
      <c r="B710" s="4" t="s">
        <v>51</v>
      </c>
      <c r="C710" s="4" t="s">
        <v>43</v>
      </c>
      <c r="D710" s="4">
        <f>VLOOKUP(A710,Orders!$A:$E,5,FALSE)</f>
        <v>7</v>
      </c>
      <c r="E710" s="4">
        <v>1607</v>
      </c>
      <c r="F710" s="4">
        <v>12</v>
      </c>
      <c r="G710" s="10">
        <f t="shared" si="11"/>
        <v>133.91666666666666</v>
      </c>
      <c r="H710" s="4">
        <v>1</v>
      </c>
    </row>
    <row r="711" spans="1:8" x14ac:dyDescent="0.2">
      <c r="A711" s="4">
        <v>6000</v>
      </c>
      <c r="B711" s="4" t="s">
        <v>51</v>
      </c>
      <c r="C711" s="4" t="s">
        <v>43</v>
      </c>
      <c r="D711" s="4">
        <f>VLOOKUP(A711,Orders!$A:$E,5,FALSE)</f>
        <v>8</v>
      </c>
      <c r="E711" s="4">
        <v>1924</v>
      </c>
      <c r="F711" s="4">
        <v>22</v>
      </c>
      <c r="G711" s="10">
        <f t="shared" si="11"/>
        <v>87.454545454545453</v>
      </c>
      <c r="H711" s="4">
        <v>3</v>
      </c>
    </row>
    <row r="712" spans="1:8" x14ac:dyDescent="0.2">
      <c r="A712" s="4">
        <v>6008</v>
      </c>
      <c r="B712" s="4" t="s">
        <v>51</v>
      </c>
      <c r="C712" s="4" t="s">
        <v>43</v>
      </c>
      <c r="D712" s="4">
        <f>VLOOKUP(A712,Orders!$A:$E,5,FALSE)</f>
        <v>4</v>
      </c>
      <c r="E712" s="4">
        <v>1017</v>
      </c>
      <c r="F712" s="4">
        <v>12</v>
      </c>
      <c r="G712" s="10">
        <f t="shared" si="11"/>
        <v>84.75</v>
      </c>
      <c r="H712" s="4">
        <v>1</v>
      </c>
    </row>
    <row r="713" spans="1:8" x14ac:dyDescent="0.2">
      <c r="A713" s="4">
        <v>6024</v>
      </c>
      <c r="B713" s="4" t="s">
        <v>51</v>
      </c>
      <c r="C713" s="4" t="s">
        <v>43</v>
      </c>
      <c r="D713" s="4">
        <f>VLOOKUP(A713,Orders!$A:$E,5,FALSE)</f>
        <v>8</v>
      </c>
      <c r="E713" s="4">
        <v>900</v>
      </c>
      <c r="F713" s="4">
        <v>3</v>
      </c>
      <c r="G713" s="10">
        <f t="shared" si="11"/>
        <v>300</v>
      </c>
      <c r="H713" s="4">
        <v>1</v>
      </c>
    </row>
    <row r="714" spans="1:8" x14ac:dyDescent="0.2">
      <c r="A714" s="4">
        <v>6037</v>
      </c>
      <c r="B714" s="4" t="s">
        <v>51</v>
      </c>
      <c r="C714" s="4" t="s">
        <v>43</v>
      </c>
      <c r="D714" s="4">
        <f>VLOOKUP(A714,Orders!$A:$E,5,FALSE)</f>
        <v>2</v>
      </c>
      <c r="E714" s="4">
        <v>1005</v>
      </c>
      <c r="F714" s="4">
        <v>23</v>
      </c>
      <c r="G714" s="10">
        <f t="shared" si="11"/>
        <v>43.695652173913047</v>
      </c>
      <c r="H714" s="4">
        <v>3</v>
      </c>
    </row>
    <row r="715" spans="1:8" x14ac:dyDescent="0.2">
      <c r="A715" s="4">
        <v>6045</v>
      </c>
      <c r="B715" s="4" t="s">
        <v>51</v>
      </c>
      <c r="C715" s="4" t="s">
        <v>43</v>
      </c>
      <c r="D715" s="4">
        <f>VLOOKUP(A715,Orders!$A:$E,5,FALSE)</f>
        <v>8</v>
      </c>
      <c r="E715" s="4">
        <v>1545</v>
      </c>
      <c r="F715" s="4">
        <v>9</v>
      </c>
      <c r="G715" s="10">
        <f t="shared" si="11"/>
        <v>171.66666666666666</v>
      </c>
      <c r="H715" s="4">
        <v>3</v>
      </c>
    </row>
    <row r="716" spans="1:8" x14ac:dyDescent="0.2">
      <c r="A716" s="4">
        <v>6097</v>
      </c>
      <c r="B716" s="4" t="s">
        <v>51</v>
      </c>
      <c r="C716" s="4" t="s">
        <v>43</v>
      </c>
      <c r="D716" s="4">
        <f>VLOOKUP(A716,Orders!$A:$E,5,FALSE)</f>
        <v>4</v>
      </c>
      <c r="E716" s="4">
        <v>989</v>
      </c>
      <c r="F716" s="4">
        <v>18</v>
      </c>
      <c r="G716" s="10">
        <f t="shared" si="11"/>
        <v>54.944444444444443</v>
      </c>
      <c r="H716" s="4">
        <v>1</v>
      </c>
    </row>
    <row r="717" spans="1:8" x14ac:dyDescent="0.2">
      <c r="A717" s="4">
        <v>6122</v>
      </c>
      <c r="B717" s="4" t="s">
        <v>51</v>
      </c>
      <c r="C717" s="4" t="s">
        <v>43</v>
      </c>
      <c r="D717" s="4">
        <f>VLOOKUP(A717,Orders!$A:$E,5,FALSE)</f>
        <v>10</v>
      </c>
      <c r="E717" s="4">
        <v>594</v>
      </c>
      <c r="F717" s="4">
        <v>22</v>
      </c>
      <c r="G717" s="10">
        <f t="shared" si="11"/>
        <v>27</v>
      </c>
      <c r="H717" s="4">
        <v>3</v>
      </c>
    </row>
    <row r="718" spans="1:8" x14ac:dyDescent="0.2">
      <c r="A718" s="4">
        <v>6139</v>
      </c>
      <c r="B718" s="4" t="s">
        <v>51</v>
      </c>
      <c r="C718" s="4" t="s">
        <v>43</v>
      </c>
      <c r="D718" s="4">
        <f>VLOOKUP(A718,Orders!$A:$E,5,FALSE)</f>
        <v>3</v>
      </c>
      <c r="E718" s="4">
        <v>193</v>
      </c>
      <c r="F718" s="4">
        <v>7</v>
      </c>
      <c r="G718" s="10">
        <f t="shared" si="11"/>
        <v>27.571428571428573</v>
      </c>
      <c r="H718" s="4">
        <v>1</v>
      </c>
    </row>
    <row r="719" spans="1:8" x14ac:dyDescent="0.2">
      <c r="A719" s="4">
        <v>6156</v>
      </c>
      <c r="B719" s="4" t="s">
        <v>51</v>
      </c>
      <c r="C719" s="4" t="s">
        <v>43</v>
      </c>
      <c r="D719" s="4">
        <f>VLOOKUP(A719,Orders!$A:$E,5,FALSE)</f>
        <v>6</v>
      </c>
      <c r="E719" s="4">
        <v>1530</v>
      </c>
      <c r="F719" s="4">
        <v>12</v>
      </c>
      <c r="G719" s="10">
        <f t="shared" si="11"/>
        <v>127.5</v>
      </c>
      <c r="H719" s="4">
        <v>2</v>
      </c>
    </row>
    <row r="720" spans="1:8" x14ac:dyDescent="0.2">
      <c r="A720" s="4">
        <v>6173</v>
      </c>
      <c r="B720" s="4" t="s">
        <v>51</v>
      </c>
      <c r="C720" s="4" t="s">
        <v>43</v>
      </c>
      <c r="D720" s="4">
        <f>VLOOKUP(A720,Orders!$A:$E,5,FALSE)</f>
        <v>8</v>
      </c>
      <c r="E720" s="4">
        <v>502</v>
      </c>
      <c r="F720" s="4">
        <v>15</v>
      </c>
      <c r="G720" s="10">
        <f t="shared" si="11"/>
        <v>33.466666666666669</v>
      </c>
      <c r="H720" s="4">
        <v>1</v>
      </c>
    </row>
    <row r="721" spans="1:8" x14ac:dyDescent="0.2">
      <c r="A721" s="4">
        <v>6176</v>
      </c>
      <c r="B721" s="4" t="s">
        <v>51</v>
      </c>
      <c r="C721" s="4" t="s">
        <v>43</v>
      </c>
      <c r="D721" s="4">
        <f>VLOOKUP(A721,Orders!$A:$E,5,FALSE)</f>
        <v>9</v>
      </c>
      <c r="E721" s="4">
        <v>1151</v>
      </c>
      <c r="F721" s="4">
        <v>24</v>
      </c>
      <c r="G721" s="10">
        <f t="shared" si="11"/>
        <v>47.958333333333336</v>
      </c>
      <c r="H721" s="4">
        <v>1</v>
      </c>
    </row>
    <row r="722" spans="1:8" x14ac:dyDescent="0.2">
      <c r="A722" s="4">
        <v>6177</v>
      </c>
      <c r="B722" s="4" t="s">
        <v>51</v>
      </c>
      <c r="C722" s="4" t="s">
        <v>43</v>
      </c>
      <c r="D722" s="4">
        <f>VLOOKUP(A722,Orders!$A:$E,5,FALSE)</f>
        <v>7</v>
      </c>
      <c r="E722" s="4">
        <v>852</v>
      </c>
      <c r="F722" s="4">
        <v>8</v>
      </c>
      <c r="G722" s="10">
        <f t="shared" si="11"/>
        <v>106.5</v>
      </c>
      <c r="H722" s="4">
        <v>1</v>
      </c>
    </row>
    <row r="723" spans="1:8" x14ac:dyDescent="0.2">
      <c r="A723" s="4">
        <v>6211</v>
      </c>
      <c r="B723" s="4" t="s">
        <v>51</v>
      </c>
      <c r="C723" s="4" t="s">
        <v>43</v>
      </c>
      <c r="D723" s="4">
        <f>VLOOKUP(A723,Orders!$A:$E,5,FALSE)</f>
        <v>10</v>
      </c>
      <c r="E723" s="4">
        <v>41</v>
      </c>
      <c r="F723" s="4">
        <v>7</v>
      </c>
      <c r="G723" s="10">
        <f t="shared" si="11"/>
        <v>5.8571428571428568</v>
      </c>
      <c r="H723" s="4">
        <v>1</v>
      </c>
    </row>
    <row r="724" spans="1:8" x14ac:dyDescent="0.2">
      <c r="A724" s="4">
        <v>6213</v>
      </c>
      <c r="B724" s="4" t="s">
        <v>51</v>
      </c>
      <c r="C724" s="4" t="s">
        <v>43</v>
      </c>
      <c r="D724" s="4">
        <f>VLOOKUP(A724,Orders!$A:$E,5,FALSE)</f>
        <v>8</v>
      </c>
      <c r="E724" s="4">
        <v>1145</v>
      </c>
      <c r="F724" s="4">
        <v>6</v>
      </c>
      <c r="G724" s="10">
        <f t="shared" si="11"/>
        <v>190.83333333333334</v>
      </c>
      <c r="H724" s="4">
        <v>3</v>
      </c>
    </row>
    <row r="725" spans="1:8" x14ac:dyDescent="0.2">
      <c r="A725" s="4">
        <v>6227</v>
      </c>
      <c r="B725" s="4" t="s">
        <v>51</v>
      </c>
      <c r="C725" s="4" t="s">
        <v>43</v>
      </c>
      <c r="D725" s="4">
        <f>VLOOKUP(A725,Orders!$A:$E,5,FALSE)</f>
        <v>8</v>
      </c>
      <c r="E725" s="4">
        <v>1718</v>
      </c>
      <c r="F725" s="4">
        <v>13</v>
      </c>
      <c r="G725" s="10">
        <f t="shared" si="11"/>
        <v>132.15384615384616</v>
      </c>
      <c r="H725" s="4">
        <v>3</v>
      </c>
    </row>
    <row r="726" spans="1:8" x14ac:dyDescent="0.2">
      <c r="A726" s="4">
        <v>6234</v>
      </c>
      <c r="B726" s="4" t="s">
        <v>51</v>
      </c>
      <c r="C726" s="4" t="s">
        <v>43</v>
      </c>
      <c r="D726" s="4">
        <f>VLOOKUP(A726,Orders!$A:$E,5,FALSE)</f>
        <v>5</v>
      </c>
      <c r="E726" s="4">
        <v>676</v>
      </c>
      <c r="F726" s="4">
        <v>8</v>
      </c>
      <c r="G726" s="10">
        <f t="shared" si="11"/>
        <v>84.5</v>
      </c>
      <c r="H726" s="4">
        <v>1</v>
      </c>
    </row>
    <row r="727" spans="1:8" x14ac:dyDescent="0.2">
      <c r="A727" s="4">
        <v>6237</v>
      </c>
      <c r="B727" s="4" t="s">
        <v>51</v>
      </c>
      <c r="C727" s="4" t="s">
        <v>43</v>
      </c>
      <c r="D727" s="4">
        <f>VLOOKUP(A727,Orders!$A:$E,5,FALSE)</f>
        <v>2</v>
      </c>
      <c r="E727" s="4">
        <v>1014</v>
      </c>
      <c r="F727" s="4">
        <v>22</v>
      </c>
      <c r="G727" s="10">
        <f t="shared" si="11"/>
        <v>46.090909090909093</v>
      </c>
      <c r="H727" s="4">
        <v>2</v>
      </c>
    </row>
    <row r="728" spans="1:8" x14ac:dyDescent="0.2">
      <c r="A728" s="4">
        <v>6250</v>
      </c>
      <c r="B728" s="4" t="s">
        <v>51</v>
      </c>
      <c r="C728" s="4" t="s">
        <v>43</v>
      </c>
      <c r="D728" s="4">
        <f>VLOOKUP(A728,Orders!$A:$E,5,FALSE)</f>
        <v>6</v>
      </c>
      <c r="E728" s="4">
        <v>1840</v>
      </c>
      <c r="F728" s="4">
        <v>18</v>
      </c>
      <c r="G728" s="10">
        <f t="shared" si="11"/>
        <v>102.22222222222223</v>
      </c>
      <c r="H728" s="4">
        <v>2</v>
      </c>
    </row>
    <row r="729" spans="1:8" x14ac:dyDescent="0.2">
      <c r="A729" s="4">
        <v>6256</v>
      </c>
      <c r="B729" s="4" t="s">
        <v>51</v>
      </c>
      <c r="C729" s="4" t="s">
        <v>43</v>
      </c>
      <c r="D729" s="4">
        <f>VLOOKUP(A729,Orders!$A:$E,5,FALSE)</f>
        <v>4</v>
      </c>
      <c r="E729" s="4">
        <v>855</v>
      </c>
      <c r="F729" s="4">
        <v>21</v>
      </c>
      <c r="G729" s="10">
        <f t="shared" si="11"/>
        <v>40.714285714285715</v>
      </c>
      <c r="H729" s="4">
        <v>3</v>
      </c>
    </row>
    <row r="730" spans="1:8" x14ac:dyDescent="0.2">
      <c r="A730" s="4">
        <v>6263</v>
      </c>
      <c r="B730" s="4" t="s">
        <v>51</v>
      </c>
      <c r="C730" s="4" t="s">
        <v>43</v>
      </c>
      <c r="D730" s="4">
        <f>VLOOKUP(A730,Orders!$A:$E,5,FALSE)</f>
        <v>4</v>
      </c>
      <c r="E730" s="4">
        <v>311</v>
      </c>
      <c r="F730" s="4">
        <v>24</v>
      </c>
      <c r="G730" s="10">
        <f t="shared" si="11"/>
        <v>12.958333333333334</v>
      </c>
      <c r="H730" s="4">
        <v>3</v>
      </c>
    </row>
    <row r="731" spans="1:8" x14ac:dyDescent="0.2">
      <c r="A731" s="4">
        <v>6288</v>
      </c>
      <c r="B731" s="4" t="s">
        <v>51</v>
      </c>
      <c r="C731" s="4" t="s">
        <v>43</v>
      </c>
      <c r="D731" s="4">
        <f>VLOOKUP(A731,Orders!$A:$E,5,FALSE)</f>
        <v>5</v>
      </c>
      <c r="E731" s="4">
        <v>349</v>
      </c>
      <c r="F731" s="4">
        <v>20</v>
      </c>
      <c r="G731" s="10">
        <f t="shared" si="11"/>
        <v>17.45</v>
      </c>
      <c r="H731" s="4">
        <v>3</v>
      </c>
    </row>
    <row r="732" spans="1:8" x14ac:dyDescent="0.2">
      <c r="A732" s="4">
        <v>6296</v>
      </c>
      <c r="B732" s="4" t="s">
        <v>51</v>
      </c>
      <c r="C732" s="4" t="s">
        <v>43</v>
      </c>
      <c r="D732" s="4">
        <f>VLOOKUP(A732,Orders!$A:$E,5,FALSE)</f>
        <v>8</v>
      </c>
      <c r="E732" s="4">
        <v>468</v>
      </c>
      <c r="F732" s="4">
        <v>15</v>
      </c>
      <c r="G732" s="10">
        <f t="shared" si="11"/>
        <v>31.2</v>
      </c>
      <c r="H732" s="4">
        <v>1</v>
      </c>
    </row>
    <row r="733" spans="1:8" x14ac:dyDescent="0.2">
      <c r="A733" s="4">
        <v>6299</v>
      </c>
      <c r="B733" s="4" t="s">
        <v>51</v>
      </c>
      <c r="C733" s="4" t="s">
        <v>43</v>
      </c>
      <c r="D733" s="4">
        <f>VLOOKUP(A733,Orders!$A:$E,5,FALSE)</f>
        <v>4</v>
      </c>
      <c r="E733" s="4">
        <v>1845</v>
      </c>
      <c r="F733" s="4">
        <v>23</v>
      </c>
      <c r="G733" s="10">
        <f t="shared" si="11"/>
        <v>80.217391304347828</v>
      </c>
      <c r="H733" s="4">
        <v>3</v>
      </c>
    </row>
    <row r="734" spans="1:8" x14ac:dyDescent="0.2">
      <c r="A734" s="4">
        <v>6305</v>
      </c>
      <c r="B734" s="4" t="s">
        <v>51</v>
      </c>
      <c r="C734" s="4" t="s">
        <v>43</v>
      </c>
      <c r="D734" s="4">
        <f>VLOOKUP(A734,Orders!$A:$E,5,FALSE)</f>
        <v>8</v>
      </c>
      <c r="E734" s="4">
        <v>1919</v>
      </c>
      <c r="F734" s="4">
        <v>6</v>
      </c>
      <c r="G734" s="10">
        <f t="shared" si="11"/>
        <v>319.83333333333331</v>
      </c>
      <c r="H734" s="4">
        <v>2</v>
      </c>
    </row>
    <row r="735" spans="1:8" x14ac:dyDescent="0.2">
      <c r="A735" s="4">
        <v>6313</v>
      </c>
      <c r="B735" s="4" t="s">
        <v>51</v>
      </c>
      <c r="C735" s="4" t="s">
        <v>43</v>
      </c>
      <c r="D735" s="4">
        <f>VLOOKUP(A735,Orders!$A:$E,5,FALSE)</f>
        <v>6</v>
      </c>
      <c r="E735" s="4">
        <v>1029</v>
      </c>
      <c r="F735" s="4">
        <v>24</v>
      </c>
      <c r="G735" s="10">
        <f t="shared" si="11"/>
        <v>42.875</v>
      </c>
      <c r="H735" s="4">
        <v>3</v>
      </c>
    </row>
    <row r="736" spans="1:8" x14ac:dyDescent="0.2">
      <c r="A736" s="4">
        <v>6315</v>
      </c>
      <c r="B736" s="4" t="s">
        <v>51</v>
      </c>
      <c r="C736" s="4" t="s">
        <v>43</v>
      </c>
      <c r="D736" s="4">
        <f>VLOOKUP(A736,Orders!$A:$E,5,FALSE)</f>
        <v>9</v>
      </c>
      <c r="E736" s="4">
        <v>844</v>
      </c>
      <c r="F736" s="4">
        <v>17</v>
      </c>
      <c r="G736" s="10">
        <f t="shared" si="11"/>
        <v>49.647058823529413</v>
      </c>
      <c r="H736" s="4">
        <v>1</v>
      </c>
    </row>
    <row r="737" spans="1:8" x14ac:dyDescent="0.2">
      <c r="A737" s="4">
        <v>6321</v>
      </c>
      <c r="B737" s="4" t="s">
        <v>51</v>
      </c>
      <c r="C737" s="4" t="s">
        <v>43</v>
      </c>
      <c r="D737" s="4">
        <f>VLOOKUP(A737,Orders!$A:$E,5,FALSE)</f>
        <v>9</v>
      </c>
      <c r="E737" s="4">
        <v>1426</v>
      </c>
      <c r="F737" s="4">
        <v>10</v>
      </c>
      <c r="G737" s="10">
        <f t="shared" si="11"/>
        <v>142.6</v>
      </c>
      <c r="H737" s="4">
        <v>2</v>
      </c>
    </row>
    <row r="738" spans="1:8" x14ac:dyDescent="0.2">
      <c r="A738" s="4">
        <v>6324</v>
      </c>
      <c r="B738" s="4" t="s">
        <v>51</v>
      </c>
      <c r="C738" s="4" t="s">
        <v>43</v>
      </c>
      <c r="D738" s="4">
        <f>VLOOKUP(A738,Orders!$A:$E,5,FALSE)</f>
        <v>2</v>
      </c>
      <c r="E738" s="4">
        <v>1161</v>
      </c>
      <c r="F738" s="4">
        <v>20</v>
      </c>
      <c r="G738" s="10">
        <f t="shared" si="11"/>
        <v>58.05</v>
      </c>
      <c r="H738" s="4">
        <v>3</v>
      </c>
    </row>
    <row r="739" spans="1:8" x14ac:dyDescent="0.2">
      <c r="A739" s="4">
        <v>6332</v>
      </c>
      <c r="B739" s="4" t="s">
        <v>51</v>
      </c>
      <c r="C739" s="4" t="s">
        <v>43</v>
      </c>
      <c r="D739" s="4">
        <f>VLOOKUP(A739,Orders!$A:$E,5,FALSE)</f>
        <v>7</v>
      </c>
      <c r="E739" s="4">
        <v>1443</v>
      </c>
      <c r="F739" s="4">
        <v>22</v>
      </c>
      <c r="G739" s="10">
        <f t="shared" si="11"/>
        <v>65.590909090909093</v>
      </c>
      <c r="H739" s="4">
        <v>2</v>
      </c>
    </row>
    <row r="740" spans="1:8" x14ac:dyDescent="0.2">
      <c r="A740" s="4">
        <v>6369</v>
      </c>
      <c r="B740" s="4" t="s">
        <v>51</v>
      </c>
      <c r="C740" s="4" t="s">
        <v>43</v>
      </c>
      <c r="D740" s="4">
        <f>VLOOKUP(A740,Orders!$A:$E,5,FALSE)</f>
        <v>9</v>
      </c>
      <c r="E740" s="4">
        <v>507</v>
      </c>
      <c r="F740" s="4">
        <v>15</v>
      </c>
      <c r="G740" s="10">
        <f t="shared" si="11"/>
        <v>33.799999999999997</v>
      </c>
      <c r="H740" s="4">
        <v>2</v>
      </c>
    </row>
    <row r="741" spans="1:8" x14ac:dyDescent="0.2">
      <c r="A741" s="4">
        <v>6424</v>
      </c>
      <c r="B741" s="4" t="s">
        <v>51</v>
      </c>
      <c r="C741" s="4" t="s">
        <v>43</v>
      </c>
      <c r="D741" s="4">
        <f>VLOOKUP(A741,Orders!$A:$E,5,FALSE)</f>
        <v>3</v>
      </c>
      <c r="E741" s="4">
        <v>389</v>
      </c>
      <c r="F741" s="4">
        <v>16</v>
      </c>
      <c r="G741" s="10">
        <f t="shared" si="11"/>
        <v>24.3125</v>
      </c>
      <c r="H741" s="4">
        <v>3</v>
      </c>
    </row>
    <row r="742" spans="1:8" x14ac:dyDescent="0.2">
      <c r="A742" s="4">
        <v>6425</v>
      </c>
      <c r="B742" s="4" t="s">
        <v>51</v>
      </c>
      <c r="C742" s="4" t="s">
        <v>43</v>
      </c>
      <c r="D742" s="4">
        <f>VLOOKUP(A742,Orders!$A:$E,5,FALSE)</f>
        <v>6</v>
      </c>
      <c r="E742" s="4">
        <v>402</v>
      </c>
      <c r="F742" s="4">
        <v>20</v>
      </c>
      <c r="G742" s="10">
        <f t="shared" si="11"/>
        <v>20.100000000000001</v>
      </c>
      <c r="H742" s="4">
        <v>1</v>
      </c>
    </row>
    <row r="743" spans="1:8" x14ac:dyDescent="0.2">
      <c r="A743" s="4">
        <v>6426</v>
      </c>
      <c r="B743" s="4" t="s">
        <v>51</v>
      </c>
      <c r="C743" s="4" t="s">
        <v>43</v>
      </c>
      <c r="D743" s="4">
        <f>VLOOKUP(A743,Orders!$A:$E,5,FALSE)</f>
        <v>6</v>
      </c>
      <c r="E743" s="4">
        <v>351</v>
      </c>
      <c r="F743" s="4">
        <v>3</v>
      </c>
      <c r="G743" s="10">
        <f t="shared" si="11"/>
        <v>117</v>
      </c>
      <c r="H743" s="4">
        <v>2</v>
      </c>
    </row>
    <row r="744" spans="1:8" x14ac:dyDescent="0.2">
      <c r="A744" s="4">
        <v>6435</v>
      </c>
      <c r="B744" s="4" t="s">
        <v>51</v>
      </c>
      <c r="C744" s="4" t="s">
        <v>43</v>
      </c>
      <c r="D744" s="4">
        <f>VLOOKUP(A744,Orders!$A:$E,5,FALSE)</f>
        <v>10</v>
      </c>
      <c r="E744" s="4">
        <v>1655</v>
      </c>
      <c r="F744" s="4">
        <v>3</v>
      </c>
      <c r="G744" s="10">
        <f t="shared" si="11"/>
        <v>551.66666666666663</v>
      </c>
      <c r="H744" s="4">
        <v>1</v>
      </c>
    </row>
    <row r="745" spans="1:8" x14ac:dyDescent="0.2">
      <c r="A745" s="4">
        <v>6444</v>
      </c>
      <c r="B745" s="4" t="s">
        <v>51</v>
      </c>
      <c r="C745" s="4" t="s">
        <v>43</v>
      </c>
      <c r="D745" s="4">
        <f>VLOOKUP(A745,Orders!$A:$E,5,FALSE)</f>
        <v>3</v>
      </c>
      <c r="E745" s="4">
        <v>1266</v>
      </c>
      <c r="F745" s="4">
        <v>5</v>
      </c>
      <c r="G745" s="10">
        <f t="shared" si="11"/>
        <v>253.2</v>
      </c>
      <c r="H745" s="4">
        <v>1</v>
      </c>
    </row>
    <row r="746" spans="1:8" x14ac:dyDescent="0.2">
      <c r="A746" s="4">
        <v>6445</v>
      </c>
      <c r="B746" s="4" t="s">
        <v>51</v>
      </c>
      <c r="C746" s="4" t="s">
        <v>43</v>
      </c>
      <c r="D746" s="4">
        <f>VLOOKUP(A746,Orders!$A:$E,5,FALSE)</f>
        <v>5</v>
      </c>
      <c r="E746" s="4">
        <v>1316</v>
      </c>
      <c r="F746" s="4">
        <v>6</v>
      </c>
      <c r="G746" s="10">
        <f t="shared" si="11"/>
        <v>219.33333333333334</v>
      </c>
      <c r="H746" s="4">
        <v>3</v>
      </c>
    </row>
    <row r="747" spans="1:8" x14ac:dyDescent="0.2">
      <c r="A747" s="4">
        <v>6464</v>
      </c>
      <c r="B747" s="4" t="s">
        <v>51</v>
      </c>
      <c r="C747" s="4" t="s">
        <v>43</v>
      </c>
      <c r="D747" s="4">
        <f>VLOOKUP(A747,Orders!$A:$E,5,FALSE)</f>
        <v>6</v>
      </c>
      <c r="E747" s="4">
        <v>1609</v>
      </c>
      <c r="F747" s="4">
        <v>5</v>
      </c>
      <c r="G747" s="10">
        <f t="shared" si="11"/>
        <v>321.8</v>
      </c>
      <c r="H747" s="4">
        <v>1</v>
      </c>
    </row>
    <row r="748" spans="1:8" x14ac:dyDescent="0.2">
      <c r="A748" s="4">
        <v>6465</v>
      </c>
      <c r="B748" s="4" t="s">
        <v>51</v>
      </c>
      <c r="C748" s="4" t="s">
        <v>43</v>
      </c>
      <c r="D748" s="4">
        <f>VLOOKUP(A748,Orders!$A:$E,5,FALSE)</f>
        <v>2</v>
      </c>
      <c r="E748" s="4">
        <v>310</v>
      </c>
      <c r="F748" s="4">
        <v>10</v>
      </c>
      <c r="G748" s="10">
        <f t="shared" si="11"/>
        <v>31</v>
      </c>
      <c r="H748" s="4">
        <v>1</v>
      </c>
    </row>
    <row r="749" spans="1:8" x14ac:dyDescent="0.2">
      <c r="A749" s="4">
        <v>6470</v>
      </c>
      <c r="B749" s="4" t="s">
        <v>51</v>
      </c>
      <c r="C749" s="4" t="s">
        <v>43</v>
      </c>
      <c r="D749" s="4">
        <f>VLOOKUP(A749,Orders!$A:$E,5,FALSE)</f>
        <v>2</v>
      </c>
      <c r="E749" s="4">
        <v>761</v>
      </c>
      <c r="F749" s="4">
        <v>21</v>
      </c>
      <c r="G749" s="10">
        <f t="shared" si="11"/>
        <v>36.238095238095241</v>
      </c>
      <c r="H749" s="4">
        <v>1</v>
      </c>
    </row>
    <row r="750" spans="1:8" x14ac:dyDescent="0.2">
      <c r="A750" s="4">
        <v>6473</v>
      </c>
      <c r="B750" s="4" t="s">
        <v>51</v>
      </c>
      <c r="C750" s="4" t="s">
        <v>43</v>
      </c>
      <c r="D750" s="4">
        <f>VLOOKUP(A750,Orders!$A:$E,5,FALSE)</f>
        <v>3</v>
      </c>
      <c r="E750" s="4">
        <v>903</v>
      </c>
      <c r="F750" s="4">
        <v>15</v>
      </c>
      <c r="G750" s="10">
        <f t="shared" si="11"/>
        <v>60.2</v>
      </c>
      <c r="H750" s="4">
        <v>3</v>
      </c>
    </row>
    <row r="751" spans="1:8" x14ac:dyDescent="0.2">
      <c r="A751" s="4">
        <v>6491</v>
      </c>
      <c r="B751" s="4" t="s">
        <v>51</v>
      </c>
      <c r="C751" s="4" t="s">
        <v>43</v>
      </c>
      <c r="D751" s="4">
        <f>VLOOKUP(A751,Orders!$A:$E,5,FALSE)</f>
        <v>10</v>
      </c>
      <c r="E751" s="4">
        <v>420</v>
      </c>
      <c r="F751" s="4">
        <v>18</v>
      </c>
      <c r="G751" s="10">
        <f t="shared" si="11"/>
        <v>23.333333333333332</v>
      </c>
      <c r="H751" s="4">
        <v>1</v>
      </c>
    </row>
    <row r="752" spans="1:8" x14ac:dyDescent="0.2">
      <c r="A752" s="4">
        <v>5012</v>
      </c>
      <c r="B752" s="4" t="s">
        <v>41</v>
      </c>
      <c r="C752" s="4" t="s">
        <v>44</v>
      </c>
      <c r="D752" s="4">
        <f>VLOOKUP(A752,Orders!$A:$E,5,FALSE)</f>
        <v>3</v>
      </c>
      <c r="E752" s="4">
        <v>1421</v>
      </c>
      <c r="F752" s="4">
        <v>18</v>
      </c>
      <c r="G752" s="10">
        <f t="shared" si="11"/>
        <v>78.944444444444443</v>
      </c>
      <c r="H752" s="4">
        <v>2</v>
      </c>
    </row>
    <row r="753" spans="1:8" x14ac:dyDescent="0.2">
      <c r="A753" s="4">
        <v>5017</v>
      </c>
      <c r="B753" s="4" t="s">
        <v>41</v>
      </c>
      <c r="C753" s="4" t="s">
        <v>44</v>
      </c>
      <c r="D753" s="4">
        <f>VLOOKUP(A753,Orders!$A:$E,5,FALSE)</f>
        <v>7</v>
      </c>
      <c r="E753" s="4">
        <v>437</v>
      </c>
      <c r="F753" s="4">
        <v>12</v>
      </c>
      <c r="G753" s="10">
        <f t="shared" si="11"/>
        <v>36.416666666666664</v>
      </c>
      <c r="H753" s="4">
        <v>3</v>
      </c>
    </row>
    <row r="754" spans="1:8" x14ac:dyDescent="0.2">
      <c r="A754" s="4">
        <v>5026</v>
      </c>
      <c r="B754" s="4" t="s">
        <v>41</v>
      </c>
      <c r="C754" s="4" t="s">
        <v>44</v>
      </c>
      <c r="D754" s="4">
        <f>VLOOKUP(A754,Orders!$A:$E,5,FALSE)</f>
        <v>8</v>
      </c>
      <c r="E754" s="4">
        <v>1177</v>
      </c>
      <c r="F754" s="4">
        <v>18</v>
      </c>
      <c r="G754" s="10">
        <f t="shared" si="11"/>
        <v>65.388888888888886</v>
      </c>
      <c r="H754" s="4">
        <v>3</v>
      </c>
    </row>
    <row r="755" spans="1:8" x14ac:dyDescent="0.2">
      <c r="A755" s="4">
        <v>5042</v>
      </c>
      <c r="B755" s="4" t="s">
        <v>41</v>
      </c>
      <c r="C755" s="4" t="s">
        <v>44</v>
      </c>
      <c r="D755" s="4">
        <f>VLOOKUP(A755,Orders!$A:$E,5,FALSE)</f>
        <v>6</v>
      </c>
      <c r="E755" s="4">
        <v>1074</v>
      </c>
      <c r="F755" s="4">
        <v>18</v>
      </c>
      <c r="G755" s="10">
        <f t="shared" si="11"/>
        <v>59.666666666666664</v>
      </c>
      <c r="H755" s="4">
        <v>2</v>
      </c>
    </row>
    <row r="756" spans="1:8" x14ac:dyDescent="0.2">
      <c r="A756" s="4">
        <v>5048</v>
      </c>
      <c r="B756" s="4" t="s">
        <v>41</v>
      </c>
      <c r="C756" s="4" t="s">
        <v>44</v>
      </c>
      <c r="D756" s="4">
        <f>VLOOKUP(A756,Orders!$A:$E,5,FALSE)</f>
        <v>4</v>
      </c>
      <c r="E756" s="4">
        <v>1854</v>
      </c>
      <c r="F756" s="4">
        <v>2</v>
      </c>
      <c r="G756" s="10">
        <f t="shared" si="11"/>
        <v>927</v>
      </c>
      <c r="H756" s="4">
        <v>3</v>
      </c>
    </row>
    <row r="757" spans="1:8" x14ac:dyDescent="0.2">
      <c r="A757" s="4">
        <v>5074</v>
      </c>
      <c r="B757" s="4" t="s">
        <v>41</v>
      </c>
      <c r="C757" s="4" t="s">
        <v>44</v>
      </c>
      <c r="D757" s="4">
        <f>VLOOKUP(A757,Orders!$A:$E,5,FALSE)</f>
        <v>3</v>
      </c>
      <c r="E757" s="4">
        <v>26</v>
      </c>
      <c r="F757" s="4">
        <v>15</v>
      </c>
      <c r="G757" s="10">
        <f t="shared" si="11"/>
        <v>1.7333333333333334</v>
      </c>
      <c r="H757" s="4">
        <v>1</v>
      </c>
    </row>
    <row r="758" spans="1:8" x14ac:dyDescent="0.2">
      <c r="A758" s="4">
        <v>5126</v>
      </c>
      <c r="B758" s="4" t="s">
        <v>41</v>
      </c>
      <c r="C758" s="4" t="s">
        <v>44</v>
      </c>
      <c r="D758" s="4">
        <f>VLOOKUP(A758,Orders!$A:$E,5,FALSE)</f>
        <v>6</v>
      </c>
      <c r="E758" s="4">
        <v>424</v>
      </c>
      <c r="F758" s="4">
        <v>16</v>
      </c>
      <c r="G758" s="10">
        <f t="shared" si="11"/>
        <v>26.5</v>
      </c>
      <c r="H758" s="4">
        <v>1</v>
      </c>
    </row>
    <row r="759" spans="1:8" x14ac:dyDescent="0.2">
      <c r="A759" s="4">
        <v>5145</v>
      </c>
      <c r="B759" s="4" t="s">
        <v>41</v>
      </c>
      <c r="C759" s="4" t="s">
        <v>44</v>
      </c>
      <c r="D759" s="4">
        <f>VLOOKUP(A759,Orders!$A:$E,5,FALSE)</f>
        <v>7</v>
      </c>
      <c r="E759" s="4">
        <v>1652</v>
      </c>
      <c r="F759" s="4">
        <v>18</v>
      </c>
      <c r="G759" s="10">
        <f t="shared" si="11"/>
        <v>91.777777777777771</v>
      </c>
      <c r="H759" s="4">
        <v>3</v>
      </c>
    </row>
    <row r="760" spans="1:8" x14ac:dyDescent="0.2">
      <c r="A760" s="4">
        <v>5152</v>
      </c>
      <c r="B760" s="4" t="s">
        <v>41</v>
      </c>
      <c r="C760" s="4" t="s">
        <v>44</v>
      </c>
      <c r="D760" s="4">
        <f>VLOOKUP(A760,Orders!$A:$E,5,FALSE)</f>
        <v>3</v>
      </c>
      <c r="E760" s="4">
        <v>1167</v>
      </c>
      <c r="F760" s="4">
        <v>14</v>
      </c>
      <c r="G760" s="10">
        <f t="shared" si="11"/>
        <v>83.357142857142861</v>
      </c>
      <c r="H760" s="4">
        <v>2</v>
      </c>
    </row>
    <row r="761" spans="1:8" x14ac:dyDescent="0.2">
      <c r="A761" s="4">
        <v>5161</v>
      </c>
      <c r="B761" s="4" t="s">
        <v>41</v>
      </c>
      <c r="C761" s="4" t="s">
        <v>44</v>
      </c>
      <c r="D761" s="4">
        <f>VLOOKUP(A761,Orders!$A:$E,5,FALSE)</f>
        <v>7</v>
      </c>
      <c r="E761" s="4">
        <v>925</v>
      </c>
      <c r="F761" s="4">
        <v>13</v>
      </c>
      <c r="G761" s="10">
        <f t="shared" si="11"/>
        <v>71.15384615384616</v>
      </c>
      <c r="H761" s="4">
        <v>3</v>
      </c>
    </row>
    <row r="762" spans="1:8" x14ac:dyDescent="0.2">
      <c r="A762" s="4">
        <v>5183</v>
      </c>
      <c r="B762" s="4" t="s">
        <v>41</v>
      </c>
      <c r="C762" s="4" t="s">
        <v>44</v>
      </c>
      <c r="D762" s="4">
        <f>VLOOKUP(A762,Orders!$A:$E,5,FALSE)</f>
        <v>3</v>
      </c>
      <c r="E762" s="4">
        <v>1635</v>
      </c>
      <c r="F762" s="4">
        <v>2</v>
      </c>
      <c r="G762" s="10">
        <f t="shared" si="11"/>
        <v>817.5</v>
      </c>
      <c r="H762" s="4">
        <v>1</v>
      </c>
    </row>
    <row r="763" spans="1:8" x14ac:dyDescent="0.2">
      <c r="A763" s="4">
        <v>5248</v>
      </c>
      <c r="B763" s="4" t="s">
        <v>41</v>
      </c>
      <c r="C763" s="4" t="s">
        <v>44</v>
      </c>
      <c r="D763" s="4">
        <f>VLOOKUP(A763,Orders!$A:$E,5,FALSE)</f>
        <v>9</v>
      </c>
      <c r="E763" s="4">
        <v>1508</v>
      </c>
      <c r="F763" s="4">
        <v>6</v>
      </c>
      <c r="G763" s="10">
        <f t="shared" si="11"/>
        <v>251.33333333333334</v>
      </c>
      <c r="H763" s="4">
        <v>3</v>
      </c>
    </row>
    <row r="764" spans="1:8" x14ac:dyDescent="0.2">
      <c r="A764" s="4">
        <v>5252</v>
      </c>
      <c r="B764" s="4" t="s">
        <v>41</v>
      </c>
      <c r="C764" s="4" t="s">
        <v>44</v>
      </c>
      <c r="D764" s="4">
        <f>VLOOKUP(A764,Orders!$A:$E,5,FALSE)</f>
        <v>8</v>
      </c>
      <c r="E764" s="4">
        <v>1267</v>
      </c>
      <c r="F764" s="4">
        <v>22</v>
      </c>
      <c r="G764" s="10">
        <f t="shared" si="11"/>
        <v>57.590909090909093</v>
      </c>
      <c r="H764" s="4">
        <v>1</v>
      </c>
    </row>
    <row r="765" spans="1:8" x14ac:dyDescent="0.2">
      <c r="A765" s="4">
        <v>5263</v>
      </c>
      <c r="B765" s="4" t="s">
        <v>41</v>
      </c>
      <c r="C765" s="4" t="s">
        <v>44</v>
      </c>
      <c r="D765" s="4">
        <f>VLOOKUP(A765,Orders!$A:$E,5,FALSE)</f>
        <v>8</v>
      </c>
      <c r="E765" s="4">
        <v>480</v>
      </c>
      <c r="F765" s="4">
        <v>2</v>
      </c>
      <c r="G765" s="10">
        <f t="shared" si="11"/>
        <v>240</v>
      </c>
      <c r="H765" s="4">
        <v>3</v>
      </c>
    </row>
    <row r="766" spans="1:8" x14ac:dyDescent="0.2">
      <c r="A766" s="4">
        <v>5294</v>
      </c>
      <c r="B766" s="4" t="s">
        <v>41</v>
      </c>
      <c r="C766" s="4" t="s">
        <v>44</v>
      </c>
      <c r="D766" s="4">
        <f>VLOOKUP(A766,Orders!$A:$E,5,FALSE)</f>
        <v>8</v>
      </c>
      <c r="E766" s="4">
        <v>1202</v>
      </c>
      <c r="F766" s="4">
        <v>16</v>
      </c>
      <c r="G766" s="10">
        <f t="shared" si="11"/>
        <v>75.125</v>
      </c>
      <c r="H766" s="4">
        <v>2</v>
      </c>
    </row>
    <row r="767" spans="1:8" x14ac:dyDescent="0.2">
      <c r="A767" s="4">
        <v>5325</v>
      </c>
      <c r="B767" s="4" t="s">
        <v>41</v>
      </c>
      <c r="C767" s="4" t="s">
        <v>44</v>
      </c>
      <c r="D767" s="4">
        <f>VLOOKUP(A767,Orders!$A:$E,5,FALSE)</f>
        <v>9</v>
      </c>
      <c r="E767" s="4">
        <v>750</v>
      </c>
      <c r="F767" s="4">
        <v>17</v>
      </c>
      <c r="G767" s="10">
        <f t="shared" si="11"/>
        <v>44.117647058823529</v>
      </c>
      <c r="H767" s="4">
        <v>2</v>
      </c>
    </row>
    <row r="768" spans="1:8" x14ac:dyDescent="0.2">
      <c r="A768" s="4">
        <v>5326</v>
      </c>
      <c r="B768" s="4" t="s">
        <v>41</v>
      </c>
      <c r="C768" s="4" t="s">
        <v>44</v>
      </c>
      <c r="D768" s="4">
        <f>VLOOKUP(A768,Orders!$A:$E,5,FALSE)</f>
        <v>2</v>
      </c>
      <c r="E768" s="4">
        <v>1538</v>
      </c>
      <c r="F768" s="4">
        <v>8</v>
      </c>
      <c r="G768" s="10">
        <f t="shared" si="11"/>
        <v>192.25</v>
      </c>
      <c r="H768" s="4">
        <v>2</v>
      </c>
    </row>
    <row r="769" spans="1:8" x14ac:dyDescent="0.2">
      <c r="A769" s="4">
        <v>5334</v>
      </c>
      <c r="B769" s="4" t="s">
        <v>41</v>
      </c>
      <c r="C769" s="4" t="s">
        <v>44</v>
      </c>
      <c r="D769" s="4">
        <f>VLOOKUP(A769,Orders!$A:$E,5,FALSE)</f>
        <v>6</v>
      </c>
      <c r="E769" s="4">
        <v>1090</v>
      </c>
      <c r="F769" s="4">
        <v>11</v>
      </c>
      <c r="G769" s="10">
        <f t="shared" si="11"/>
        <v>99.090909090909093</v>
      </c>
      <c r="H769" s="4">
        <v>1</v>
      </c>
    </row>
    <row r="770" spans="1:8" x14ac:dyDescent="0.2">
      <c r="A770" s="4">
        <v>5384</v>
      </c>
      <c r="B770" s="4" t="s">
        <v>41</v>
      </c>
      <c r="C770" s="4" t="s">
        <v>44</v>
      </c>
      <c r="D770" s="4">
        <f>VLOOKUP(A770,Orders!$A:$E,5,FALSE)</f>
        <v>3</v>
      </c>
      <c r="E770" s="4">
        <v>1655</v>
      </c>
      <c r="F770" s="4">
        <v>18</v>
      </c>
      <c r="G770" s="10">
        <f t="shared" ref="G770:G833" si="12">E770/F770</f>
        <v>91.944444444444443</v>
      </c>
      <c r="H770" s="4">
        <v>1</v>
      </c>
    </row>
    <row r="771" spans="1:8" x14ac:dyDescent="0.2">
      <c r="A771" s="4">
        <v>5395</v>
      </c>
      <c r="B771" s="4" t="s">
        <v>41</v>
      </c>
      <c r="C771" s="4" t="s">
        <v>44</v>
      </c>
      <c r="D771" s="4">
        <f>VLOOKUP(A771,Orders!$A:$E,5,FALSE)</f>
        <v>7</v>
      </c>
      <c r="E771" s="4">
        <v>1126</v>
      </c>
      <c r="F771" s="4">
        <v>13</v>
      </c>
      <c r="G771" s="10">
        <f t="shared" si="12"/>
        <v>86.615384615384613</v>
      </c>
      <c r="H771" s="4">
        <v>1</v>
      </c>
    </row>
    <row r="772" spans="1:8" x14ac:dyDescent="0.2">
      <c r="A772" s="4">
        <v>5399</v>
      </c>
      <c r="B772" s="4" t="s">
        <v>41</v>
      </c>
      <c r="C772" s="4" t="s">
        <v>44</v>
      </c>
      <c r="D772" s="4">
        <f>VLOOKUP(A772,Orders!$A:$E,5,FALSE)</f>
        <v>8</v>
      </c>
      <c r="E772" s="4">
        <v>1817</v>
      </c>
      <c r="F772" s="4">
        <v>16</v>
      </c>
      <c r="G772" s="10">
        <f t="shared" si="12"/>
        <v>113.5625</v>
      </c>
      <c r="H772" s="4">
        <v>1</v>
      </c>
    </row>
    <row r="773" spans="1:8" x14ac:dyDescent="0.2">
      <c r="A773" s="4">
        <v>5412</v>
      </c>
      <c r="B773" s="4" t="s">
        <v>41</v>
      </c>
      <c r="C773" s="4" t="s">
        <v>44</v>
      </c>
      <c r="D773" s="4">
        <f>VLOOKUP(A773,Orders!$A:$E,5,FALSE)</f>
        <v>4</v>
      </c>
      <c r="E773" s="4">
        <v>1082</v>
      </c>
      <c r="F773" s="4">
        <v>6</v>
      </c>
      <c r="G773" s="10">
        <f t="shared" si="12"/>
        <v>180.33333333333334</v>
      </c>
      <c r="H773" s="4">
        <v>1</v>
      </c>
    </row>
    <row r="774" spans="1:8" x14ac:dyDescent="0.2">
      <c r="A774" s="4">
        <v>5434</v>
      </c>
      <c r="B774" s="4" t="s">
        <v>41</v>
      </c>
      <c r="C774" s="4" t="s">
        <v>44</v>
      </c>
      <c r="D774" s="4">
        <f>VLOOKUP(A774,Orders!$A:$E,5,FALSE)</f>
        <v>10</v>
      </c>
      <c r="E774" s="4">
        <v>393</v>
      </c>
      <c r="F774" s="4">
        <v>2</v>
      </c>
      <c r="G774" s="10">
        <f t="shared" si="12"/>
        <v>196.5</v>
      </c>
      <c r="H774" s="4">
        <v>1</v>
      </c>
    </row>
    <row r="775" spans="1:8" x14ac:dyDescent="0.2">
      <c r="A775" s="4">
        <v>5435</v>
      </c>
      <c r="B775" s="4" t="s">
        <v>41</v>
      </c>
      <c r="C775" s="4" t="s">
        <v>44</v>
      </c>
      <c r="D775" s="4">
        <f>VLOOKUP(A775,Orders!$A:$E,5,FALSE)</f>
        <v>7</v>
      </c>
      <c r="E775" s="4">
        <v>351</v>
      </c>
      <c r="F775" s="4">
        <v>14</v>
      </c>
      <c r="G775" s="10">
        <f t="shared" si="12"/>
        <v>25.071428571428573</v>
      </c>
      <c r="H775" s="4">
        <v>2</v>
      </c>
    </row>
    <row r="776" spans="1:8" x14ac:dyDescent="0.2">
      <c r="A776" s="4">
        <v>5498</v>
      </c>
      <c r="B776" s="4" t="s">
        <v>41</v>
      </c>
      <c r="C776" s="4" t="s">
        <v>44</v>
      </c>
      <c r="D776" s="4">
        <f>VLOOKUP(A776,Orders!$A:$E,5,FALSE)</f>
        <v>4</v>
      </c>
      <c r="E776" s="4">
        <v>211</v>
      </c>
      <c r="F776" s="4">
        <v>4</v>
      </c>
      <c r="G776" s="10">
        <f t="shared" si="12"/>
        <v>52.75</v>
      </c>
      <c r="H776" s="4">
        <v>3</v>
      </c>
    </row>
    <row r="777" spans="1:8" x14ac:dyDescent="0.2">
      <c r="A777" s="4">
        <v>5502</v>
      </c>
      <c r="B777" s="4" t="s">
        <v>41</v>
      </c>
      <c r="C777" s="4" t="s">
        <v>44</v>
      </c>
      <c r="D777" s="4">
        <f>VLOOKUP(A777,Orders!$A:$E,5,FALSE)</f>
        <v>10</v>
      </c>
      <c r="E777" s="4">
        <v>1142</v>
      </c>
      <c r="F777" s="4">
        <v>6</v>
      </c>
      <c r="G777" s="10">
        <f t="shared" si="12"/>
        <v>190.33333333333334</v>
      </c>
      <c r="H777" s="4">
        <v>3</v>
      </c>
    </row>
    <row r="778" spans="1:8" x14ac:dyDescent="0.2">
      <c r="A778" s="4">
        <v>5563</v>
      </c>
      <c r="B778" s="4" t="s">
        <v>41</v>
      </c>
      <c r="C778" s="4" t="s">
        <v>44</v>
      </c>
      <c r="D778" s="4">
        <f>VLOOKUP(A778,Orders!$A:$E,5,FALSE)</f>
        <v>8</v>
      </c>
      <c r="E778" s="4">
        <v>222</v>
      </c>
      <c r="F778" s="4">
        <v>16</v>
      </c>
      <c r="G778" s="10">
        <f t="shared" si="12"/>
        <v>13.875</v>
      </c>
      <c r="H778" s="4">
        <v>1</v>
      </c>
    </row>
    <row r="779" spans="1:8" x14ac:dyDescent="0.2">
      <c r="A779" s="4">
        <v>5583</v>
      </c>
      <c r="B779" s="4" t="s">
        <v>41</v>
      </c>
      <c r="C779" s="4" t="s">
        <v>44</v>
      </c>
      <c r="D779" s="4">
        <f>VLOOKUP(A779,Orders!$A:$E,5,FALSE)</f>
        <v>6</v>
      </c>
      <c r="E779" s="4">
        <v>97</v>
      </c>
      <c r="F779" s="4">
        <v>14</v>
      </c>
      <c r="G779" s="10">
        <f t="shared" si="12"/>
        <v>6.9285714285714288</v>
      </c>
      <c r="H779" s="4">
        <v>1</v>
      </c>
    </row>
    <row r="780" spans="1:8" x14ac:dyDescent="0.2">
      <c r="A780" s="4">
        <v>5586</v>
      </c>
      <c r="B780" s="4" t="s">
        <v>41</v>
      </c>
      <c r="C780" s="4" t="s">
        <v>44</v>
      </c>
      <c r="D780" s="4">
        <f>VLOOKUP(A780,Orders!$A:$E,5,FALSE)</f>
        <v>6</v>
      </c>
      <c r="E780" s="4">
        <v>1593</v>
      </c>
      <c r="F780" s="4">
        <v>8</v>
      </c>
      <c r="G780" s="10">
        <f t="shared" si="12"/>
        <v>199.125</v>
      </c>
      <c r="H780" s="4">
        <v>3</v>
      </c>
    </row>
    <row r="781" spans="1:8" x14ac:dyDescent="0.2">
      <c r="A781" s="4">
        <v>5591</v>
      </c>
      <c r="B781" s="4" t="s">
        <v>41</v>
      </c>
      <c r="C781" s="4" t="s">
        <v>44</v>
      </c>
      <c r="D781" s="4">
        <f>VLOOKUP(A781,Orders!$A:$E,5,FALSE)</f>
        <v>10</v>
      </c>
      <c r="E781" s="4">
        <v>396</v>
      </c>
      <c r="F781" s="4">
        <v>22</v>
      </c>
      <c r="G781" s="10">
        <f t="shared" si="12"/>
        <v>18</v>
      </c>
      <c r="H781" s="4">
        <v>1</v>
      </c>
    </row>
    <row r="782" spans="1:8" x14ac:dyDescent="0.2">
      <c r="A782" s="4">
        <v>5617</v>
      </c>
      <c r="B782" s="4" t="s">
        <v>41</v>
      </c>
      <c r="C782" s="4" t="s">
        <v>44</v>
      </c>
      <c r="D782" s="4">
        <f>VLOOKUP(A782,Orders!$A:$E,5,FALSE)</f>
        <v>7</v>
      </c>
      <c r="E782" s="4">
        <v>464</v>
      </c>
      <c r="F782" s="4">
        <v>12</v>
      </c>
      <c r="G782" s="10">
        <f t="shared" si="12"/>
        <v>38.666666666666664</v>
      </c>
      <c r="H782" s="4">
        <v>3</v>
      </c>
    </row>
    <row r="783" spans="1:8" x14ac:dyDescent="0.2">
      <c r="A783" s="4">
        <v>5644</v>
      </c>
      <c r="B783" s="4" t="s">
        <v>41</v>
      </c>
      <c r="C783" s="4" t="s">
        <v>44</v>
      </c>
      <c r="D783" s="4">
        <f>VLOOKUP(A783,Orders!$A:$E,5,FALSE)</f>
        <v>10</v>
      </c>
      <c r="E783" s="4">
        <v>1454</v>
      </c>
      <c r="F783" s="4">
        <v>11</v>
      </c>
      <c r="G783" s="10">
        <f t="shared" si="12"/>
        <v>132.18181818181819</v>
      </c>
      <c r="H783" s="4">
        <v>2</v>
      </c>
    </row>
    <row r="784" spans="1:8" x14ac:dyDescent="0.2">
      <c r="A784" s="4">
        <v>5658</v>
      </c>
      <c r="B784" s="4" t="s">
        <v>41</v>
      </c>
      <c r="C784" s="4" t="s">
        <v>44</v>
      </c>
      <c r="D784" s="4">
        <f>VLOOKUP(A784,Orders!$A:$E,5,FALSE)</f>
        <v>8</v>
      </c>
      <c r="E784" s="4">
        <v>1213</v>
      </c>
      <c r="F784" s="4">
        <v>22</v>
      </c>
      <c r="G784" s="10">
        <f t="shared" si="12"/>
        <v>55.136363636363633</v>
      </c>
      <c r="H784" s="4">
        <v>2</v>
      </c>
    </row>
    <row r="785" spans="1:8" x14ac:dyDescent="0.2">
      <c r="A785" s="4">
        <v>5667</v>
      </c>
      <c r="B785" s="4" t="s">
        <v>41</v>
      </c>
      <c r="C785" s="4" t="s">
        <v>44</v>
      </c>
      <c r="D785" s="4">
        <f>VLOOKUP(A785,Orders!$A:$E,5,FALSE)</f>
        <v>5</v>
      </c>
      <c r="E785" s="4">
        <v>424</v>
      </c>
      <c r="F785" s="4">
        <v>10</v>
      </c>
      <c r="G785" s="10">
        <f t="shared" si="12"/>
        <v>42.4</v>
      </c>
      <c r="H785" s="4">
        <v>1</v>
      </c>
    </row>
    <row r="786" spans="1:8" x14ac:dyDescent="0.2">
      <c r="A786" s="4">
        <v>5735</v>
      </c>
      <c r="B786" s="4" t="s">
        <v>41</v>
      </c>
      <c r="C786" s="4" t="s">
        <v>44</v>
      </c>
      <c r="D786" s="4">
        <f>VLOOKUP(A786,Orders!$A:$E,5,FALSE)</f>
        <v>3</v>
      </c>
      <c r="E786" s="4">
        <v>938</v>
      </c>
      <c r="F786" s="4">
        <v>7</v>
      </c>
      <c r="G786" s="10">
        <f t="shared" si="12"/>
        <v>134</v>
      </c>
      <c r="H786" s="4">
        <v>1</v>
      </c>
    </row>
    <row r="787" spans="1:8" x14ac:dyDescent="0.2">
      <c r="A787" s="4">
        <v>5743</v>
      </c>
      <c r="B787" s="4" t="s">
        <v>41</v>
      </c>
      <c r="C787" s="4" t="s">
        <v>44</v>
      </c>
      <c r="D787" s="4">
        <f>VLOOKUP(A787,Orders!$A:$E,5,FALSE)</f>
        <v>5</v>
      </c>
      <c r="E787" s="4">
        <v>490</v>
      </c>
      <c r="F787" s="4">
        <v>20</v>
      </c>
      <c r="G787" s="10">
        <f t="shared" si="12"/>
        <v>24.5</v>
      </c>
      <c r="H787" s="4">
        <v>2</v>
      </c>
    </row>
    <row r="788" spans="1:8" x14ac:dyDescent="0.2">
      <c r="A788" s="4">
        <v>5769</v>
      </c>
      <c r="B788" s="4" t="s">
        <v>41</v>
      </c>
      <c r="C788" s="4" t="s">
        <v>44</v>
      </c>
      <c r="D788" s="4">
        <f>VLOOKUP(A788,Orders!$A:$E,5,FALSE)</f>
        <v>9</v>
      </c>
      <c r="E788" s="4">
        <v>952</v>
      </c>
      <c r="F788" s="4">
        <v>20</v>
      </c>
      <c r="G788" s="10">
        <f t="shared" si="12"/>
        <v>47.6</v>
      </c>
      <c r="H788" s="4">
        <v>3</v>
      </c>
    </row>
    <row r="789" spans="1:8" x14ac:dyDescent="0.2">
      <c r="A789" s="4">
        <v>5816</v>
      </c>
      <c r="B789" s="4" t="s">
        <v>41</v>
      </c>
      <c r="C789" s="4" t="s">
        <v>44</v>
      </c>
      <c r="D789" s="4">
        <f>VLOOKUP(A789,Orders!$A:$E,5,FALSE)</f>
        <v>7</v>
      </c>
      <c r="E789" s="4">
        <v>1235</v>
      </c>
      <c r="F789" s="4">
        <v>23</v>
      </c>
      <c r="G789" s="10">
        <f t="shared" si="12"/>
        <v>53.695652173913047</v>
      </c>
      <c r="H789" s="4">
        <v>1</v>
      </c>
    </row>
    <row r="790" spans="1:8" x14ac:dyDescent="0.2">
      <c r="A790" s="4">
        <v>5845</v>
      </c>
      <c r="B790" s="4" t="s">
        <v>41</v>
      </c>
      <c r="C790" s="4" t="s">
        <v>44</v>
      </c>
      <c r="D790" s="4">
        <f>VLOOKUP(A790,Orders!$A:$E,5,FALSE)</f>
        <v>10</v>
      </c>
      <c r="E790" s="4">
        <v>1386</v>
      </c>
      <c r="F790" s="4">
        <v>6</v>
      </c>
      <c r="G790" s="10">
        <f t="shared" si="12"/>
        <v>231</v>
      </c>
      <c r="H790" s="4">
        <v>3</v>
      </c>
    </row>
    <row r="791" spans="1:8" x14ac:dyDescent="0.2">
      <c r="A791" s="4">
        <v>5850</v>
      </c>
      <c r="B791" s="4" t="s">
        <v>41</v>
      </c>
      <c r="C791" s="4" t="s">
        <v>44</v>
      </c>
      <c r="D791" s="4">
        <f>VLOOKUP(A791,Orders!$A:$E,5,FALSE)</f>
        <v>3</v>
      </c>
      <c r="E791" s="4">
        <v>1395</v>
      </c>
      <c r="F791" s="4">
        <v>13</v>
      </c>
      <c r="G791" s="10">
        <f t="shared" si="12"/>
        <v>107.30769230769231</v>
      </c>
      <c r="H791" s="4">
        <v>2</v>
      </c>
    </row>
    <row r="792" spans="1:8" x14ac:dyDescent="0.2">
      <c r="A792" s="4">
        <v>5888</v>
      </c>
      <c r="B792" s="4" t="s">
        <v>41</v>
      </c>
      <c r="C792" s="4" t="s">
        <v>44</v>
      </c>
      <c r="D792" s="4">
        <f>VLOOKUP(A792,Orders!$A:$E,5,FALSE)</f>
        <v>2</v>
      </c>
      <c r="E792" s="4">
        <v>206</v>
      </c>
      <c r="F792" s="4">
        <v>20</v>
      </c>
      <c r="G792" s="10">
        <f t="shared" si="12"/>
        <v>10.3</v>
      </c>
      <c r="H792" s="4">
        <v>3</v>
      </c>
    </row>
    <row r="793" spans="1:8" x14ac:dyDescent="0.2">
      <c r="A793" s="4">
        <v>5917</v>
      </c>
      <c r="B793" s="4" t="s">
        <v>41</v>
      </c>
      <c r="C793" s="4" t="s">
        <v>44</v>
      </c>
      <c r="D793" s="4">
        <f>VLOOKUP(A793,Orders!$A:$E,5,FALSE)</f>
        <v>2</v>
      </c>
      <c r="E793" s="4">
        <v>610</v>
      </c>
      <c r="F793" s="4">
        <v>19</v>
      </c>
      <c r="G793" s="10">
        <f t="shared" si="12"/>
        <v>32.10526315789474</v>
      </c>
      <c r="H793" s="4">
        <v>2</v>
      </c>
    </row>
    <row r="794" spans="1:8" x14ac:dyDescent="0.2">
      <c r="A794" s="4">
        <v>5932</v>
      </c>
      <c r="B794" s="4" t="s">
        <v>41</v>
      </c>
      <c r="C794" s="4" t="s">
        <v>44</v>
      </c>
      <c r="D794" s="4">
        <f>VLOOKUP(A794,Orders!$A:$E,5,FALSE)</f>
        <v>9</v>
      </c>
      <c r="E794" s="4">
        <v>170</v>
      </c>
      <c r="F794" s="4">
        <v>21</v>
      </c>
      <c r="G794" s="10">
        <f t="shared" si="12"/>
        <v>8.0952380952380949</v>
      </c>
      <c r="H794" s="4">
        <v>2</v>
      </c>
    </row>
    <row r="795" spans="1:8" x14ac:dyDescent="0.2">
      <c r="A795" s="4">
        <v>5938</v>
      </c>
      <c r="B795" s="4" t="s">
        <v>41</v>
      </c>
      <c r="C795" s="4" t="s">
        <v>44</v>
      </c>
      <c r="D795" s="4">
        <f>VLOOKUP(A795,Orders!$A:$E,5,FALSE)</f>
        <v>5</v>
      </c>
      <c r="E795" s="4">
        <v>1870</v>
      </c>
      <c r="F795" s="4">
        <v>16</v>
      </c>
      <c r="G795" s="10">
        <f t="shared" si="12"/>
        <v>116.875</v>
      </c>
      <c r="H795" s="4">
        <v>2</v>
      </c>
    </row>
    <row r="796" spans="1:8" x14ac:dyDescent="0.2">
      <c r="A796" s="4">
        <v>5941</v>
      </c>
      <c r="B796" s="4" t="s">
        <v>41</v>
      </c>
      <c r="C796" s="4" t="s">
        <v>44</v>
      </c>
      <c r="D796" s="4">
        <f>VLOOKUP(A796,Orders!$A:$E,5,FALSE)</f>
        <v>4</v>
      </c>
      <c r="E796" s="4">
        <v>1960</v>
      </c>
      <c r="F796" s="4">
        <v>6</v>
      </c>
      <c r="G796" s="10">
        <f t="shared" si="12"/>
        <v>326.66666666666669</v>
      </c>
      <c r="H796" s="4">
        <v>3</v>
      </c>
    </row>
    <row r="797" spans="1:8" x14ac:dyDescent="0.2">
      <c r="A797" s="4">
        <v>5983</v>
      </c>
      <c r="B797" s="4" t="s">
        <v>41</v>
      </c>
      <c r="C797" s="4" t="s">
        <v>44</v>
      </c>
      <c r="D797" s="4">
        <f>VLOOKUP(A797,Orders!$A:$E,5,FALSE)</f>
        <v>3</v>
      </c>
      <c r="E797" s="4">
        <v>616</v>
      </c>
      <c r="F797" s="4">
        <v>13</v>
      </c>
      <c r="G797" s="10">
        <f t="shared" si="12"/>
        <v>47.384615384615387</v>
      </c>
      <c r="H797" s="4">
        <v>3</v>
      </c>
    </row>
    <row r="798" spans="1:8" x14ac:dyDescent="0.2">
      <c r="A798" s="4">
        <v>5997</v>
      </c>
      <c r="B798" s="4" t="s">
        <v>41</v>
      </c>
      <c r="C798" s="4" t="s">
        <v>44</v>
      </c>
      <c r="D798" s="4">
        <f>VLOOKUP(A798,Orders!$A:$E,5,FALSE)</f>
        <v>6</v>
      </c>
      <c r="E798" s="4">
        <v>240</v>
      </c>
      <c r="F798" s="4">
        <v>16</v>
      </c>
      <c r="G798" s="10">
        <f t="shared" si="12"/>
        <v>15</v>
      </c>
      <c r="H798" s="4">
        <v>1</v>
      </c>
    </row>
    <row r="799" spans="1:8" x14ac:dyDescent="0.2">
      <c r="A799" s="4">
        <v>6009</v>
      </c>
      <c r="B799" s="4" t="s">
        <v>41</v>
      </c>
      <c r="C799" s="4" t="s">
        <v>44</v>
      </c>
      <c r="D799" s="4">
        <f>VLOOKUP(A799,Orders!$A:$E,5,FALSE)</f>
        <v>7</v>
      </c>
      <c r="E799" s="4">
        <v>511</v>
      </c>
      <c r="F799" s="4">
        <v>18</v>
      </c>
      <c r="G799" s="10">
        <f t="shared" si="12"/>
        <v>28.388888888888889</v>
      </c>
      <c r="H799" s="4">
        <v>3</v>
      </c>
    </row>
    <row r="800" spans="1:8" x14ac:dyDescent="0.2">
      <c r="A800" s="4">
        <v>6041</v>
      </c>
      <c r="B800" s="4" t="s">
        <v>41</v>
      </c>
      <c r="C800" s="4" t="s">
        <v>44</v>
      </c>
      <c r="D800" s="4">
        <f>VLOOKUP(A800,Orders!$A:$E,5,FALSE)</f>
        <v>10</v>
      </c>
      <c r="E800" s="4">
        <v>318</v>
      </c>
      <c r="F800" s="4">
        <v>12</v>
      </c>
      <c r="G800" s="10">
        <f t="shared" si="12"/>
        <v>26.5</v>
      </c>
      <c r="H800" s="4">
        <v>1</v>
      </c>
    </row>
    <row r="801" spans="1:8" x14ac:dyDescent="0.2">
      <c r="A801" s="4">
        <v>6052</v>
      </c>
      <c r="B801" s="4" t="s">
        <v>41</v>
      </c>
      <c r="C801" s="4" t="s">
        <v>44</v>
      </c>
      <c r="D801" s="4">
        <f>VLOOKUP(A801,Orders!$A:$E,5,FALSE)</f>
        <v>6</v>
      </c>
      <c r="E801" s="4">
        <v>989</v>
      </c>
      <c r="F801" s="4">
        <v>17</v>
      </c>
      <c r="G801" s="10">
        <f t="shared" si="12"/>
        <v>58.176470588235297</v>
      </c>
      <c r="H801" s="4">
        <v>3</v>
      </c>
    </row>
    <row r="802" spans="1:8" x14ac:dyDescent="0.2">
      <c r="A802" s="4">
        <v>6083</v>
      </c>
      <c r="B802" s="4" t="s">
        <v>41</v>
      </c>
      <c r="C802" s="4" t="s">
        <v>44</v>
      </c>
      <c r="D802" s="4">
        <f>VLOOKUP(A802,Orders!$A:$E,5,FALSE)</f>
        <v>4</v>
      </c>
      <c r="E802" s="4">
        <v>291</v>
      </c>
      <c r="F802" s="4">
        <v>24</v>
      </c>
      <c r="G802" s="10">
        <f t="shared" si="12"/>
        <v>12.125</v>
      </c>
      <c r="H802" s="4">
        <v>1</v>
      </c>
    </row>
    <row r="803" spans="1:8" x14ac:dyDescent="0.2">
      <c r="A803" s="4">
        <v>6106</v>
      </c>
      <c r="B803" s="4" t="s">
        <v>41</v>
      </c>
      <c r="C803" s="4" t="s">
        <v>44</v>
      </c>
      <c r="D803" s="4">
        <f>VLOOKUP(A803,Orders!$A:$E,5,FALSE)</f>
        <v>10</v>
      </c>
      <c r="E803" s="4">
        <v>1860</v>
      </c>
      <c r="F803" s="4">
        <v>11</v>
      </c>
      <c r="G803" s="10">
        <f t="shared" si="12"/>
        <v>169.09090909090909</v>
      </c>
      <c r="H803" s="4">
        <v>2</v>
      </c>
    </row>
    <row r="804" spans="1:8" x14ac:dyDescent="0.2">
      <c r="A804" s="4">
        <v>6108</v>
      </c>
      <c r="B804" s="4" t="s">
        <v>41</v>
      </c>
      <c r="C804" s="4" t="s">
        <v>44</v>
      </c>
      <c r="D804" s="4">
        <f>VLOOKUP(A804,Orders!$A:$E,5,FALSE)</f>
        <v>8</v>
      </c>
      <c r="E804" s="4">
        <v>1983</v>
      </c>
      <c r="F804" s="4">
        <v>2</v>
      </c>
      <c r="G804" s="10">
        <f t="shared" si="12"/>
        <v>991.5</v>
      </c>
      <c r="H804" s="4">
        <v>2</v>
      </c>
    </row>
    <row r="805" spans="1:8" x14ac:dyDescent="0.2">
      <c r="A805" s="4">
        <v>6140</v>
      </c>
      <c r="B805" s="4" t="s">
        <v>41</v>
      </c>
      <c r="C805" s="4" t="s">
        <v>44</v>
      </c>
      <c r="D805" s="4">
        <f>VLOOKUP(A805,Orders!$A:$E,5,FALSE)</f>
        <v>6</v>
      </c>
      <c r="E805" s="4">
        <v>870</v>
      </c>
      <c r="F805" s="4">
        <v>5</v>
      </c>
      <c r="G805" s="10">
        <f t="shared" si="12"/>
        <v>174</v>
      </c>
      <c r="H805" s="4">
        <v>2</v>
      </c>
    </row>
    <row r="806" spans="1:8" x14ac:dyDescent="0.2">
      <c r="A806" s="4">
        <v>6147</v>
      </c>
      <c r="B806" s="4" t="s">
        <v>41</v>
      </c>
      <c r="C806" s="4" t="s">
        <v>44</v>
      </c>
      <c r="D806" s="4">
        <f>VLOOKUP(A806,Orders!$A:$E,5,FALSE)</f>
        <v>3</v>
      </c>
      <c r="E806" s="4">
        <v>1864</v>
      </c>
      <c r="F806" s="4">
        <v>3</v>
      </c>
      <c r="G806" s="10">
        <f t="shared" si="12"/>
        <v>621.33333333333337</v>
      </c>
      <c r="H806" s="4">
        <v>1</v>
      </c>
    </row>
    <row r="807" spans="1:8" x14ac:dyDescent="0.2">
      <c r="A807" s="4">
        <v>6151</v>
      </c>
      <c r="B807" s="4" t="s">
        <v>41</v>
      </c>
      <c r="C807" s="4" t="s">
        <v>44</v>
      </c>
      <c r="D807" s="4">
        <f>VLOOKUP(A807,Orders!$A:$E,5,FALSE)</f>
        <v>2</v>
      </c>
      <c r="E807" s="4">
        <v>1123</v>
      </c>
      <c r="F807" s="4">
        <v>19</v>
      </c>
      <c r="G807" s="10">
        <f t="shared" si="12"/>
        <v>59.10526315789474</v>
      </c>
      <c r="H807" s="4">
        <v>1</v>
      </c>
    </row>
    <row r="808" spans="1:8" x14ac:dyDescent="0.2">
      <c r="A808" s="4">
        <v>6155</v>
      </c>
      <c r="B808" s="4" t="s">
        <v>41</v>
      </c>
      <c r="C808" s="4" t="s">
        <v>44</v>
      </c>
      <c r="D808" s="4">
        <f>VLOOKUP(A808,Orders!$A:$E,5,FALSE)</f>
        <v>3</v>
      </c>
      <c r="E808" s="4">
        <v>1299</v>
      </c>
      <c r="F808" s="4">
        <v>16</v>
      </c>
      <c r="G808" s="10">
        <f t="shared" si="12"/>
        <v>81.1875</v>
      </c>
      <c r="H808" s="4">
        <v>1</v>
      </c>
    </row>
    <row r="809" spans="1:8" x14ac:dyDescent="0.2">
      <c r="A809" s="4">
        <v>6163</v>
      </c>
      <c r="B809" s="4" t="s">
        <v>41</v>
      </c>
      <c r="C809" s="4" t="s">
        <v>44</v>
      </c>
      <c r="D809" s="4">
        <f>VLOOKUP(A809,Orders!$A:$E,5,FALSE)</f>
        <v>6</v>
      </c>
      <c r="E809" s="4">
        <v>743</v>
      </c>
      <c r="F809" s="4">
        <v>12</v>
      </c>
      <c r="G809" s="10">
        <f t="shared" si="12"/>
        <v>61.916666666666664</v>
      </c>
      <c r="H809" s="4">
        <v>2</v>
      </c>
    </row>
    <row r="810" spans="1:8" x14ac:dyDescent="0.2">
      <c r="A810" s="4">
        <v>6185</v>
      </c>
      <c r="B810" s="4" t="s">
        <v>41</v>
      </c>
      <c r="C810" s="4" t="s">
        <v>44</v>
      </c>
      <c r="D810" s="4">
        <f>VLOOKUP(A810,Orders!$A:$E,5,FALSE)</f>
        <v>7</v>
      </c>
      <c r="E810" s="4">
        <v>1446</v>
      </c>
      <c r="F810" s="4">
        <v>14</v>
      </c>
      <c r="G810" s="10">
        <f t="shared" si="12"/>
        <v>103.28571428571429</v>
      </c>
      <c r="H810" s="4">
        <v>3</v>
      </c>
    </row>
    <row r="811" spans="1:8" x14ac:dyDescent="0.2">
      <c r="A811" s="4">
        <v>6197</v>
      </c>
      <c r="B811" s="4" t="s">
        <v>41</v>
      </c>
      <c r="C811" s="4" t="s">
        <v>44</v>
      </c>
      <c r="D811" s="4">
        <f>VLOOKUP(A811,Orders!$A:$E,5,FALSE)</f>
        <v>5</v>
      </c>
      <c r="E811" s="4">
        <v>1516</v>
      </c>
      <c r="F811" s="4">
        <v>5</v>
      </c>
      <c r="G811" s="10">
        <f t="shared" si="12"/>
        <v>303.2</v>
      </c>
      <c r="H811" s="4">
        <v>2</v>
      </c>
    </row>
    <row r="812" spans="1:8" x14ac:dyDescent="0.2">
      <c r="A812" s="4">
        <v>6206</v>
      </c>
      <c r="B812" s="4" t="s">
        <v>41</v>
      </c>
      <c r="C812" s="4" t="s">
        <v>44</v>
      </c>
      <c r="D812" s="4">
        <f>VLOOKUP(A812,Orders!$A:$E,5,FALSE)</f>
        <v>10</v>
      </c>
      <c r="E812" s="4">
        <v>513</v>
      </c>
      <c r="F812" s="4">
        <v>20</v>
      </c>
      <c r="G812" s="10">
        <f t="shared" si="12"/>
        <v>25.65</v>
      </c>
      <c r="H812" s="4">
        <v>1</v>
      </c>
    </row>
    <row r="813" spans="1:8" x14ac:dyDescent="0.2">
      <c r="A813" s="4">
        <v>6214</v>
      </c>
      <c r="B813" s="4" t="s">
        <v>41</v>
      </c>
      <c r="C813" s="4" t="s">
        <v>44</v>
      </c>
      <c r="D813" s="4">
        <f>VLOOKUP(A813,Orders!$A:$E,5,FALSE)</f>
        <v>4</v>
      </c>
      <c r="E813" s="4">
        <v>1429</v>
      </c>
      <c r="F813" s="4">
        <v>14</v>
      </c>
      <c r="G813" s="10">
        <f t="shared" si="12"/>
        <v>102.07142857142857</v>
      </c>
      <c r="H813" s="4">
        <v>2</v>
      </c>
    </row>
    <row r="814" spans="1:8" x14ac:dyDescent="0.2">
      <c r="A814" s="4">
        <v>6222</v>
      </c>
      <c r="B814" s="4" t="s">
        <v>41</v>
      </c>
      <c r="C814" s="4" t="s">
        <v>44</v>
      </c>
      <c r="D814" s="4">
        <f>VLOOKUP(A814,Orders!$A:$E,5,FALSE)</f>
        <v>10</v>
      </c>
      <c r="E814" s="4">
        <v>1569</v>
      </c>
      <c r="F814" s="4">
        <v>15</v>
      </c>
      <c r="G814" s="10">
        <f t="shared" si="12"/>
        <v>104.6</v>
      </c>
      <c r="H814" s="4">
        <v>1</v>
      </c>
    </row>
    <row r="815" spans="1:8" x14ac:dyDescent="0.2">
      <c r="A815" s="4">
        <v>6269</v>
      </c>
      <c r="B815" s="4" t="s">
        <v>41</v>
      </c>
      <c r="C815" s="4" t="s">
        <v>44</v>
      </c>
      <c r="D815" s="4">
        <f>VLOOKUP(A815,Orders!$A:$E,5,FALSE)</f>
        <v>5</v>
      </c>
      <c r="E815" s="4">
        <v>1589</v>
      </c>
      <c r="F815" s="4">
        <v>8</v>
      </c>
      <c r="G815" s="10">
        <f t="shared" si="12"/>
        <v>198.625</v>
      </c>
      <c r="H815" s="4">
        <v>3</v>
      </c>
    </row>
    <row r="816" spans="1:8" x14ac:dyDescent="0.2">
      <c r="A816" s="4">
        <v>6294</v>
      </c>
      <c r="B816" s="4" t="s">
        <v>41</v>
      </c>
      <c r="C816" s="4" t="s">
        <v>44</v>
      </c>
      <c r="D816" s="4">
        <f>VLOOKUP(A816,Orders!$A:$E,5,FALSE)</f>
        <v>2</v>
      </c>
      <c r="E816" s="4">
        <v>1759</v>
      </c>
      <c r="F816" s="4">
        <v>7</v>
      </c>
      <c r="G816" s="10">
        <f t="shared" si="12"/>
        <v>251.28571428571428</v>
      </c>
      <c r="H816" s="4">
        <v>3</v>
      </c>
    </row>
    <row r="817" spans="1:8" x14ac:dyDescent="0.2">
      <c r="A817" s="4">
        <v>6307</v>
      </c>
      <c r="B817" s="4" t="s">
        <v>41</v>
      </c>
      <c r="C817" s="4" t="s">
        <v>44</v>
      </c>
      <c r="D817" s="4">
        <f>VLOOKUP(A817,Orders!$A:$E,5,FALSE)</f>
        <v>2</v>
      </c>
      <c r="E817" s="4">
        <v>1328</v>
      </c>
      <c r="F817" s="4">
        <v>4</v>
      </c>
      <c r="G817" s="10">
        <f t="shared" si="12"/>
        <v>332</v>
      </c>
      <c r="H817" s="4">
        <v>2</v>
      </c>
    </row>
    <row r="818" spans="1:8" x14ac:dyDescent="0.2">
      <c r="A818" s="4">
        <v>6323</v>
      </c>
      <c r="B818" s="4" t="s">
        <v>41</v>
      </c>
      <c r="C818" s="4" t="s">
        <v>44</v>
      </c>
      <c r="D818" s="4">
        <f>VLOOKUP(A818,Orders!$A:$E,5,FALSE)</f>
        <v>7</v>
      </c>
      <c r="E818" s="4">
        <v>690</v>
      </c>
      <c r="F818" s="4">
        <v>20</v>
      </c>
      <c r="G818" s="10">
        <f t="shared" si="12"/>
        <v>34.5</v>
      </c>
      <c r="H818" s="4">
        <v>2</v>
      </c>
    </row>
    <row r="819" spans="1:8" x14ac:dyDescent="0.2">
      <c r="A819" s="4">
        <v>6345</v>
      </c>
      <c r="B819" s="4" t="s">
        <v>41</v>
      </c>
      <c r="C819" s="4" t="s">
        <v>44</v>
      </c>
      <c r="D819" s="4">
        <f>VLOOKUP(A819,Orders!$A:$E,5,FALSE)</f>
        <v>10</v>
      </c>
      <c r="E819" s="4">
        <v>592</v>
      </c>
      <c r="F819" s="4">
        <v>19</v>
      </c>
      <c r="G819" s="10">
        <f t="shared" si="12"/>
        <v>31.157894736842106</v>
      </c>
      <c r="H819" s="4">
        <v>1</v>
      </c>
    </row>
    <row r="820" spans="1:8" x14ac:dyDescent="0.2">
      <c r="A820" s="4">
        <v>6385</v>
      </c>
      <c r="B820" s="4" t="s">
        <v>41</v>
      </c>
      <c r="C820" s="4" t="s">
        <v>44</v>
      </c>
      <c r="D820" s="4">
        <f>VLOOKUP(A820,Orders!$A:$E,5,FALSE)</f>
        <v>3</v>
      </c>
      <c r="E820" s="4">
        <v>1661</v>
      </c>
      <c r="F820" s="4">
        <v>11</v>
      </c>
      <c r="G820" s="10">
        <f t="shared" si="12"/>
        <v>151</v>
      </c>
      <c r="H820" s="4">
        <v>2</v>
      </c>
    </row>
    <row r="821" spans="1:8" x14ac:dyDescent="0.2">
      <c r="A821" s="4">
        <v>6389</v>
      </c>
      <c r="B821" s="4" t="s">
        <v>41</v>
      </c>
      <c r="C821" s="4" t="s">
        <v>44</v>
      </c>
      <c r="D821" s="4">
        <f>VLOOKUP(A821,Orders!$A:$E,5,FALSE)</f>
        <v>4</v>
      </c>
      <c r="E821" s="4">
        <v>1317</v>
      </c>
      <c r="F821" s="4">
        <v>22</v>
      </c>
      <c r="G821" s="10">
        <f t="shared" si="12"/>
        <v>59.863636363636367</v>
      </c>
      <c r="H821" s="4">
        <v>2</v>
      </c>
    </row>
    <row r="822" spans="1:8" x14ac:dyDescent="0.2">
      <c r="A822" s="4">
        <v>6397</v>
      </c>
      <c r="B822" s="4" t="s">
        <v>41</v>
      </c>
      <c r="C822" s="4" t="s">
        <v>44</v>
      </c>
      <c r="D822" s="4">
        <f>VLOOKUP(A822,Orders!$A:$E,5,FALSE)</f>
        <v>10</v>
      </c>
      <c r="E822" s="4">
        <v>409</v>
      </c>
      <c r="F822" s="4">
        <v>4</v>
      </c>
      <c r="G822" s="10">
        <f t="shared" si="12"/>
        <v>102.25</v>
      </c>
      <c r="H822" s="4">
        <v>1</v>
      </c>
    </row>
    <row r="823" spans="1:8" x14ac:dyDescent="0.2">
      <c r="A823" s="4">
        <v>6428</v>
      </c>
      <c r="B823" s="4" t="s">
        <v>41</v>
      </c>
      <c r="C823" s="4" t="s">
        <v>44</v>
      </c>
      <c r="D823" s="4">
        <f>VLOOKUP(A823,Orders!$A:$E,5,FALSE)</f>
        <v>2</v>
      </c>
      <c r="E823" s="4">
        <v>1024</v>
      </c>
      <c r="F823" s="4">
        <v>24</v>
      </c>
      <c r="G823" s="10">
        <f t="shared" si="12"/>
        <v>42.666666666666664</v>
      </c>
      <c r="H823" s="4">
        <v>2</v>
      </c>
    </row>
    <row r="824" spans="1:8" x14ac:dyDescent="0.2">
      <c r="A824" s="4">
        <v>6430</v>
      </c>
      <c r="B824" s="4" t="s">
        <v>41</v>
      </c>
      <c r="C824" s="4" t="s">
        <v>44</v>
      </c>
      <c r="D824" s="4">
        <f>VLOOKUP(A824,Orders!$A:$E,5,FALSE)</f>
        <v>5</v>
      </c>
      <c r="E824" s="4">
        <v>1644</v>
      </c>
      <c r="F824" s="4">
        <v>13</v>
      </c>
      <c r="G824" s="10">
        <f t="shared" si="12"/>
        <v>126.46153846153847</v>
      </c>
      <c r="H824" s="4">
        <v>2</v>
      </c>
    </row>
    <row r="825" spans="1:8" x14ac:dyDescent="0.2">
      <c r="A825" s="4">
        <v>6431</v>
      </c>
      <c r="B825" s="4" t="s">
        <v>41</v>
      </c>
      <c r="C825" s="4" t="s">
        <v>44</v>
      </c>
      <c r="D825" s="4">
        <f>VLOOKUP(A825,Orders!$A:$E,5,FALSE)</f>
        <v>8</v>
      </c>
      <c r="E825" s="4">
        <v>374</v>
      </c>
      <c r="F825" s="4">
        <v>3</v>
      </c>
      <c r="G825" s="10">
        <f t="shared" si="12"/>
        <v>124.66666666666667</v>
      </c>
      <c r="H825" s="4">
        <v>1</v>
      </c>
    </row>
    <row r="826" spans="1:8" x14ac:dyDescent="0.2">
      <c r="A826" s="4">
        <v>6455</v>
      </c>
      <c r="B826" s="4" t="s">
        <v>41</v>
      </c>
      <c r="C826" s="4" t="s">
        <v>44</v>
      </c>
      <c r="D826" s="4">
        <f>VLOOKUP(A826,Orders!$A:$E,5,FALSE)</f>
        <v>7</v>
      </c>
      <c r="E826" s="4">
        <v>952</v>
      </c>
      <c r="F826" s="4">
        <v>22</v>
      </c>
      <c r="G826" s="10">
        <f t="shared" si="12"/>
        <v>43.272727272727273</v>
      </c>
      <c r="H826" s="4">
        <v>3</v>
      </c>
    </row>
    <row r="827" spans="1:8" x14ac:dyDescent="0.2">
      <c r="A827" s="4">
        <v>6462</v>
      </c>
      <c r="B827" s="4" t="s">
        <v>41</v>
      </c>
      <c r="C827" s="4" t="s">
        <v>44</v>
      </c>
      <c r="D827" s="4">
        <f>VLOOKUP(A827,Orders!$A:$E,5,FALSE)</f>
        <v>7</v>
      </c>
      <c r="E827" s="4">
        <v>1485</v>
      </c>
      <c r="F827" s="4">
        <v>23</v>
      </c>
      <c r="G827" s="10">
        <f t="shared" si="12"/>
        <v>64.565217391304344</v>
      </c>
      <c r="H827" s="4">
        <v>3</v>
      </c>
    </row>
    <row r="828" spans="1:8" x14ac:dyDescent="0.2">
      <c r="A828" s="4">
        <v>6472</v>
      </c>
      <c r="B828" s="4" t="s">
        <v>41</v>
      </c>
      <c r="C828" s="4" t="s">
        <v>44</v>
      </c>
      <c r="D828" s="4">
        <f>VLOOKUP(A828,Orders!$A:$E,5,FALSE)</f>
        <v>5</v>
      </c>
      <c r="E828" s="4">
        <v>1246</v>
      </c>
      <c r="F828" s="4">
        <v>21</v>
      </c>
      <c r="G828" s="10">
        <f t="shared" si="12"/>
        <v>59.333333333333336</v>
      </c>
      <c r="H828" s="4">
        <v>1</v>
      </c>
    </row>
    <row r="829" spans="1:8" x14ac:dyDescent="0.2">
      <c r="A829" s="4">
        <v>6496</v>
      </c>
      <c r="B829" s="4" t="s">
        <v>41</v>
      </c>
      <c r="C829" s="4" t="s">
        <v>44</v>
      </c>
      <c r="D829" s="4">
        <f>VLOOKUP(A829,Orders!$A:$E,5,FALSE)</f>
        <v>2</v>
      </c>
      <c r="E829" s="4">
        <v>70</v>
      </c>
      <c r="F829" s="4">
        <v>2</v>
      </c>
      <c r="G829" s="10">
        <f t="shared" si="12"/>
        <v>35</v>
      </c>
      <c r="H829" s="4">
        <v>3</v>
      </c>
    </row>
    <row r="830" spans="1:8" x14ac:dyDescent="0.2">
      <c r="A830" s="4">
        <v>5053</v>
      </c>
      <c r="B830" s="4" t="s">
        <v>47</v>
      </c>
      <c r="C830" s="4" t="s">
        <v>44</v>
      </c>
      <c r="D830" s="4">
        <f>VLOOKUP(A830,Orders!$A:$E,5,FALSE)</f>
        <v>10</v>
      </c>
      <c r="E830" s="4">
        <v>105</v>
      </c>
      <c r="F830" s="4">
        <v>8</v>
      </c>
      <c r="G830" s="10">
        <f t="shared" si="12"/>
        <v>13.125</v>
      </c>
      <c r="H830" s="4">
        <v>2</v>
      </c>
    </row>
    <row r="831" spans="1:8" x14ac:dyDescent="0.2">
      <c r="A831" s="4">
        <v>5091</v>
      </c>
      <c r="B831" s="4" t="s">
        <v>47</v>
      </c>
      <c r="C831" s="4" t="s">
        <v>44</v>
      </c>
      <c r="D831" s="4">
        <f>VLOOKUP(A831,Orders!$A:$E,5,FALSE)</f>
        <v>7</v>
      </c>
      <c r="E831" s="4">
        <v>1616</v>
      </c>
      <c r="F831" s="4">
        <v>22</v>
      </c>
      <c r="G831" s="10">
        <f t="shared" si="12"/>
        <v>73.454545454545453</v>
      </c>
      <c r="H831" s="4">
        <v>1</v>
      </c>
    </row>
    <row r="832" spans="1:8" x14ac:dyDescent="0.2">
      <c r="A832" s="4">
        <v>5134</v>
      </c>
      <c r="B832" s="4" t="s">
        <v>47</v>
      </c>
      <c r="C832" s="4" t="s">
        <v>44</v>
      </c>
      <c r="D832" s="4">
        <f>VLOOKUP(A832,Orders!$A:$E,5,FALSE)</f>
        <v>5</v>
      </c>
      <c r="E832" s="4">
        <v>1093</v>
      </c>
      <c r="F832" s="4">
        <v>24</v>
      </c>
      <c r="G832" s="10">
        <f t="shared" si="12"/>
        <v>45.541666666666664</v>
      </c>
      <c r="H832" s="4">
        <v>2</v>
      </c>
    </row>
    <row r="833" spans="1:8" x14ac:dyDescent="0.2">
      <c r="A833" s="4">
        <v>5137</v>
      </c>
      <c r="B833" s="4" t="s">
        <v>47</v>
      </c>
      <c r="C833" s="4" t="s">
        <v>44</v>
      </c>
      <c r="D833" s="4">
        <f>VLOOKUP(A833,Orders!$A:$E,5,FALSE)</f>
        <v>4</v>
      </c>
      <c r="E833" s="4">
        <v>1441</v>
      </c>
      <c r="F833" s="4">
        <v>5</v>
      </c>
      <c r="G833" s="10">
        <f t="shared" si="12"/>
        <v>288.2</v>
      </c>
      <c r="H833" s="4">
        <v>3</v>
      </c>
    </row>
    <row r="834" spans="1:8" x14ac:dyDescent="0.2">
      <c r="A834" s="4">
        <v>5148</v>
      </c>
      <c r="B834" s="4" t="s">
        <v>47</v>
      </c>
      <c r="C834" s="4" t="s">
        <v>44</v>
      </c>
      <c r="D834" s="4">
        <f>VLOOKUP(A834,Orders!$A:$E,5,FALSE)</f>
        <v>8</v>
      </c>
      <c r="E834" s="4">
        <v>207</v>
      </c>
      <c r="F834" s="4">
        <v>21</v>
      </c>
      <c r="G834" s="10">
        <f t="shared" ref="G834:G897" si="13">E834/F834</f>
        <v>9.8571428571428577</v>
      </c>
      <c r="H834" s="4">
        <v>1</v>
      </c>
    </row>
    <row r="835" spans="1:8" x14ac:dyDescent="0.2">
      <c r="A835" s="4">
        <v>5149</v>
      </c>
      <c r="B835" s="4" t="s">
        <v>47</v>
      </c>
      <c r="C835" s="4" t="s">
        <v>44</v>
      </c>
      <c r="D835" s="4">
        <f>VLOOKUP(A835,Orders!$A:$E,5,FALSE)</f>
        <v>8</v>
      </c>
      <c r="E835" s="4">
        <v>993</v>
      </c>
      <c r="F835" s="4">
        <v>2</v>
      </c>
      <c r="G835" s="10">
        <f t="shared" si="13"/>
        <v>496.5</v>
      </c>
      <c r="H835" s="4">
        <v>2</v>
      </c>
    </row>
    <row r="836" spans="1:8" x14ac:dyDescent="0.2">
      <c r="A836" s="4">
        <v>5170</v>
      </c>
      <c r="B836" s="4" t="s">
        <v>47</v>
      </c>
      <c r="C836" s="4" t="s">
        <v>44</v>
      </c>
      <c r="D836" s="4">
        <f>VLOOKUP(A836,Orders!$A:$E,5,FALSE)</f>
        <v>9</v>
      </c>
      <c r="E836" s="4">
        <v>1803</v>
      </c>
      <c r="F836" s="4">
        <v>6</v>
      </c>
      <c r="G836" s="10">
        <f t="shared" si="13"/>
        <v>300.5</v>
      </c>
      <c r="H836" s="4">
        <v>1</v>
      </c>
    </row>
    <row r="837" spans="1:8" x14ac:dyDescent="0.2">
      <c r="A837" s="4">
        <v>5185</v>
      </c>
      <c r="B837" s="4" t="s">
        <v>47</v>
      </c>
      <c r="C837" s="4" t="s">
        <v>44</v>
      </c>
      <c r="D837" s="4">
        <f>VLOOKUP(A837,Orders!$A:$E,5,FALSE)</f>
        <v>7</v>
      </c>
      <c r="E837" s="4">
        <v>655</v>
      </c>
      <c r="F837" s="4">
        <v>3</v>
      </c>
      <c r="G837" s="10">
        <f t="shared" si="13"/>
        <v>218.33333333333334</v>
      </c>
      <c r="H837" s="4">
        <v>2</v>
      </c>
    </row>
    <row r="838" spans="1:8" x14ac:dyDescent="0.2">
      <c r="A838" s="4">
        <v>5188</v>
      </c>
      <c r="B838" s="4" t="s">
        <v>47</v>
      </c>
      <c r="C838" s="4" t="s">
        <v>44</v>
      </c>
      <c r="D838" s="4">
        <f>VLOOKUP(A838,Orders!$A:$E,5,FALSE)</f>
        <v>3</v>
      </c>
      <c r="E838" s="4">
        <v>624</v>
      </c>
      <c r="F838" s="4">
        <v>10</v>
      </c>
      <c r="G838" s="10">
        <f t="shared" si="13"/>
        <v>62.4</v>
      </c>
      <c r="H838" s="4">
        <v>3</v>
      </c>
    </row>
    <row r="839" spans="1:8" x14ac:dyDescent="0.2">
      <c r="A839" s="4">
        <v>5192</v>
      </c>
      <c r="B839" s="4" t="s">
        <v>47</v>
      </c>
      <c r="C839" s="4" t="s">
        <v>44</v>
      </c>
      <c r="D839" s="4">
        <f>VLOOKUP(A839,Orders!$A:$E,5,FALSE)</f>
        <v>8</v>
      </c>
      <c r="E839" s="4">
        <v>1458</v>
      </c>
      <c r="F839" s="4">
        <v>15</v>
      </c>
      <c r="G839" s="10">
        <f t="shared" si="13"/>
        <v>97.2</v>
      </c>
      <c r="H839" s="4">
        <v>2</v>
      </c>
    </row>
    <row r="840" spans="1:8" x14ac:dyDescent="0.2">
      <c r="A840" s="4">
        <v>5212</v>
      </c>
      <c r="B840" s="4" t="s">
        <v>47</v>
      </c>
      <c r="C840" s="4" t="s">
        <v>44</v>
      </c>
      <c r="D840" s="4">
        <f>VLOOKUP(A840,Orders!$A:$E,5,FALSE)</f>
        <v>2</v>
      </c>
      <c r="E840" s="4">
        <v>1828</v>
      </c>
      <c r="F840" s="4">
        <v>7</v>
      </c>
      <c r="G840" s="10">
        <f t="shared" si="13"/>
        <v>261.14285714285717</v>
      </c>
      <c r="H840" s="4">
        <v>2</v>
      </c>
    </row>
    <row r="841" spans="1:8" x14ac:dyDescent="0.2">
      <c r="A841" s="4">
        <v>5224</v>
      </c>
      <c r="B841" s="4" t="s">
        <v>47</v>
      </c>
      <c r="C841" s="4" t="s">
        <v>44</v>
      </c>
      <c r="D841" s="4">
        <f>VLOOKUP(A841,Orders!$A:$E,5,FALSE)</f>
        <v>3</v>
      </c>
      <c r="E841" s="4">
        <v>1043</v>
      </c>
      <c r="F841" s="4">
        <v>8</v>
      </c>
      <c r="G841" s="10">
        <f t="shared" si="13"/>
        <v>130.375</v>
      </c>
      <c r="H841" s="4">
        <v>1</v>
      </c>
    </row>
    <row r="842" spans="1:8" x14ac:dyDescent="0.2">
      <c r="A842" s="4">
        <v>5287</v>
      </c>
      <c r="B842" s="4" t="s">
        <v>47</v>
      </c>
      <c r="C842" s="4" t="s">
        <v>44</v>
      </c>
      <c r="D842" s="4">
        <f>VLOOKUP(A842,Orders!$A:$E,5,FALSE)</f>
        <v>4</v>
      </c>
      <c r="E842" s="4">
        <v>1268</v>
      </c>
      <c r="F842" s="4">
        <v>21</v>
      </c>
      <c r="G842" s="10">
        <f t="shared" si="13"/>
        <v>60.38095238095238</v>
      </c>
      <c r="H842" s="4">
        <v>3</v>
      </c>
    </row>
    <row r="843" spans="1:8" x14ac:dyDescent="0.2">
      <c r="A843" s="4">
        <v>5289</v>
      </c>
      <c r="B843" s="4" t="s">
        <v>47</v>
      </c>
      <c r="C843" s="4" t="s">
        <v>44</v>
      </c>
      <c r="D843" s="4">
        <f>VLOOKUP(A843,Orders!$A:$E,5,FALSE)</f>
        <v>3</v>
      </c>
      <c r="E843" s="4">
        <v>1185</v>
      </c>
      <c r="F843" s="4">
        <v>22</v>
      </c>
      <c r="G843" s="10">
        <f t="shared" si="13"/>
        <v>53.863636363636367</v>
      </c>
      <c r="H843" s="4">
        <v>2</v>
      </c>
    </row>
    <row r="844" spans="1:8" x14ac:dyDescent="0.2">
      <c r="A844" s="4">
        <v>5306</v>
      </c>
      <c r="B844" s="4" t="s">
        <v>47</v>
      </c>
      <c r="C844" s="4" t="s">
        <v>44</v>
      </c>
      <c r="D844" s="4">
        <f>VLOOKUP(A844,Orders!$A:$E,5,FALSE)</f>
        <v>3</v>
      </c>
      <c r="E844" s="4">
        <v>1649</v>
      </c>
      <c r="F844" s="4">
        <v>17</v>
      </c>
      <c r="G844" s="10">
        <f t="shared" si="13"/>
        <v>97</v>
      </c>
      <c r="H844" s="4">
        <v>1</v>
      </c>
    </row>
    <row r="845" spans="1:8" x14ac:dyDescent="0.2">
      <c r="A845" s="4">
        <v>5324</v>
      </c>
      <c r="B845" s="4" t="s">
        <v>47</v>
      </c>
      <c r="C845" s="4" t="s">
        <v>44</v>
      </c>
      <c r="D845" s="4">
        <f>VLOOKUP(A845,Orders!$A:$E,5,FALSE)</f>
        <v>4</v>
      </c>
      <c r="E845" s="4">
        <v>327</v>
      </c>
      <c r="F845" s="4">
        <v>10</v>
      </c>
      <c r="G845" s="10">
        <f t="shared" si="13"/>
        <v>32.700000000000003</v>
      </c>
      <c r="H845" s="4">
        <v>3</v>
      </c>
    </row>
    <row r="846" spans="1:8" x14ac:dyDescent="0.2">
      <c r="A846" s="4">
        <v>5330</v>
      </c>
      <c r="B846" s="4" t="s">
        <v>47</v>
      </c>
      <c r="C846" s="4" t="s">
        <v>44</v>
      </c>
      <c r="D846" s="4">
        <f>VLOOKUP(A846,Orders!$A:$E,5,FALSE)</f>
        <v>2</v>
      </c>
      <c r="E846" s="4">
        <v>544</v>
      </c>
      <c r="F846" s="4">
        <v>7</v>
      </c>
      <c r="G846" s="10">
        <f t="shared" si="13"/>
        <v>77.714285714285708</v>
      </c>
      <c r="H846" s="4">
        <v>3</v>
      </c>
    </row>
    <row r="847" spans="1:8" x14ac:dyDescent="0.2">
      <c r="A847" s="4">
        <v>5331</v>
      </c>
      <c r="B847" s="4" t="s">
        <v>47</v>
      </c>
      <c r="C847" s="4" t="s">
        <v>44</v>
      </c>
      <c r="D847" s="4">
        <f>VLOOKUP(A847,Orders!$A:$E,5,FALSE)</f>
        <v>6</v>
      </c>
      <c r="E847" s="4">
        <v>1432</v>
      </c>
      <c r="F847" s="4">
        <v>24</v>
      </c>
      <c r="G847" s="10">
        <f t="shared" si="13"/>
        <v>59.666666666666664</v>
      </c>
      <c r="H847" s="4">
        <v>2</v>
      </c>
    </row>
    <row r="848" spans="1:8" x14ac:dyDescent="0.2">
      <c r="A848" s="4">
        <v>5335</v>
      </c>
      <c r="B848" s="4" t="s">
        <v>47</v>
      </c>
      <c r="C848" s="4" t="s">
        <v>44</v>
      </c>
      <c r="D848" s="4">
        <f>VLOOKUP(A848,Orders!$A:$E,5,FALSE)</f>
        <v>7</v>
      </c>
      <c r="E848" s="4">
        <v>519</v>
      </c>
      <c r="F848" s="4">
        <v>20</v>
      </c>
      <c r="G848" s="10">
        <f t="shared" si="13"/>
        <v>25.95</v>
      </c>
      <c r="H848" s="4">
        <v>3</v>
      </c>
    </row>
    <row r="849" spans="1:8" x14ac:dyDescent="0.2">
      <c r="A849" s="4">
        <v>5349</v>
      </c>
      <c r="B849" s="4" t="s">
        <v>47</v>
      </c>
      <c r="C849" s="4" t="s">
        <v>44</v>
      </c>
      <c r="D849" s="4">
        <f>VLOOKUP(A849,Orders!$A:$E,5,FALSE)</f>
        <v>9</v>
      </c>
      <c r="E849" s="4">
        <v>1614</v>
      </c>
      <c r="F849" s="4">
        <v>5</v>
      </c>
      <c r="G849" s="10">
        <f t="shared" si="13"/>
        <v>322.8</v>
      </c>
      <c r="H849" s="4">
        <v>1</v>
      </c>
    </row>
    <row r="850" spans="1:8" x14ac:dyDescent="0.2">
      <c r="A850" s="4">
        <v>5352</v>
      </c>
      <c r="B850" s="4" t="s">
        <v>47</v>
      </c>
      <c r="C850" s="4" t="s">
        <v>44</v>
      </c>
      <c r="D850" s="4">
        <f>VLOOKUP(A850,Orders!$A:$E,5,FALSE)</f>
        <v>7</v>
      </c>
      <c r="E850" s="4">
        <v>683</v>
      </c>
      <c r="F850" s="4">
        <v>7</v>
      </c>
      <c r="G850" s="10">
        <f t="shared" si="13"/>
        <v>97.571428571428569</v>
      </c>
      <c r="H850" s="4">
        <v>1</v>
      </c>
    </row>
    <row r="851" spans="1:8" x14ac:dyDescent="0.2">
      <c r="A851" s="4">
        <v>5363</v>
      </c>
      <c r="B851" s="4" t="s">
        <v>47</v>
      </c>
      <c r="C851" s="4" t="s">
        <v>44</v>
      </c>
      <c r="D851" s="4">
        <f>VLOOKUP(A851,Orders!$A:$E,5,FALSE)</f>
        <v>8</v>
      </c>
      <c r="E851" s="4">
        <v>1284</v>
      </c>
      <c r="F851" s="4">
        <v>18</v>
      </c>
      <c r="G851" s="10">
        <f t="shared" si="13"/>
        <v>71.333333333333329</v>
      </c>
      <c r="H851" s="4">
        <v>2</v>
      </c>
    </row>
    <row r="852" spans="1:8" x14ac:dyDescent="0.2">
      <c r="A852" s="4">
        <v>5376</v>
      </c>
      <c r="B852" s="4" t="s">
        <v>47</v>
      </c>
      <c r="C852" s="4" t="s">
        <v>44</v>
      </c>
      <c r="D852" s="4">
        <f>VLOOKUP(A852,Orders!$A:$E,5,FALSE)</f>
        <v>8</v>
      </c>
      <c r="E852" s="4">
        <v>677</v>
      </c>
      <c r="F852" s="4">
        <v>16</v>
      </c>
      <c r="G852" s="10">
        <f t="shared" si="13"/>
        <v>42.3125</v>
      </c>
      <c r="H852" s="4">
        <v>1</v>
      </c>
    </row>
    <row r="853" spans="1:8" x14ac:dyDescent="0.2">
      <c r="A853" s="4">
        <v>5397</v>
      </c>
      <c r="B853" s="4" t="s">
        <v>47</v>
      </c>
      <c r="C853" s="4" t="s">
        <v>44</v>
      </c>
      <c r="D853" s="4">
        <f>VLOOKUP(A853,Orders!$A:$E,5,FALSE)</f>
        <v>8</v>
      </c>
      <c r="E853" s="4">
        <v>640</v>
      </c>
      <c r="F853" s="4">
        <v>7</v>
      </c>
      <c r="G853" s="10">
        <f t="shared" si="13"/>
        <v>91.428571428571431</v>
      </c>
      <c r="H853" s="4">
        <v>2</v>
      </c>
    </row>
    <row r="854" spans="1:8" x14ac:dyDescent="0.2">
      <c r="A854" s="4">
        <v>5405</v>
      </c>
      <c r="B854" s="4" t="s">
        <v>47</v>
      </c>
      <c r="C854" s="4" t="s">
        <v>44</v>
      </c>
      <c r="D854" s="4">
        <f>VLOOKUP(A854,Orders!$A:$E,5,FALSE)</f>
        <v>8</v>
      </c>
      <c r="E854" s="4">
        <v>205</v>
      </c>
      <c r="F854" s="4">
        <v>18</v>
      </c>
      <c r="G854" s="10">
        <f t="shared" si="13"/>
        <v>11.388888888888889</v>
      </c>
      <c r="H854" s="4">
        <v>2</v>
      </c>
    </row>
    <row r="855" spans="1:8" x14ac:dyDescent="0.2">
      <c r="A855" s="4">
        <v>5421</v>
      </c>
      <c r="B855" s="4" t="s">
        <v>47</v>
      </c>
      <c r="C855" s="4" t="s">
        <v>44</v>
      </c>
      <c r="D855" s="4">
        <f>VLOOKUP(A855,Orders!$A:$E,5,FALSE)</f>
        <v>10</v>
      </c>
      <c r="E855" s="4">
        <v>225</v>
      </c>
      <c r="F855" s="4">
        <v>2</v>
      </c>
      <c r="G855" s="10">
        <f t="shared" si="13"/>
        <v>112.5</v>
      </c>
      <c r="H855" s="4">
        <v>2</v>
      </c>
    </row>
    <row r="856" spans="1:8" x14ac:dyDescent="0.2">
      <c r="A856" s="4">
        <v>5427</v>
      </c>
      <c r="B856" s="4" t="s">
        <v>47</v>
      </c>
      <c r="C856" s="4" t="s">
        <v>44</v>
      </c>
      <c r="D856" s="4">
        <f>VLOOKUP(A856,Orders!$A:$E,5,FALSE)</f>
        <v>7</v>
      </c>
      <c r="E856" s="4">
        <v>469</v>
      </c>
      <c r="F856" s="4">
        <v>18</v>
      </c>
      <c r="G856" s="10">
        <f t="shared" si="13"/>
        <v>26.055555555555557</v>
      </c>
      <c r="H856" s="4">
        <v>1</v>
      </c>
    </row>
    <row r="857" spans="1:8" x14ac:dyDescent="0.2">
      <c r="A857" s="4">
        <v>5428</v>
      </c>
      <c r="B857" s="4" t="s">
        <v>47</v>
      </c>
      <c r="C857" s="4" t="s">
        <v>44</v>
      </c>
      <c r="D857" s="4">
        <f>VLOOKUP(A857,Orders!$A:$E,5,FALSE)</f>
        <v>9</v>
      </c>
      <c r="E857" s="4">
        <v>1370</v>
      </c>
      <c r="F857" s="4">
        <v>4</v>
      </c>
      <c r="G857" s="10">
        <f t="shared" si="13"/>
        <v>342.5</v>
      </c>
      <c r="H857" s="4">
        <v>3</v>
      </c>
    </row>
    <row r="858" spans="1:8" x14ac:dyDescent="0.2">
      <c r="A858" s="4">
        <v>5430</v>
      </c>
      <c r="B858" s="4" t="s">
        <v>47</v>
      </c>
      <c r="C858" s="4" t="s">
        <v>44</v>
      </c>
      <c r="D858" s="4">
        <f>VLOOKUP(A858,Orders!$A:$E,5,FALSE)</f>
        <v>3</v>
      </c>
      <c r="E858" s="4">
        <v>533</v>
      </c>
      <c r="F858" s="4">
        <v>7</v>
      </c>
      <c r="G858" s="10">
        <f t="shared" si="13"/>
        <v>76.142857142857139</v>
      </c>
      <c r="H858" s="4">
        <v>3</v>
      </c>
    </row>
    <row r="859" spans="1:8" x14ac:dyDescent="0.2">
      <c r="A859" s="4">
        <v>5447</v>
      </c>
      <c r="B859" s="4" t="s">
        <v>47</v>
      </c>
      <c r="C859" s="4" t="s">
        <v>44</v>
      </c>
      <c r="D859" s="4">
        <f>VLOOKUP(A859,Orders!$A:$E,5,FALSE)</f>
        <v>6</v>
      </c>
      <c r="E859" s="4">
        <v>1609</v>
      </c>
      <c r="F859" s="4">
        <v>2</v>
      </c>
      <c r="G859" s="10">
        <f t="shared" si="13"/>
        <v>804.5</v>
      </c>
      <c r="H859" s="4">
        <v>1</v>
      </c>
    </row>
    <row r="860" spans="1:8" x14ac:dyDescent="0.2">
      <c r="A860" s="4">
        <v>5451</v>
      </c>
      <c r="B860" s="4" t="s">
        <v>47</v>
      </c>
      <c r="C860" s="4" t="s">
        <v>44</v>
      </c>
      <c r="D860" s="4">
        <f>VLOOKUP(A860,Orders!$A:$E,5,FALSE)</f>
        <v>5</v>
      </c>
      <c r="E860" s="4">
        <v>1746</v>
      </c>
      <c r="F860" s="4">
        <v>24</v>
      </c>
      <c r="G860" s="10">
        <f t="shared" si="13"/>
        <v>72.75</v>
      </c>
      <c r="H860" s="4">
        <v>1</v>
      </c>
    </row>
    <row r="861" spans="1:8" x14ac:dyDescent="0.2">
      <c r="A861" s="4">
        <v>5460</v>
      </c>
      <c r="B861" s="4" t="s">
        <v>47</v>
      </c>
      <c r="C861" s="4" t="s">
        <v>44</v>
      </c>
      <c r="D861" s="4">
        <f>VLOOKUP(A861,Orders!$A:$E,5,FALSE)</f>
        <v>10</v>
      </c>
      <c r="E861" s="4">
        <v>1728</v>
      </c>
      <c r="F861" s="4">
        <v>13</v>
      </c>
      <c r="G861" s="10">
        <f t="shared" si="13"/>
        <v>132.92307692307693</v>
      </c>
      <c r="H861" s="4">
        <v>1</v>
      </c>
    </row>
    <row r="862" spans="1:8" x14ac:dyDescent="0.2">
      <c r="A862" s="4">
        <v>5462</v>
      </c>
      <c r="B862" s="4" t="s">
        <v>47</v>
      </c>
      <c r="C862" s="4" t="s">
        <v>44</v>
      </c>
      <c r="D862" s="4">
        <f>VLOOKUP(A862,Orders!$A:$E,5,FALSE)</f>
        <v>10</v>
      </c>
      <c r="E862" s="4">
        <v>928</v>
      </c>
      <c r="F862" s="4">
        <v>6</v>
      </c>
      <c r="G862" s="10">
        <f t="shared" si="13"/>
        <v>154.66666666666666</v>
      </c>
      <c r="H862" s="4">
        <v>3</v>
      </c>
    </row>
    <row r="863" spans="1:8" x14ac:dyDescent="0.2">
      <c r="A863" s="4">
        <v>5488</v>
      </c>
      <c r="B863" s="4" t="s">
        <v>47</v>
      </c>
      <c r="C863" s="4" t="s">
        <v>44</v>
      </c>
      <c r="D863" s="4">
        <f>VLOOKUP(A863,Orders!$A:$E,5,FALSE)</f>
        <v>8</v>
      </c>
      <c r="E863" s="4">
        <v>1163</v>
      </c>
      <c r="F863" s="4">
        <v>19</v>
      </c>
      <c r="G863" s="10">
        <f t="shared" si="13"/>
        <v>61.210526315789473</v>
      </c>
      <c r="H863" s="4">
        <v>3</v>
      </c>
    </row>
    <row r="864" spans="1:8" x14ac:dyDescent="0.2">
      <c r="A864" s="4">
        <v>5495</v>
      </c>
      <c r="B864" s="4" t="s">
        <v>47</v>
      </c>
      <c r="C864" s="4" t="s">
        <v>44</v>
      </c>
      <c r="D864" s="4">
        <f>VLOOKUP(A864,Orders!$A:$E,5,FALSE)</f>
        <v>10</v>
      </c>
      <c r="E864" s="4">
        <v>681</v>
      </c>
      <c r="F864" s="4">
        <v>2</v>
      </c>
      <c r="G864" s="10">
        <f t="shared" si="13"/>
        <v>340.5</v>
      </c>
      <c r="H864" s="4">
        <v>1</v>
      </c>
    </row>
    <row r="865" spans="1:8" x14ac:dyDescent="0.2">
      <c r="A865" s="4">
        <v>5504</v>
      </c>
      <c r="B865" s="4" t="s">
        <v>47</v>
      </c>
      <c r="C865" s="4" t="s">
        <v>44</v>
      </c>
      <c r="D865" s="4">
        <f>VLOOKUP(A865,Orders!$A:$E,5,FALSE)</f>
        <v>3</v>
      </c>
      <c r="E865" s="4">
        <v>1812</v>
      </c>
      <c r="F865" s="4">
        <v>9</v>
      </c>
      <c r="G865" s="10">
        <f t="shared" si="13"/>
        <v>201.33333333333334</v>
      </c>
      <c r="H865" s="4">
        <v>2</v>
      </c>
    </row>
    <row r="866" spans="1:8" x14ac:dyDescent="0.2">
      <c r="A866" s="4">
        <v>5505</v>
      </c>
      <c r="B866" s="4" t="s">
        <v>47</v>
      </c>
      <c r="C866" s="4" t="s">
        <v>44</v>
      </c>
      <c r="D866" s="4">
        <f>VLOOKUP(A866,Orders!$A:$E,5,FALSE)</f>
        <v>10</v>
      </c>
      <c r="E866" s="4">
        <v>45</v>
      </c>
      <c r="F866" s="4">
        <v>11</v>
      </c>
      <c r="G866" s="10">
        <f t="shared" si="13"/>
        <v>4.0909090909090908</v>
      </c>
      <c r="H866" s="4">
        <v>1</v>
      </c>
    </row>
    <row r="867" spans="1:8" x14ac:dyDescent="0.2">
      <c r="A867" s="4">
        <v>5527</v>
      </c>
      <c r="B867" s="4" t="s">
        <v>47</v>
      </c>
      <c r="C867" s="4" t="s">
        <v>44</v>
      </c>
      <c r="D867" s="4">
        <f>VLOOKUP(A867,Orders!$A:$E,5,FALSE)</f>
        <v>7</v>
      </c>
      <c r="E867" s="4">
        <v>1251</v>
      </c>
      <c r="F867" s="4">
        <v>7</v>
      </c>
      <c r="G867" s="10">
        <f t="shared" si="13"/>
        <v>178.71428571428572</v>
      </c>
      <c r="H867" s="4">
        <v>1</v>
      </c>
    </row>
    <row r="868" spans="1:8" x14ac:dyDescent="0.2">
      <c r="A868" s="4">
        <v>5534</v>
      </c>
      <c r="B868" s="4" t="s">
        <v>47</v>
      </c>
      <c r="C868" s="4" t="s">
        <v>44</v>
      </c>
      <c r="D868" s="4">
        <f>VLOOKUP(A868,Orders!$A:$E,5,FALSE)</f>
        <v>9</v>
      </c>
      <c r="E868" s="4">
        <v>739</v>
      </c>
      <c r="F868" s="4">
        <v>22</v>
      </c>
      <c r="G868" s="10">
        <f t="shared" si="13"/>
        <v>33.590909090909093</v>
      </c>
      <c r="H868" s="4">
        <v>3</v>
      </c>
    </row>
    <row r="869" spans="1:8" x14ac:dyDescent="0.2">
      <c r="A869" s="4">
        <v>5543</v>
      </c>
      <c r="B869" s="4" t="s">
        <v>47</v>
      </c>
      <c r="C869" s="4" t="s">
        <v>44</v>
      </c>
      <c r="D869" s="4">
        <f>VLOOKUP(A869,Orders!$A:$E,5,FALSE)</f>
        <v>5</v>
      </c>
      <c r="E869" s="4">
        <v>1687</v>
      </c>
      <c r="F869" s="4">
        <v>16</v>
      </c>
      <c r="G869" s="10">
        <f t="shared" si="13"/>
        <v>105.4375</v>
      </c>
      <c r="H869" s="4">
        <v>1</v>
      </c>
    </row>
    <row r="870" spans="1:8" x14ac:dyDescent="0.2">
      <c r="A870" s="4">
        <v>5612</v>
      </c>
      <c r="B870" s="4" t="s">
        <v>47</v>
      </c>
      <c r="C870" s="4" t="s">
        <v>44</v>
      </c>
      <c r="D870" s="4">
        <f>VLOOKUP(A870,Orders!$A:$E,5,FALSE)</f>
        <v>6</v>
      </c>
      <c r="E870" s="4">
        <v>523</v>
      </c>
      <c r="F870" s="4">
        <v>8</v>
      </c>
      <c r="G870" s="10">
        <f t="shared" si="13"/>
        <v>65.375</v>
      </c>
      <c r="H870" s="4">
        <v>3</v>
      </c>
    </row>
    <row r="871" spans="1:8" x14ac:dyDescent="0.2">
      <c r="A871" s="4">
        <v>5613</v>
      </c>
      <c r="B871" s="4" t="s">
        <v>47</v>
      </c>
      <c r="C871" s="4" t="s">
        <v>44</v>
      </c>
      <c r="D871" s="4">
        <f>VLOOKUP(A871,Orders!$A:$E,5,FALSE)</f>
        <v>8</v>
      </c>
      <c r="E871" s="4">
        <v>1961</v>
      </c>
      <c r="F871" s="4">
        <v>23</v>
      </c>
      <c r="G871" s="10">
        <f t="shared" si="13"/>
        <v>85.260869565217391</v>
      </c>
      <c r="H871" s="4">
        <v>3</v>
      </c>
    </row>
    <row r="872" spans="1:8" x14ac:dyDescent="0.2">
      <c r="A872" s="4">
        <v>5627</v>
      </c>
      <c r="B872" s="4" t="s">
        <v>47</v>
      </c>
      <c r="C872" s="4" t="s">
        <v>44</v>
      </c>
      <c r="D872" s="4">
        <f>VLOOKUP(A872,Orders!$A:$E,5,FALSE)</f>
        <v>2</v>
      </c>
      <c r="E872" s="4">
        <v>649</v>
      </c>
      <c r="F872" s="4">
        <v>4</v>
      </c>
      <c r="G872" s="10">
        <f t="shared" si="13"/>
        <v>162.25</v>
      </c>
      <c r="H872" s="4">
        <v>2</v>
      </c>
    </row>
    <row r="873" spans="1:8" x14ac:dyDescent="0.2">
      <c r="A873" s="4">
        <v>5630</v>
      </c>
      <c r="B873" s="4" t="s">
        <v>47</v>
      </c>
      <c r="C873" s="4" t="s">
        <v>44</v>
      </c>
      <c r="D873" s="4">
        <f>VLOOKUP(A873,Orders!$A:$E,5,FALSE)</f>
        <v>10</v>
      </c>
      <c r="E873" s="4">
        <v>354</v>
      </c>
      <c r="F873" s="4">
        <v>15</v>
      </c>
      <c r="G873" s="10">
        <f t="shared" si="13"/>
        <v>23.6</v>
      </c>
      <c r="H873" s="4">
        <v>1</v>
      </c>
    </row>
    <row r="874" spans="1:8" x14ac:dyDescent="0.2">
      <c r="A874" s="4">
        <v>5638</v>
      </c>
      <c r="B874" s="4" t="s">
        <v>47</v>
      </c>
      <c r="C874" s="4" t="s">
        <v>44</v>
      </c>
      <c r="D874" s="4">
        <f>VLOOKUP(A874,Orders!$A:$E,5,FALSE)</f>
        <v>5</v>
      </c>
      <c r="E874" s="4">
        <v>1298</v>
      </c>
      <c r="F874" s="4">
        <v>11</v>
      </c>
      <c r="G874" s="10">
        <f t="shared" si="13"/>
        <v>118</v>
      </c>
      <c r="H874" s="4">
        <v>3</v>
      </c>
    </row>
    <row r="875" spans="1:8" x14ac:dyDescent="0.2">
      <c r="A875" s="4">
        <v>5656</v>
      </c>
      <c r="B875" s="4" t="s">
        <v>47</v>
      </c>
      <c r="C875" s="4" t="s">
        <v>44</v>
      </c>
      <c r="D875" s="4">
        <f>VLOOKUP(A875,Orders!$A:$E,5,FALSE)</f>
        <v>6</v>
      </c>
      <c r="E875" s="4">
        <v>1615</v>
      </c>
      <c r="F875" s="4">
        <v>4</v>
      </c>
      <c r="G875" s="10">
        <f t="shared" si="13"/>
        <v>403.75</v>
      </c>
      <c r="H875" s="4">
        <v>1</v>
      </c>
    </row>
    <row r="876" spans="1:8" x14ac:dyDescent="0.2">
      <c r="A876" s="4">
        <v>5660</v>
      </c>
      <c r="B876" s="4" t="s">
        <v>47</v>
      </c>
      <c r="C876" s="4" t="s">
        <v>44</v>
      </c>
      <c r="D876" s="4">
        <f>VLOOKUP(A876,Orders!$A:$E,5,FALSE)</f>
        <v>9</v>
      </c>
      <c r="E876" s="4">
        <v>1900</v>
      </c>
      <c r="F876" s="4">
        <v>4</v>
      </c>
      <c r="G876" s="10">
        <f t="shared" si="13"/>
        <v>475</v>
      </c>
      <c r="H876" s="4">
        <v>1</v>
      </c>
    </row>
    <row r="877" spans="1:8" x14ac:dyDescent="0.2">
      <c r="A877" s="4">
        <v>5662</v>
      </c>
      <c r="B877" s="4" t="s">
        <v>47</v>
      </c>
      <c r="C877" s="4" t="s">
        <v>44</v>
      </c>
      <c r="D877" s="4">
        <f>VLOOKUP(A877,Orders!$A:$E,5,FALSE)</f>
        <v>9</v>
      </c>
      <c r="E877" s="4">
        <v>122</v>
      </c>
      <c r="F877" s="4">
        <v>24</v>
      </c>
      <c r="G877" s="10">
        <f t="shared" si="13"/>
        <v>5.083333333333333</v>
      </c>
      <c r="H877" s="4">
        <v>1</v>
      </c>
    </row>
    <row r="878" spans="1:8" x14ac:dyDescent="0.2">
      <c r="A878" s="4">
        <v>5686</v>
      </c>
      <c r="B878" s="4" t="s">
        <v>47</v>
      </c>
      <c r="C878" s="4" t="s">
        <v>44</v>
      </c>
      <c r="D878" s="4">
        <f>VLOOKUP(A878,Orders!$A:$E,5,FALSE)</f>
        <v>7</v>
      </c>
      <c r="E878" s="4">
        <v>1234</v>
      </c>
      <c r="F878" s="4">
        <v>7</v>
      </c>
      <c r="G878" s="10">
        <f t="shared" si="13"/>
        <v>176.28571428571428</v>
      </c>
      <c r="H878" s="4">
        <v>1</v>
      </c>
    </row>
    <row r="879" spans="1:8" x14ac:dyDescent="0.2">
      <c r="A879" s="4">
        <v>5690</v>
      </c>
      <c r="B879" s="4" t="s">
        <v>47</v>
      </c>
      <c r="C879" s="4" t="s">
        <v>44</v>
      </c>
      <c r="D879" s="4">
        <f>VLOOKUP(A879,Orders!$A:$E,5,FALSE)</f>
        <v>6</v>
      </c>
      <c r="E879" s="4">
        <v>1016</v>
      </c>
      <c r="F879" s="4">
        <v>21</v>
      </c>
      <c r="G879" s="10">
        <f t="shared" si="13"/>
        <v>48.38095238095238</v>
      </c>
      <c r="H879" s="4">
        <v>3</v>
      </c>
    </row>
    <row r="880" spans="1:8" x14ac:dyDescent="0.2">
      <c r="A880" s="4">
        <v>5704</v>
      </c>
      <c r="B880" s="4" t="s">
        <v>47</v>
      </c>
      <c r="C880" s="4" t="s">
        <v>44</v>
      </c>
      <c r="D880" s="4">
        <f>VLOOKUP(A880,Orders!$A:$E,5,FALSE)</f>
        <v>6</v>
      </c>
      <c r="E880" s="4">
        <v>1685</v>
      </c>
      <c r="F880" s="4">
        <v>9</v>
      </c>
      <c r="G880" s="10">
        <f t="shared" si="13"/>
        <v>187.22222222222223</v>
      </c>
      <c r="H880" s="4">
        <v>2</v>
      </c>
    </row>
    <row r="881" spans="1:8" x14ac:dyDescent="0.2">
      <c r="A881" s="4">
        <v>5710</v>
      </c>
      <c r="B881" s="4" t="s">
        <v>47</v>
      </c>
      <c r="C881" s="4" t="s">
        <v>44</v>
      </c>
      <c r="D881" s="4">
        <f>VLOOKUP(A881,Orders!$A:$E,5,FALSE)</f>
        <v>9</v>
      </c>
      <c r="E881" s="4">
        <v>1316</v>
      </c>
      <c r="F881" s="4">
        <v>2</v>
      </c>
      <c r="G881" s="10">
        <f t="shared" si="13"/>
        <v>658</v>
      </c>
      <c r="H881" s="4">
        <v>2</v>
      </c>
    </row>
    <row r="882" spans="1:8" x14ac:dyDescent="0.2">
      <c r="A882" s="4">
        <v>5713</v>
      </c>
      <c r="B882" s="4" t="s">
        <v>47</v>
      </c>
      <c r="C882" s="4" t="s">
        <v>44</v>
      </c>
      <c r="D882" s="4">
        <f>VLOOKUP(A882,Orders!$A:$E,5,FALSE)</f>
        <v>10</v>
      </c>
      <c r="E882" s="4">
        <v>1981</v>
      </c>
      <c r="F882" s="4">
        <v>21</v>
      </c>
      <c r="G882" s="10">
        <f t="shared" si="13"/>
        <v>94.333333333333329</v>
      </c>
      <c r="H882" s="4">
        <v>3</v>
      </c>
    </row>
    <row r="883" spans="1:8" x14ac:dyDescent="0.2">
      <c r="A883" s="4">
        <v>5739</v>
      </c>
      <c r="B883" s="4" t="s">
        <v>47</v>
      </c>
      <c r="C883" s="4" t="s">
        <v>44</v>
      </c>
      <c r="D883" s="4">
        <f>VLOOKUP(A883,Orders!$A:$E,5,FALSE)</f>
        <v>4</v>
      </c>
      <c r="E883" s="4">
        <v>1045</v>
      </c>
      <c r="F883" s="4">
        <v>12</v>
      </c>
      <c r="G883" s="10">
        <f t="shared" si="13"/>
        <v>87.083333333333329</v>
      </c>
      <c r="H883" s="4">
        <v>2</v>
      </c>
    </row>
    <row r="884" spans="1:8" x14ac:dyDescent="0.2">
      <c r="A884" s="4">
        <v>5790</v>
      </c>
      <c r="B884" s="4" t="s">
        <v>47</v>
      </c>
      <c r="C884" s="4" t="s">
        <v>44</v>
      </c>
      <c r="D884" s="4">
        <f>VLOOKUP(A884,Orders!$A:$E,5,FALSE)</f>
        <v>4</v>
      </c>
      <c r="E884" s="4">
        <v>1691</v>
      </c>
      <c r="F884" s="4">
        <v>8</v>
      </c>
      <c r="G884" s="10">
        <f t="shared" si="13"/>
        <v>211.375</v>
      </c>
      <c r="H884" s="4">
        <v>3</v>
      </c>
    </row>
    <row r="885" spans="1:8" x14ac:dyDescent="0.2">
      <c r="A885" s="4">
        <v>5793</v>
      </c>
      <c r="B885" s="4" t="s">
        <v>47</v>
      </c>
      <c r="C885" s="4" t="s">
        <v>44</v>
      </c>
      <c r="D885" s="4">
        <f>VLOOKUP(A885,Orders!$A:$E,5,FALSE)</f>
        <v>4</v>
      </c>
      <c r="E885" s="4">
        <v>1420</v>
      </c>
      <c r="F885" s="4">
        <v>24</v>
      </c>
      <c r="G885" s="10">
        <f t="shared" si="13"/>
        <v>59.166666666666664</v>
      </c>
      <c r="H885" s="4">
        <v>2</v>
      </c>
    </row>
    <row r="886" spans="1:8" x14ac:dyDescent="0.2">
      <c r="A886" s="4">
        <v>5835</v>
      </c>
      <c r="B886" s="4" t="s">
        <v>47</v>
      </c>
      <c r="C886" s="4" t="s">
        <v>44</v>
      </c>
      <c r="D886" s="4">
        <f>VLOOKUP(A886,Orders!$A:$E,5,FALSE)</f>
        <v>9</v>
      </c>
      <c r="E886" s="4">
        <v>933</v>
      </c>
      <c r="F886" s="4">
        <v>23</v>
      </c>
      <c r="G886" s="10">
        <f t="shared" si="13"/>
        <v>40.565217391304351</v>
      </c>
      <c r="H886" s="4">
        <v>3</v>
      </c>
    </row>
    <row r="887" spans="1:8" x14ac:dyDescent="0.2">
      <c r="A887" s="4">
        <v>5838</v>
      </c>
      <c r="B887" s="4" t="s">
        <v>47</v>
      </c>
      <c r="C887" s="4" t="s">
        <v>44</v>
      </c>
      <c r="D887" s="4">
        <f>VLOOKUP(A887,Orders!$A:$E,5,FALSE)</f>
        <v>4</v>
      </c>
      <c r="E887" s="4">
        <v>321</v>
      </c>
      <c r="F887" s="4">
        <v>11</v>
      </c>
      <c r="G887" s="10">
        <f t="shared" si="13"/>
        <v>29.181818181818183</v>
      </c>
      <c r="H887" s="4">
        <v>1</v>
      </c>
    </row>
    <row r="888" spans="1:8" x14ac:dyDescent="0.2">
      <c r="A888" s="4">
        <v>5847</v>
      </c>
      <c r="B888" s="4" t="s">
        <v>47</v>
      </c>
      <c r="C888" s="4" t="s">
        <v>44</v>
      </c>
      <c r="D888" s="4">
        <f>VLOOKUP(A888,Orders!$A:$E,5,FALSE)</f>
        <v>8</v>
      </c>
      <c r="E888" s="4">
        <v>1303</v>
      </c>
      <c r="F888" s="4">
        <v>15</v>
      </c>
      <c r="G888" s="10">
        <f t="shared" si="13"/>
        <v>86.86666666666666</v>
      </c>
      <c r="H888" s="4">
        <v>3</v>
      </c>
    </row>
    <row r="889" spans="1:8" x14ac:dyDescent="0.2">
      <c r="A889" s="4">
        <v>5865</v>
      </c>
      <c r="B889" s="4" t="s">
        <v>47</v>
      </c>
      <c r="C889" s="4" t="s">
        <v>44</v>
      </c>
      <c r="D889" s="4">
        <f>VLOOKUP(A889,Orders!$A:$E,5,FALSE)</f>
        <v>8</v>
      </c>
      <c r="E889" s="4">
        <v>1662</v>
      </c>
      <c r="F889" s="4">
        <v>24</v>
      </c>
      <c r="G889" s="10">
        <f t="shared" si="13"/>
        <v>69.25</v>
      </c>
      <c r="H889" s="4">
        <v>2</v>
      </c>
    </row>
    <row r="890" spans="1:8" x14ac:dyDescent="0.2">
      <c r="A890" s="4">
        <v>5869</v>
      </c>
      <c r="B890" s="4" t="s">
        <v>47</v>
      </c>
      <c r="C890" s="4" t="s">
        <v>44</v>
      </c>
      <c r="D890" s="4">
        <f>VLOOKUP(A890,Orders!$A:$E,5,FALSE)</f>
        <v>8</v>
      </c>
      <c r="E890" s="4">
        <v>1244</v>
      </c>
      <c r="F890" s="4">
        <v>22</v>
      </c>
      <c r="G890" s="10">
        <f t="shared" si="13"/>
        <v>56.545454545454547</v>
      </c>
      <c r="H890" s="4">
        <v>2</v>
      </c>
    </row>
    <row r="891" spans="1:8" x14ac:dyDescent="0.2">
      <c r="A891" s="4">
        <v>5886</v>
      </c>
      <c r="B891" s="4" t="s">
        <v>47</v>
      </c>
      <c r="C891" s="4" t="s">
        <v>44</v>
      </c>
      <c r="D891" s="4">
        <f>VLOOKUP(A891,Orders!$A:$E,5,FALSE)</f>
        <v>9</v>
      </c>
      <c r="E891" s="4">
        <v>67</v>
      </c>
      <c r="F891" s="4">
        <v>19</v>
      </c>
      <c r="G891" s="10">
        <f t="shared" si="13"/>
        <v>3.5263157894736841</v>
      </c>
      <c r="H891" s="4">
        <v>3</v>
      </c>
    </row>
    <row r="892" spans="1:8" x14ac:dyDescent="0.2">
      <c r="A892" s="4">
        <v>5891</v>
      </c>
      <c r="B892" s="4" t="s">
        <v>47</v>
      </c>
      <c r="C892" s="4" t="s">
        <v>44</v>
      </c>
      <c r="D892" s="4">
        <f>VLOOKUP(A892,Orders!$A:$E,5,FALSE)</f>
        <v>9</v>
      </c>
      <c r="E892" s="4">
        <v>1899</v>
      </c>
      <c r="F892" s="4">
        <v>9</v>
      </c>
      <c r="G892" s="10">
        <f t="shared" si="13"/>
        <v>211</v>
      </c>
      <c r="H892" s="4">
        <v>2</v>
      </c>
    </row>
    <row r="893" spans="1:8" x14ac:dyDescent="0.2">
      <c r="A893" s="4">
        <v>5910</v>
      </c>
      <c r="B893" s="4" t="s">
        <v>47</v>
      </c>
      <c r="C893" s="4" t="s">
        <v>44</v>
      </c>
      <c r="D893" s="4">
        <f>VLOOKUP(A893,Orders!$A:$E,5,FALSE)</f>
        <v>5</v>
      </c>
      <c r="E893" s="4">
        <v>1752</v>
      </c>
      <c r="F893" s="4">
        <v>3</v>
      </c>
      <c r="G893" s="10">
        <f t="shared" si="13"/>
        <v>584</v>
      </c>
      <c r="H893" s="4">
        <v>2</v>
      </c>
    </row>
    <row r="894" spans="1:8" x14ac:dyDescent="0.2">
      <c r="A894" s="4">
        <v>5969</v>
      </c>
      <c r="B894" s="4" t="s">
        <v>47</v>
      </c>
      <c r="C894" s="4" t="s">
        <v>44</v>
      </c>
      <c r="D894" s="4">
        <f>VLOOKUP(A894,Orders!$A:$E,5,FALSE)</f>
        <v>8</v>
      </c>
      <c r="E894" s="4">
        <v>1823</v>
      </c>
      <c r="F894" s="4">
        <v>9</v>
      </c>
      <c r="G894" s="10">
        <f t="shared" si="13"/>
        <v>202.55555555555554</v>
      </c>
      <c r="H894" s="4">
        <v>2</v>
      </c>
    </row>
    <row r="895" spans="1:8" x14ac:dyDescent="0.2">
      <c r="A895" s="4">
        <v>6014</v>
      </c>
      <c r="B895" s="4" t="s">
        <v>47</v>
      </c>
      <c r="C895" s="4" t="s">
        <v>44</v>
      </c>
      <c r="D895" s="4">
        <f>VLOOKUP(A895,Orders!$A:$E,5,FALSE)</f>
        <v>4</v>
      </c>
      <c r="E895" s="4">
        <v>322</v>
      </c>
      <c r="F895" s="4">
        <v>12</v>
      </c>
      <c r="G895" s="10">
        <f t="shared" si="13"/>
        <v>26.833333333333332</v>
      </c>
      <c r="H895" s="4">
        <v>3</v>
      </c>
    </row>
    <row r="896" spans="1:8" x14ac:dyDescent="0.2">
      <c r="A896" s="4">
        <v>6073</v>
      </c>
      <c r="B896" s="4" t="s">
        <v>47</v>
      </c>
      <c r="C896" s="4" t="s">
        <v>44</v>
      </c>
      <c r="D896" s="4">
        <f>VLOOKUP(A896,Orders!$A:$E,5,FALSE)</f>
        <v>5</v>
      </c>
      <c r="E896" s="4">
        <v>1531</v>
      </c>
      <c r="F896" s="4">
        <v>23</v>
      </c>
      <c r="G896" s="10">
        <f t="shared" si="13"/>
        <v>66.565217391304344</v>
      </c>
      <c r="H896" s="4">
        <v>3</v>
      </c>
    </row>
    <row r="897" spans="1:8" x14ac:dyDescent="0.2">
      <c r="A897" s="4">
        <v>6084</v>
      </c>
      <c r="B897" s="4" t="s">
        <v>47</v>
      </c>
      <c r="C897" s="4" t="s">
        <v>44</v>
      </c>
      <c r="D897" s="4">
        <f>VLOOKUP(A897,Orders!$A:$E,5,FALSE)</f>
        <v>8</v>
      </c>
      <c r="E897" s="4">
        <v>1545</v>
      </c>
      <c r="F897" s="4">
        <v>3</v>
      </c>
      <c r="G897" s="10">
        <f t="shared" si="13"/>
        <v>515</v>
      </c>
      <c r="H897" s="4">
        <v>3</v>
      </c>
    </row>
    <row r="898" spans="1:8" x14ac:dyDescent="0.2">
      <c r="A898" s="4">
        <v>6091</v>
      </c>
      <c r="B898" s="4" t="s">
        <v>47</v>
      </c>
      <c r="C898" s="4" t="s">
        <v>44</v>
      </c>
      <c r="D898" s="4">
        <f>VLOOKUP(A898,Orders!$A:$E,5,FALSE)</f>
        <v>6</v>
      </c>
      <c r="E898" s="4">
        <v>817</v>
      </c>
      <c r="F898" s="4">
        <v>13</v>
      </c>
      <c r="G898" s="10">
        <f t="shared" ref="G898:G961" si="14">E898/F898</f>
        <v>62.846153846153847</v>
      </c>
      <c r="H898" s="4">
        <v>1</v>
      </c>
    </row>
    <row r="899" spans="1:8" x14ac:dyDescent="0.2">
      <c r="A899" s="4">
        <v>6107</v>
      </c>
      <c r="B899" s="4" t="s">
        <v>47</v>
      </c>
      <c r="C899" s="4" t="s">
        <v>44</v>
      </c>
      <c r="D899" s="4">
        <f>VLOOKUP(A899,Orders!$A:$E,5,FALSE)</f>
        <v>7</v>
      </c>
      <c r="E899" s="4">
        <v>1305</v>
      </c>
      <c r="F899" s="4">
        <v>17</v>
      </c>
      <c r="G899" s="10">
        <f t="shared" si="14"/>
        <v>76.764705882352942</v>
      </c>
      <c r="H899" s="4">
        <v>3</v>
      </c>
    </row>
    <row r="900" spans="1:8" x14ac:dyDescent="0.2">
      <c r="A900" s="4">
        <v>6114</v>
      </c>
      <c r="B900" s="4" t="s">
        <v>47</v>
      </c>
      <c r="C900" s="4" t="s">
        <v>44</v>
      </c>
      <c r="D900" s="4">
        <f>VLOOKUP(A900,Orders!$A:$E,5,FALSE)</f>
        <v>8</v>
      </c>
      <c r="E900" s="4">
        <v>685</v>
      </c>
      <c r="F900" s="4">
        <v>3</v>
      </c>
      <c r="G900" s="10">
        <f t="shared" si="14"/>
        <v>228.33333333333334</v>
      </c>
      <c r="H900" s="4">
        <v>2</v>
      </c>
    </row>
    <row r="901" spans="1:8" x14ac:dyDescent="0.2">
      <c r="A901" s="4">
        <v>6133</v>
      </c>
      <c r="B901" s="4" t="s">
        <v>47</v>
      </c>
      <c r="C901" s="4" t="s">
        <v>44</v>
      </c>
      <c r="D901" s="4">
        <f>VLOOKUP(A901,Orders!$A:$E,5,FALSE)</f>
        <v>6</v>
      </c>
      <c r="E901" s="4">
        <v>291</v>
      </c>
      <c r="F901" s="4">
        <v>11</v>
      </c>
      <c r="G901" s="10">
        <f t="shared" si="14"/>
        <v>26.454545454545453</v>
      </c>
      <c r="H901" s="4">
        <v>2</v>
      </c>
    </row>
    <row r="902" spans="1:8" x14ac:dyDescent="0.2">
      <c r="A902" s="4">
        <v>6141</v>
      </c>
      <c r="B902" s="4" t="s">
        <v>47</v>
      </c>
      <c r="C902" s="4" t="s">
        <v>44</v>
      </c>
      <c r="D902" s="4">
        <f>VLOOKUP(A902,Orders!$A:$E,5,FALSE)</f>
        <v>8</v>
      </c>
      <c r="E902" s="4">
        <v>565</v>
      </c>
      <c r="F902" s="4">
        <v>24</v>
      </c>
      <c r="G902" s="10">
        <f t="shared" si="14"/>
        <v>23.541666666666668</v>
      </c>
      <c r="H902" s="4">
        <v>3</v>
      </c>
    </row>
    <row r="903" spans="1:8" x14ac:dyDescent="0.2">
      <c r="A903" s="4">
        <v>6150</v>
      </c>
      <c r="B903" s="4" t="s">
        <v>47</v>
      </c>
      <c r="C903" s="4" t="s">
        <v>44</v>
      </c>
      <c r="D903" s="4">
        <f>VLOOKUP(A903,Orders!$A:$E,5,FALSE)</f>
        <v>7</v>
      </c>
      <c r="E903" s="4">
        <v>512</v>
      </c>
      <c r="F903" s="4">
        <v>3</v>
      </c>
      <c r="G903" s="10">
        <f t="shared" si="14"/>
        <v>170.66666666666666</v>
      </c>
      <c r="H903" s="4">
        <v>3</v>
      </c>
    </row>
    <row r="904" spans="1:8" x14ac:dyDescent="0.2">
      <c r="A904" s="4">
        <v>6153</v>
      </c>
      <c r="B904" s="4" t="s">
        <v>47</v>
      </c>
      <c r="C904" s="4" t="s">
        <v>44</v>
      </c>
      <c r="D904" s="4">
        <f>VLOOKUP(A904,Orders!$A:$E,5,FALSE)</f>
        <v>9</v>
      </c>
      <c r="E904" s="4">
        <v>110</v>
      </c>
      <c r="F904" s="4">
        <v>15</v>
      </c>
      <c r="G904" s="10">
        <f t="shared" si="14"/>
        <v>7.333333333333333</v>
      </c>
      <c r="H904" s="4">
        <v>2</v>
      </c>
    </row>
    <row r="905" spans="1:8" x14ac:dyDescent="0.2">
      <c r="A905" s="4">
        <v>6154</v>
      </c>
      <c r="B905" s="4" t="s">
        <v>47</v>
      </c>
      <c r="C905" s="4" t="s">
        <v>44</v>
      </c>
      <c r="D905" s="4">
        <f>VLOOKUP(A905,Orders!$A:$E,5,FALSE)</f>
        <v>7</v>
      </c>
      <c r="E905" s="4">
        <v>1664</v>
      </c>
      <c r="F905" s="4">
        <v>9</v>
      </c>
      <c r="G905" s="10">
        <f t="shared" si="14"/>
        <v>184.88888888888889</v>
      </c>
      <c r="H905" s="4">
        <v>3</v>
      </c>
    </row>
    <row r="906" spans="1:8" x14ac:dyDescent="0.2">
      <c r="A906" s="4">
        <v>6167</v>
      </c>
      <c r="B906" s="4" t="s">
        <v>47</v>
      </c>
      <c r="C906" s="4" t="s">
        <v>44</v>
      </c>
      <c r="D906" s="4">
        <f>VLOOKUP(A906,Orders!$A:$E,5,FALSE)</f>
        <v>9</v>
      </c>
      <c r="E906" s="4">
        <v>1708</v>
      </c>
      <c r="F906" s="4">
        <v>11</v>
      </c>
      <c r="G906" s="10">
        <f t="shared" si="14"/>
        <v>155.27272727272728</v>
      </c>
      <c r="H906" s="4">
        <v>3</v>
      </c>
    </row>
    <row r="907" spans="1:8" x14ac:dyDescent="0.2">
      <c r="A907" s="4">
        <v>6179</v>
      </c>
      <c r="B907" s="4" t="s">
        <v>47</v>
      </c>
      <c r="C907" s="4" t="s">
        <v>44</v>
      </c>
      <c r="D907" s="4">
        <f>VLOOKUP(A907,Orders!$A:$E,5,FALSE)</f>
        <v>10</v>
      </c>
      <c r="E907" s="4">
        <v>152</v>
      </c>
      <c r="F907" s="4">
        <v>3</v>
      </c>
      <c r="G907" s="10">
        <f t="shared" si="14"/>
        <v>50.666666666666664</v>
      </c>
      <c r="H907" s="4">
        <v>2</v>
      </c>
    </row>
    <row r="908" spans="1:8" x14ac:dyDescent="0.2">
      <c r="A908" s="4">
        <v>6183</v>
      </c>
      <c r="B908" s="4" t="s">
        <v>47</v>
      </c>
      <c r="C908" s="4" t="s">
        <v>44</v>
      </c>
      <c r="D908" s="4">
        <f>VLOOKUP(A908,Orders!$A:$E,5,FALSE)</f>
        <v>5</v>
      </c>
      <c r="E908" s="4">
        <v>794</v>
      </c>
      <c r="F908" s="4">
        <v>24</v>
      </c>
      <c r="G908" s="10">
        <f t="shared" si="14"/>
        <v>33.083333333333336</v>
      </c>
      <c r="H908" s="4">
        <v>1</v>
      </c>
    </row>
    <row r="909" spans="1:8" x14ac:dyDescent="0.2">
      <c r="A909" s="4">
        <v>6198</v>
      </c>
      <c r="B909" s="4" t="s">
        <v>47</v>
      </c>
      <c r="C909" s="4" t="s">
        <v>44</v>
      </c>
      <c r="D909" s="4">
        <f>VLOOKUP(A909,Orders!$A:$E,5,FALSE)</f>
        <v>10</v>
      </c>
      <c r="E909" s="4">
        <v>1720</v>
      </c>
      <c r="F909" s="4">
        <v>10</v>
      </c>
      <c r="G909" s="10">
        <f t="shared" si="14"/>
        <v>172</v>
      </c>
      <c r="H909" s="4">
        <v>2</v>
      </c>
    </row>
    <row r="910" spans="1:8" x14ac:dyDescent="0.2">
      <c r="A910" s="4">
        <v>6223</v>
      </c>
      <c r="B910" s="4" t="s">
        <v>47</v>
      </c>
      <c r="C910" s="4" t="s">
        <v>44</v>
      </c>
      <c r="D910" s="4">
        <f>VLOOKUP(A910,Orders!$A:$E,5,FALSE)</f>
        <v>4</v>
      </c>
      <c r="E910" s="4">
        <v>1948</v>
      </c>
      <c r="F910" s="4">
        <v>8</v>
      </c>
      <c r="G910" s="10">
        <f t="shared" si="14"/>
        <v>243.5</v>
      </c>
      <c r="H910" s="4">
        <v>3</v>
      </c>
    </row>
    <row r="911" spans="1:8" x14ac:dyDescent="0.2">
      <c r="A911" s="4">
        <v>6235</v>
      </c>
      <c r="B911" s="4" t="s">
        <v>47</v>
      </c>
      <c r="C911" s="4" t="s">
        <v>44</v>
      </c>
      <c r="D911" s="4">
        <f>VLOOKUP(A911,Orders!$A:$E,5,FALSE)</f>
        <v>4</v>
      </c>
      <c r="E911" s="4">
        <v>540</v>
      </c>
      <c r="F911" s="4">
        <v>12</v>
      </c>
      <c r="G911" s="10">
        <f t="shared" si="14"/>
        <v>45</v>
      </c>
      <c r="H911" s="4">
        <v>2</v>
      </c>
    </row>
    <row r="912" spans="1:8" x14ac:dyDescent="0.2">
      <c r="A912" s="4">
        <v>6252</v>
      </c>
      <c r="B912" s="4" t="s">
        <v>47</v>
      </c>
      <c r="C912" s="4" t="s">
        <v>44</v>
      </c>
      <c r="D912" s="4">
        <f>VLOOKUP(A912,Orders!$A:$E,5,FALSE)</f>
        <v>8</v>
      </c>
      <c r="E912" s="4">
        <v>696</v>
      </c>
      <c r="F912" s="4">
        <v>20</v>
      </c>
      <c r="G912" s="10">
        <f t="shared" si="14"/>
        <v>34.799999999999997</v>
      </c>
      <c r="H912" s="4">
        <v>1</v>
      </c>
    </row>
    <row r="913" spans="1:8" x14ac:dyDescent="0.2">
      <c r="A913" s="4">
        <v>6254</v>
      </c>
      <c r="B913" s="4" t="s">
        <v>47</v>
      </c>
      <c r="C913" s="4" t="s">
        <v>44</v>
      </c>
      <c r="D913" s="4">
        <f>VLOOKUP(A913,Orders!$A:$E,5,FALSE)</f>
        <v>5</v>
      </c>
      <c r="E913" s="4">
        <v>1843</v>
      </c>
      <c r="F913" s="4">
        <v>8</v>
      </c>
      <c r="G913" s="10">
        <f t="shared" si="14"/>
        <v>230.375</v>
      </c>
      <c r="H913" s="4">
        <v>1</v>
      </c>
    </row>
    <row r="914" spans="1:8" x14ac:dyDescent="0.2">
      <c r="A914" s="4">
        <v>6255</v>
      </c>
      <c r="B914" s="4" t="s">
        <v>47</v>
      </c>
      <c r="C914" s="4" t="s">
        <v>44</v>
      </c>
      <c r="D914" s="4">
        <f>VLOOKUP(A914,Orders!$A:$E,5,FALSE)</f>
        <v>2</v>
      </c>
      <c r="E914" s="4">
        <v>622</v>
      </c>
      <c r="F914" s="4">
        <v>6</v>
      </c>
      <c r="G914" s="10">
        <f t="shared" si="14"/>
        <v>103.66666666666667</v>
      </c>
      <c r="H914" s="4">
        <v>2</v>
      </c>
    </row>
    <row r="915" spans="1:8" x14ac:dyDescent="0.2">
      <c r="A915" s="4">
        <v>6260</v>
      </c>
      <c r="B915" s="4" t="s">
        <v>47</v>
      </c>
      <c r="C915" s="4" t="s">
        <v>44</v>
      </c>
      <c r="D915" s="4">
        <f>VLOOKUP(A915,Orders!$A:$E,5,FALSE)</f>
        <v>6</v>
      </c>
      <c r="E915" s="4">
        <v>687</v>
      </c>
      <c r="F915" s="4">
        <v>23</v>
      </c>
      <c r="G915" s="10">
        <f t="shared" si="14"/>
        <v>29.869565217391305</v>
      </c>
      <c r="H915" s="4">
        <v>3</v>
      </c>
    </row>
    <row r="916" spans="1:8" x14ac:dyDescent="0.2">
      <c r="A916" s="4">
        <v>6281</v>
      </c>
      <c r="B916" s="4" t="s">
        <v>47</v>
      </c>
      <c r="C916" s="4" t="s">
        <v>44</v>
      </c>
      <c r="D916" s="4">
        <f>VLOOKUP(A916,Orders!$A:$E,5,FALSE)</f>
        <v>4</v>
      </c>
      <c r="E916" s="4">
        <v>1805</v>
      </c>
      <c r="F916" s="4">
        <v>20</v>
      </c>
      <c r="G916" s="10">
        <f t="shared" si="14"/>
        <v>90.25</v>
      </c>
      <c r="H916" s="4">
        <v>2</v>
      </c>
    </row>
    <row r="917" spans="1:8" x14ac:dyDescent="0.2">
      <c r="A917" s="4">
        <v>6286</v>
      </c>
      <c r="B917" s="4" t="s">
        <v>47</v>
      </c>
      <c r="C917" s="4" t="s">
        <v>44</v>
      </c>
      <c r="D917" s="4">
        <f>VLOOKUP(A917,Orders!$A:$E,5,FALSE)</f>
        <v>7</v>
      </c>
      <c r="E917" s="4">
        <v>725</v>
      </c>
      <c r="F917" s="4">
        <v>2</v>
      </c>
      <c r="G917" s="10">
        <f t="shared" si="14"/>
        <v>362.5</v>
      </c>
      <c r="H917" s="4">
        <v>3</v>
      </c>
    </row>
    <row r="918" spans="1:8" x14ac:dyDescent="0.2">
      <c r="A918" s="4">
        <v>6318</v>
      </c>
      <c r="B918" s="4" t="s">
        <v>47</v>
      </c>
      <c r="C918" s="4" t="s">
        <v>44</v>
      </c>
      <c r="D918" s="4">
        <f>VLOOKUP(A918,Orders!$A:$E,5,FALSE)</f>
        <v>9</v>
      </c>
      <c r="E918" s="4">
        <v>478</v>
      </c>
      <c r="F918" s="4">
        <v>22</v>
      </c>
      <c r="G918" s="10">
        <f t="shared" si="14"/>
        <v>21.727272727272727</v>
      </c>
      <c r="H918" s="4">
        <v>2</v>
      </c>
    </row>
    <row r="919" spans="1:8" x14ac:dyDescent="0.2">
      <c r="A919" s="4">
        <v>6349</v>
      </c>
      <c r="B919" s="4" t="s">
        <v>47</v>
      </c>
      <c r="C919" s="4" t="s">
        <v>44</v>
      </c>
      <c r="D919" s="4">
        <f>VLOOKUP(A919,Orders!$A:$E,5,FALSE)</f>
        <v>8</v>
      </c>
      <c r="E919" s="4">
        <v>1318</v>
      </c>
      <c r="F919" s="4">
        <v>6</v>
      </c>
      <c r="G919" s="10">
        <f t="shared" si="14"/>
        <v>219.66666666666666</v>
      </c>
      <c r="H919" s="4">
        <v>3</v>
      </c>
    </row>
    <row r="920" spans="1:8" x14ac:dyDescent="0.2">
      <c r="A920" s="4">
        <v>6354</v>
      </c>
      <c r="B920" s="4" t="s">
        <v>47</v>
      </c>
      <c r="C920" s="4" t="s">
        <v>44</v>
      </c>
      <c r="D920" s="4">
        <f>VLOOKUP(A920,Orders!$A:$E,5,FALSE)</f>
        <v>9</v>
      </c>
      <c r="E920" s="4">
        <v>846</v>
      </c>
      <c r="F920" s="4">
        <v>20</v>
      </c>
      <c r="G920" s="10">
        <f t="shared" si="14"/>
        <v>42.3</v>
      </c>
      <c r="H920" s="4">
        <v>1</v>
      </c>
    </row>
    <row r="921" spans="1:8" x14ac:dyDescent="0.2">
      <c r="A921" s="4">
        <v>6375</v>
      </c>
      <c r="B921" s="4" t="s">
        <v>47</v>
      </c>
      <c r="C921" s="4" t="s">
        <v>44</v>
      </c>
      <c r="D921" s="4">
        <f>VLOOKUP(A921,Orders!$A:$E,5,FALSE)</f>
        <v>5</v>
      </c>
      <c r="E921" s="4">
        <v>1749</v>
      </c>
      <c r="F921" s="4">
        <v>18</v>
      </c>
      <c r="G921" s="10">
        <f t="shared" si="14"/>
        <v>97.166666666666671</v>
      </c>
      <c r="H921" s="4">
        <v>3</v>
      </c>
    </row>
    <row r="922" spans="1:8" x14ac:dyDescent="0.2">
      <c r="A922" s="4">
        <v>6386</v>
      </c>
      <c r="B922" s="4" t="s">
        <v>47</v>
      </c>
      <c r="C922" s="4" t="s">
        <v>44</v>
      </c>
      <c r="D922" s="4">
        <f>VLOOKUP(A922,Orders!$A:$E,5,FALSE)</f>
        <v>7</v>
      </c>
      <c r="E922" s="4">
        <v>168</v>
      </c>
      <c r="F922" s="4">
        <v>9</v>
      </c>
      <c r="G922" s="10">
        <f t="shared" si="14"/>
        <v>18.666666666666668</v>
      </c>
      <c r="H922" s="4">
        <v>1</v>
      </c>
    </row>
    <row r="923" spans="1:8" x14ac:dyDescent="0.2">
      <c r="A923" s="4">
        <v>6398</v>
      </c>
      <c r="B923" s="4" t="s">
        <v>47</v>
      </c>
      <c r="C923" s="4" t="s">
        <v>44</v>
      </c>
      <c r="D923" s="4">
        <f>VLOOKUP(A923,Orders!$A:$E,5,FALSE)</f>
        <v>4</v>
      </c>
      <c r="E923" s="4">
        <v>1819</v>
      </c>
      <c r="F923" s="4">
        <v>22</v>
      </c>
      <c r="G923" s="10">
        <f t="shared" si="14"/>
        <v>82.681818181818187</v>
      </c>
      <c r="H923" s="4">
        <v>1</v>
      </c>
    </row>
    <row r="924" spans="1:8" x14ac:dyDescent="0.2">
      <c r="A924" s="4">
        <v>6412</v>
      </c>
      <c r="B924" s="4" t="s">
        <v>47</v>
      </c>
      <c r="C924" s="4" t="s">
        <v>44</v>
      </c>
      <c r="D924" s="4">
        <f>VLOOKUP(A924,Orders!$A:$E,5,FALSE)</f>
        <v>4</v>
      </c>
      <c r="E924" s="4">
        <v>927</v>
      </c>
      <c r="F924" s="4">
        <v>24</v>
      </c>
      <c r="G924" s="10">
        <f t="shared" si="14"/>
        <v>38.625</v>
      </c>
      <c r="H924" s="4">
        <v>3</v>
      </c>
    </row>
    <row r="925" spans="1:8" x14ac:dyDescent="0.2">
      <c r="A925" s="4">
        <v>6413</v>
      </c>
      <c r="B925" s="4" t="s">
        <v>47</v>
      </c>
      <c r="C925" s="4" t="s">
        <v>44</v>
      </c>
      <c r="D925" s="4">
        <f>VLOOKUP(A925,Orders!$A:$E,5,FALSE)</f>
        <v>9</v>
      </c>
      <c r="E925" s="4">
        <v>1979</v>
      </c>
      <c r="F925" s="4">
        <v>2</v>
      </c>
      <c r="G925" s="10">
        <f t="shared" si="14"/>
        <v>989.5</v>
      </c>
      <c r="H925" s="4">
        <v>2</v>
      </c>
    </row>
    <row r="926" spans="1:8" x14ac:dyDescent="0.2">
      <c r="A926" s="4">
        <v>6414</v>
      </c>
      <c r="B926" s="4" t="s">
        <v>47</v>
      </c>
      <c r="C926" s="4" t="s">
        <v>44</v>
      </c>
      <c r="D926" s="4">
        <f>VLOOKUP(A926,Orders!$A:$E,5,FALSE)</f>
        <v>2</v>
      </c>
      <c r="E926" s="4">
        <v>337</v>
      </c>
      <c r="F926" s="4">
        <v>20</v>
      </c>
      <c r="G926" s="10">
        <f t="shared" si="14"/>
        <v>16.850000000000001</v>
      </c>
      <c r="H926" s="4">
        <v>3</v>
      </c>
    </row>
    <row r="927" spans="1:8" x14ac:dyDescent="0.2">
      <c r="A927" s="4">
        <v>6418</v>
      </c>
      <c r="B927" s="4" t="s">
        <v>47</v>
      </c>
      <c r="C927" s="4" t="s">
        <v>44</v>
      </c>
      <c r="D927" s="4">
        <f>VLOOKUP(A927,Orders!$A:$E,5,FALSE)</f>
        <v>6</v>
      </c>
      <c r="E927" s="4">
        <v>685</v>
      </c>
      <c r="F927" s="4">
        <v>22</v>
      </c>
      <c r="G927" s="10">
        <f t="shared" si="14"/>
        <v>31.136363636363637</v>
      </c>
      <c r="H927" s="4">
        <v>2</v>
      </c>
    </row>
    <row r="928" spans="1:8" x14ac:dyDescent="0.2">
      <c r="A928" s="4">
        <v>6419</v>
      </c>
      <c r="B928" s="4" t="s">
        <v>47</v>
      </c>
      <c r="C928" s="4" t="s">
        <v>44</v>
      </c>
      <c r="D928" s="4">
        <f>VLOOKUP(A928,Orders!$A:$E,5,FALSE)</f>
        <v>7</v>
      </c>
      <c r="E928" s="4">
        <v>675</v>
      </c>
      <c r="F928" s="4">
        <v>19</v>
      </c>
      <c r="G928" s="10">
        <f t="shared" si="14"/>
        <v>35.526315789473685</v>
      </c>
      <c r="H928" s="4">
        <v>2</v>
      </c>
    </row>
    <row r="929" spans="1:8" x14ac:dyDescent="0.2">
      <c r="A929" s="4">
        <v>6429</v>
      </c>
      <c r="B929" s="4" t="s">
        <v>47</v>
      </c>
      <c r="C929" s="4" t="s">
        <v>44</v>
      </c>
      <c r="D929" s="4">
        <f>VLOOKUP(A929,Orders!$A:$E,5,FALSE)</f>
        <v>6</v>
      </c>
      <c r="E929" s="4">
        <v>287</v>
      </c>
      <c r="F929" s="4">
        <v>6</v>
      </c>
      <c r="G929" s="10">
        <f t="shared" si="14"/>
        <v>47.833333333333336</v>
      </c>
      <c r="H929" s="4">
        <v>1</v>
      </c>
    </row>
    <row r="930" spans="1:8" x14ac:dyDescent="0.2">
      <c r="A930" s="4">
        <v>6450</v>
      </c>
      <c r="B930" s="4" t="s">
        <v>47</v>
      </c>
      <c r="C930" s="4" t="s">
        <v>44</v>
      </c>
      <c r="D930" s="4">
        <f>VLOOKUP(A930,Orders!$A:$E,5,FALSE)</f>
        <v>6</v>
      </c>
      <c r="E930" s="4">
        <v>105</v>
      </c>
      <c r="F930" s="4">
        <v>5</v>
      </c>
      <c r="G930" s="10">
        <f t="shared" si="14"/>
        <v>21</v>
      </c>
      <c r="H930" s="4">
        <v>3</v>
      </c>
    </row>
    <row r="931" spans="1:8" x14ac:dyDescent="0.2">
      <c r="A931" s="4">
        <v>5019</v>
      </c>
      <c r="B931" s="4" t="s">
        <v>49</v>
      </c>
      <c r="C931" s="4" t="s">
        <v>44</v>
      </c>
      <c r="D931" s="4">
        <f>VLOOKUP(A931,Orders!$A:$E,5,FALSE)</f>
        <v>9</v>
      </c>
      <c r="E931" s="4">
        <v>70</v>
      </c>
      <c r="F931" s="4">
        <v>12</v>
      </c>
      <c r="G931" s="10">
        <f t="shared" si="14"/>
        <v>5.833333333333333</v>
      </c>
      <c r="H931" s="4">
        <v>3</v>
      </c>
    </row>
    <row r="932" spans="1:8" x14ac:dyDescent="0.2">
      <c r="A932" s="4">
        <v>5024</v>
      </c>
      <c r="B932" s="4" t="s">
        <v>49</v>
      </c>
      <c r="C932" s="4" t="s">
        <v>44</v>
      </c>
      <c r="D932" s="4">
        <f>VLOOKUP(A932,Orders!$A:$E,5,FALSE)</f>
        <v>10</v>
      </c>
      <c r="E932" s="4">
        <v>795</v>
      </c>
      <c r="F932" s="4">
        <v>20</v>
      </c>
      <c r="G932" s="10">
        <f t="shared" si="14"/>
        <v>39.75</v>
      </c>
      <c r="H932" s="4">
        <v>1</v>
      </c>
    </row>
    <row r="933" spans="1:8" x14ac:dyDescent="0.2">
      <c r="A933" s="4">
        <v>5029</v>
      </c>
      <c r="B933" s="4" t="s">
        <v>49</v>
      </c>
      <c r="C933" s="4" t="s">
        <v>44</v>
      </c>
      <c r="D933" s="4">
        <f>VLOOKUP(A933,Orders!$A:$E,5,FALSE)</f>
        <v>7</v>
      </c>
      <c r="E933" s="4">
        <v>693</v>
      </c>
      <c r="F933" s="4">
        <v>9</v>
      </c>
      <c r="G933" s="10">
        <f t="shared" si="14"/>
        <v>77</v>
      </c>
      <c r="H933" s="4">
        <v>2</v>
      </c>
    </row>
    <row r="934" spans="1:8" x14ac:dyDescent="0.2">
      <c r="A934" s="4">
        <v>5058</v>
      </c>
      <c r="B934" s="4" t="s">
        <v>49</v>
      </c>
      <c r="C934" s="4" t="s">
        <v>44</v>
      </c>
      <c r="D934" s="4">
        <f>VLOOKUP(A934,Orders!$A:$E,5,FALSE)</f>
        <v>9</v>
      </c>
      <c r="E934" s="4">
        <v>216</v>
      </c>
      <c r="F934" s="4">
        <v>8</v>
      </c>
      <c r="G934" s="10">
        <f t="shared" si="14"/>
        <v>27</v>
      </c>
      <c r="H934" s="4">
        <v>3</v>
      </c>
    </row>
    <row r="935" spans="1:8" x14ac:dyDescent="0.2">
      <c r="A935" s="4">
        <v>5092</v>
      </c>
      <c r="B935" s="4" t="s">
        <v>49</v>
      </c>
      <c r="C935" s="4" t="s">
        <v>44</v>
      </c>
      <c r="D935" s="4">
        <f>VLOOKUP(A935,Orders!$A:$E,5,FALSE)</f>
        <v>6</v>
      </c>
      <c r="E935" s="4">
        <v>1258</v>
      </c>
      <c r="F935" s="4">
        <v>19</v>
      </c>
      <c r="G935" s="10">
        <f t="shared" si="14"/>
        <v>66.21052631578948</v>
      </c>
      <c r="H935" s="4">
        <v>1</v>
      </c>
    </row>
    <row r="936" spans="1:8" x14ac:dyDescent="0.2">
      <c r="A936" s="4">
        <v>5131</v>
      </c>
      <c r="B936" s="4" t="s">
        <v>49</v>
      </c>
      <c r="C936" s="4" t="s">
        <v>44</v>
      </c>
      <c r="D936" s="4">
        <f>VLOOKUP(A936,Orders!$A:$E,5,FALSE)</f>
        <v>8</v>
      </c>
      <c r="E936" s="4">
        <v>309</v>
      </c>
      <c r="F936" s="4">
        <v>11</v>
      </c>
      <c r="G936" s="10">
        <f t="shared" si="14"/>
        <v>28.09090909090909</v>
      </c>
      <c r="H936" s="4">
        <v>3</v>
      </c>
    </row>
    <row r="937" spans="1:8" x14ac:dyDescent="0.2">
      <c r="A937" s="4">
        <v>5178</v>
      </c>
      <c r="B937" s="4" t="s">
        <v>49</v>
      </c>
      <c r="C937" s="4" t="s">
        <v>44</v>
      </c>
      <c r="D937" s="4">
        <f>VLOOKUP(A937,Orders!$A:$E,5,FALSE)</f>
        <v>2</v>
      </c>
      <c r="E937" s="4">
        <v>1430</v>
      </c>
      <c r="F937" s="4">
        <v>18</v>
      </c>
      <c r="G937" s="10">
        <f t="shared" si="14"/>
        <v>79.444444444444443</v>
      </c>
      <c r="H937" s="4">
        <v>2</v>
      </c>
    </row>
    <row r="938" spans="1:8" x14ac:dyDescent="0.2">
      <c r="A938" s="4">
        <v>5186</v>
      </c>
      <c r="B938" s="4" t="s">
        <v>49</v>
      </c>
      <c r="C938" s="4" t="s">
        <v>44</v>
      </c>
      <c r="D938" s="4">
        <f>VLOOKUP(A938,Orders!$A:$E,5,FALSE)</f>
        <v>9</v>
      </c>
      <c r="E938" s="4">
        <v>591</v>
      </c>
      <c r="F938" s="4">
        <v>6</v>
      </c>
      <c r="G938" s="10">
        <f t="shared" si="14"/>
        <v>98.5</v>
      </c>
      <c r="H938" s="4">
        <v>3</v>
      </c>
    </row>
    <row r="939" spans="1:8" x14ac:dyDescent="0.2">
      <c r="A939" s="4">
        <v>5193</v>
      </c>
      <c r="B939" s="4" t="s">
        <v>49</v>
      </c>
      <c r="C939" s="4" t="s">
        <v>44</v>
      </c>
      <c r="D939" s="4">
        <f>VLOOKUP(A939,Orders!$A:$E,5,FALSE)</f>
        <v>6</v>
      </c>
      <c r="E939" s="4">
        <v>720</v>
      </c>
      <c r="F939" s="4">
        <v>24</v>
      </c>
      <c r="G939" s="10">
        <f t="shared" si="14"/>
        <v>30</v>
      </c>
      <c r="H939" s="4">
        <v>3</v>
      </c>
    </row>
    <row r="940" spans="1:8" x14ac:dyDescent="0.2">
      <c r="A940" s="4">
        <v>5208</v>
      </c>
      <c r="B940" s="4" t="s">
        <v>49</v>
      </c>
      <c r="C940" s="4" t="s">
        <v>44</v>
      </c>
      <c r="D940" s="4">
        <f>VLOOKUP(A940,Orders!$A:$E,5,FALSE)</f>
        <v>9</v>
      </c>
      <c r="E940" s="4">
        <v>1968</v>
      </c>
      <c r="F940" s="4">
        <v>20</v>
      </c>
      <c r="G940" s="10">
        <f t="shared" si="14"/>
        <v>98.4</v>
      </c>
      <c r="H940" s="4">
        <v>1</v>
      </c>
    </row>
    <row r="941" spans="1:8" x14ac:dyDescent="0.2">
      <c r="A941" s="4">
        <v>5210</v>
      </c>
      <c r="B941" s="4" t="s">
        <v>49</v>
      </c>
      <c r="C941" s="4" t="s">
        <v>44</v>
      </c>
      <c r="D941" s="4">
        <f>VLOOKUP(A941,Orders!$A:$E,5,FALSE)</f>
        <v>3</v>
      </c>
      <c r="E941" s="4">
        <v>1661</v>
      </c>
      <c r="F941" s="4">
        <v>13</v>
      </c>
      <c r="G941" s="10">
        <f t="shared" si="14"/>
        <v>127.76923076923077</v>
      </c>
      <c r="H941" s="4">
        <v>2</v>
      </c>
    </row>
    <row r="942" spans="1:8" x14ac:dyDescent="0.2">
      <c r="A942" s="4">
        <v>5231</v>
      </c>
      <c r="B942" s="4" t="s">
        <v>49</v>
      </c>
      <c r="C942" s="4" t="s">
        <v>44</v>
      </c>
      <c r="D942" s="4">
        <f>VLOOKUP(A942,Orders!$A:$E,5,FALSE)</f>
        <v>10</v>
      </c>
      <c r="E942" s="4">
        <v>1196</v>
      </c>
      <c r="F942" s="4">
        <v>18</v>
      </c>
      <c r="G942" s="10">
        <f t="shared" si="14"/>
        <v>66.444444444444443</v>
      </c>
      <c r="H942" s="4">
        <v>2</v>
      </c>
    </row>
    <row r="943" spans="1:8" x14ac:dyDescent="0.2">
      <c r="A943" s="4">
        <v>5238</v>
      </c>
      <c r="B943" s="4" t="s">
        <v>49</v>
      </c>
      <c r="C943" s="4" t="s">
        <v>44</v>
      </c>
      <c r="D943" s="4">
        <f>VLOOKUP(A943,Orders!$A:$E,5,FALSE)</f>
        <v>5</v>
      </c>
      <c r="E943" s="4">
        <v>1074</v>
      </c>
      <c r="F943" s="4">
        <v>21</v>
      </c>
      <c r="G943" s="10">
        <f t="shared" si="14"/>
        <v>51.142857142857146</v>
      </c>
      <c r="H943" s="4">
        <v>3</v>
      </c>
    </row>
    <row r="944" spans="1:8" x14ac:dyDescent="0.2">
      <c r="A944" s="4">
        <v>5264</v>
      </c>
      <c r="B944" s="4" t="s">
        <v>49</v>
      </c>
      <c r="C944" s="4" t="s">
        <v>44</v>
      </c>
      <c r="D944" s="4">
        <f>VLOOKUP(A944,Orders!$A:$E,5,FALSE)</f>
        <v>3</v>
      </c>
      <c r="E944" s="4">
        <v>150</v>
      </c>
      <c r="F944" s="4">
        <v>21</v>
      </c>
      <c r="G944" s="10">
        <f t="shared" si="14"/>
        <v>7.1428571428571432</v>
      </c>
      <c r="H944" s="4">
        <v>2</v>
      </c>
    </row>
    <row r="945" spans="1:8" x14ac:dyDescent="0.2">
      <c r="A945" s="4">
        <v>5277</v>
      </c>
      <c r="B945" s="4" t="s">
        <v>49</v>
      </c>
      <c r="C945" s="4" t="s">
        <v>44</v>
      </c>
      <c r="D945" s="4">
        <f>VLOOKUP(A945,Orders!$A:$E,5,FALSE)</f>
        <v>7</v>
      </c>
      <c r="E945" s="4">
        <v>1791</v>
      </c>
      <c r="F945" s="4">
        <v>7</v>
      </c>
      <c r="G945" s="10">
        <f t="shared" si="14"/>
        <v>255.85714285714286</v>
      </c>
      <c r="H945" s="4">
        <v>3</v>
      </c>
    </row>
    <row r="946" spans="1:8" x14ac:dyDescent="0.2">
      <c r="A946" s="4">
        <v>5292</v>
      </c>
      <c r="B946" s="4" t="s">
        <v>49</v>
      </c>
      <c r="C946" s="4" t="s">
        <v>44</v>
      </c>
      <c r="D946" s="4">
        <f>VLOOKUP(A946,Orders!$A:$E,5,FALSE)</f>
        <v>5</v>
      </c>
      <c r="E946" s="4">
        <v>378</v>
      </c>
      <c r="F946" s="4">
        <v>17</v>
      </c>
      <c r="G946" s="10">
        <f t="shared" si="14"/>
        <v>22.235294117647058</v>
      </c>
      <c r="H946" s="4">
        <v>3</v>
      </c>
    </row>
    <row r="947" spans="1:8" x14ac:dyDescent="0.2">
      <c r="A947" s="4">
        <v>5315</v>
      </c>
      <c r="B947" s="4" t="s">
        <v>49</v>
      </c>
      <c r="C947" s="4" t="s">
        <v>44</v>
      </c>
      <c r="D947" s="4">
        <f>VLOOKUP(A947,Orders!$A:$E,5,FALSE)</f>
        <v>4</v>
      </c>
      <c r="E947" s="4">
        <v>1543</v>
      </c>
      <c r="F947" s="4">
        <v>24</v>
      </c>
      <c r="G947" s="10">
        <f t="shared" si="14"/>
        <v>64.291666666666671</v>
      </c>
      <c r="H947" s="4">
        <v>1</v>
      </c>
    </row>
    <row r="948" spans="1:8" x14ac:dyDescent="0.2">
      <c r="A948" s="4">
        <v>5318</v>
      </c>
      <c r="B948" s="4" t="s">
        <v>49</v>
      </c>
      <c r="C948" s="4" t="s">
        <v>44</v>
      </c>
      <c r="D948" s="4">
        <f>VLOOKUP(A948,Orders!$A:$E,5,FALSE)</f>
        <v>7</v>
      </c>
      <c r="E948" s="4">
        <v>1216</v>
      </c>
      <c r="F948" s="4">
        <v>2</v>
      </c>
      <c r="G948" s="10">
        <f t="shared" si="14"/>
        <v>608</v>
      </c>
      <c r="H948" s="4">
        <v>2</v>
      </c>
    </row>
    <row r="949" spans="1:8" x14ac:dyDescent="0.2">
      <c r="A949" s="4">
        <v>5320</v>
      </c>
      <c r="B949" s="4" t="s">
        <v>49</v>
      </c>
      <c r="C949" s="4" t="s">
        <v>44</v>
      </c>
      <c r="D949" s="4">
        <f>VLOOKUP(A949,Orders!$A:$E,5,FALSE)</f>
        <v>6</v>
      </c>
      <c r="E949" s="4">
        <v>1222</v>
      </c>
      <c r="F949" s="4">
        <v>18</v>
      </c>
      <c r="G949" s="10">
        <f t="shared" si="14"/>
        <v>67.888888888888886</v>
      </c>
      <c r="H949" s="4">
        <v>2</v>
      </c>
    </row>
    <row r="950" spans="1:8" x14ac:dyDescent="0.2">
      <c r="A950" s="4">
        <v>5344</v>
      </c>
      <c r="B950" s="4" t="s">
        <v>49</v>
      </c>
      <c r="C950" s="4" t="s">
        <v>44</v>
      </c>
      <c r="D950" s="4">
        <f>VLOOKUP(A950,Orders!$A:$E,5,FALSE)</f>
        <v>9</v>
      </c>
      <c r="E950" s="4">
        <v>718</v>
      </c>
      <c r="F950" s="4">
        <v>10</v>
      </c>
      <c r="G950" s="10">
        <f t="shared" si="14"/>
        <v>71.8</v>
      </c>
      <c r="H950" s="4">
        <v>3</v>
      </c>
    </row>
    <row r="951" spans="1:8" x14ac:dyDescent="0.2">
      <c r="A951" s="4">
        <v>5372</v>
      </c>
      <c r="B951" s="4" t="s">
        <v>49</v>
      </c>
      <c r="C951" s="4" t="s">
        <v>44</v>
      </c>
      <c r="D951" s="4">
        <f>VLOOKUP(A951,Orders!$A:$E,5,FALSE)</f>
        <v>8</v>
      </c>
      <c r="E951" s="4">
        <v>1170</v>
      </c>
      <c r="F951" s="4">
        <v>4</v>
      </c>
      <c r="G951" s="10">
        <f t="shared" si="14"/>
        <v>292.5</v>
      </c>
      <c r="H951" s="4">
        <v>2</v>
      </c>
    </row>
    <row r="952" spans="1:8" x14ac:dyDescent="0.2">
      <c r="A952" s="4">
        <v>5393</v>
      </c>
      <c r="B952" s="4" t="s">
        <v>49</v>
      </c>
      <c r="C952" s="4" t="s">
        <v>44</v>
      </c>
      <c r="D952" s="4">
        <f>VLOOKUP(A952,Orders!$A:$E,5,FALSE)</f>
        <v>4</v>
      </c>
      <c r="E952" s="4">
        <v>406</v>
      </c>
      <c r="F952" s="4">
        <v>6</v>
      </c>
      <c r="G952" s="10">
        <f t="shared" si="14"/>
        <v>67.666666666666671</v>
      </c>
      <c r="H952" s="4">
        <v>1</v>
      </c>
    </row>
    <row r="953" spans="1:8" x14ac:dyDescent="0.2">
      <c r="A953" s="4">
        <v>5394</v>
      </c>
      <c r="B953" s="4" t="s">
        <v>49</v>
      </c>
      <c r="C953" s="4" t="s">
        <v>44</v>
      </c>
      <c r="D953" s="4">
        <f>VLOOKUP(A953,Orders!$A:$E,5,FALSE)</f>
        <v>3</v>
      </c>
      <c r="E953" s="4">
        <v>226</v>
      </c>
      <c r="F953" s="4">
        <v>2</v>
      </c>
      <c r="G953" s="10">
        <f t="shared" si="14"/>
        <v>113</v>
      </c>
      <c r="H953" s="4">
        <v>3</v>
      </c>
    </row>
    <row r="954" spans="1:8" x14ac:dyDescent="0.2">
      <c r="A954" s="4">
        <v>5398</v>
      </c>
      <c r="B954" s="4" t="s">
        <v>49</v>
      </c>
      <c r="C954" s="4" t="s">
        <v>44</v>
      </c>
      <c r="D954" s="4">
        <f>VLOOKUP(A954,Orders!$A:$E,5,FALSE)</f>
        <v>3</v>
      </c>
      <c r="E954" s="4">
        <v>1937</v>
      </c>
      <c r="F954" s="4">
        <v>8</v>
      </c>
      <c r="G954" s="10">
        <f t="shared" si="14"/>
        <v>242.125</v>
      </c>
      <c r="H954" s="4">
        <v>2</v>
      </c>
    </row>
    <row r="955" spans="1:8" x14ac:dyDescent="0.2">
      <c r="A955" s="4">
        <v>5425</v>
      </c>
      <c r="B955" s="4" t="s">
        <v>49</v>
      </c>
      <c r="C955" s="4" t="s">
        <v>44</v>
      </c>
      <c r="D955" s="4">
        <f>VLOOKUP(A955,Orders!$A:$E,5,FALSE)</f>
        <v>10</v>
      </c>
      <c r="E955" s="4">
        <v>681</v>
      </c>
      <c r="F955" s="4">
        <v>23</v>
      </c>
      <c r="G955" s="10">
        <f t="shared" si="14"/>
        <v>29.608695652173914</v>
      </c>
      <c r="H955" s="4">
        <v>3</v>
      </c>
    </row>
    <row r="956" spans="1:8" x14ac:dyDescent="0.2">
      <c r="A956" s="4">
        <v>5432</v>
      </c>
      <c r="B956" s="4" t="s">
        <v>49</v>
      </c>
      <c r="C956" s="4" t="s">
        <v>44</v>
      </c>
      <c r="D956" s="4">
        <f>VLOOKUP(A956,Orders!$A:$E,5,FALSE)</f>
        <v>2</v>
      </c>
      <c r="E956" s="4">
        <v>691</v>
      </c>
      <c r="F956" s="4">
        <v>15</v>
      </c>
      <c r="G956" s="10">
        <f t="shared" si="14"/>
        <v>46.06666666666667</v>
      </c>
      <c r="H956" s="4">
        <v>2</v>
      </c>
    </row>
    <row r="957" spans="1:8" x14ac:dyDescent="0.2">
      <c r="A957" s="4">
        <v>5448</v>
      </c>
      <c r="B957" s="4" t="s">
        <v>49</v>
      </c>
      <c r="C957" s="4" t="s">
        <v>44</v>
      </c>
      <c r="D957" s="4">
        <f>VLOOKUP(A957,Orders!$A:$E,5,FALSE)</f>
        <v>4</v>
      </c>
      <c r="E957" s="4">
        <v>1172</v>
      </c>
      <c r="F957" s="4">
        <v>18</v>
      </c>
      <c r="G957" s="10">
        <f t="shared" si="14"/>
        <v>65.111111111111114</v>
      </c>
      <c r="H957" s="4">
        <v>3</v>
      </c>
    </row>
    <row r="958" spans="1:8" x14ac:dyDescent="0.2">
      <c r="A958" s="4">
        <v>5456</v>
      </c>
      <c r="B958" s="4" t="s">
        <v>49</v>
      </c>
      <c r="C958" s="4" t="s">
        <v>44</v>
      </c>
      <c r="D958" s="4">
        <f>VLOOKUP(A958,Orders!$A:$E,5,FALSE)</f>
        <v>7</v>
      </c>
      <c r="E958" s="4">
        <v>1910</v>
      </c>
      <c r="F958" s="4">
        <v>21</v>
      </c>
      <c r="G958" s="10">
        <f t="shared" si="14"/>
        <v>90.952380952380949</v>
      </c>
      <c r="H958" s="4">
        <v>3</v>
      </c>
    </row>
    <row r="959" spans="1:8" x14ac:dyDescent="0.2">
      <c r="A959" s="4">
        <v>5471</v>
      </c>
      <c r="B959" s="4" t="s">
        <v>49</v>
      </c>
      <c r="C959" s="4" t="s">
        <v>44</v>
      </c>
      <c r="D959" s="4">
        <f>VLOOKUP(A959,Orders!$A:$E,5,FALSE)</f>
        <v>8</v>
      </c>
      <c r="E959" s="4">
        <v>1800</v>
      </c>
      <c r="F959" s="4">
        <v>23</v>
      </c>
      <c r="G959" s="10">
        <f t="shared" si="14"/>
        <v>78.260869565217391</v>
      </c>
      <c r="H959" s="4">
        <v>2</v>
      </c>
    </row>
    <row r="960" spans="1:8" x14ac:dyDescent="0.2">
      <c r="A960" s="4">
        <v>5486</v>
      </c>
      <c r="B960" s="4" t="s">
        <v>49</v>
      </c>
      <c r="C960" s="4" t="s">
        <v>44</v>
      </c>
      <c r="D960" s="4">
        <f>VLOOKUP(A960,Orders!$A:$E,5,FALSE)</f>
        <v>9</v>
      </c>
      <c r="E960" s="4">
        <v>586</v>
      </c>
      <c r="F960" s="4">
        <v>16</v>
      </c>
      <c r="G960" s="10">
        <f t="shared" si="14"/>
        <v>36.625</v>
      </c>
      <c r="H960" s="4">
        <v>1</v>
      </c>
    </row>
    <row r="961" spans="1:8" x14ac:dyDescent="0.2">
      <c r="A961" s="4">
        <v>5497</v>
      </c>
      <c r="B961" s="4" t="s">
        <v>49</v>
      </c>
      <c r="C961" s="4" t="s">
        <v>44</v>
      </c>
      <c r="D961" s="4">
        <f>VLOOKUP(A961,Orders!$A:$E,5,FALSE)</f>
        <v>7</v>
      </c>
      <c r="E961" s="4">
        <v>835</v>
      </c>
      <c r="F961" s="4">
        <v>21</v>
      </c>
      <c r="G961" s="10">
        <f t="shared" si="14"/>
        <v>39.761904761904759</v>
      </c>
      <c r="H961" s="4">
        <v>3</v>
      </c>
    </row>
    <row r="962" spans="1:8" x14ac:dyDescent="0.2">
      <c r="A962" s="4">
        <v>5514</v>
      </c>
      <c r="B962" s="4" t="s">
        <v>49</v>
      </c>
      <c r="C962" s="4" t="s">
        <v>44</v>
      </c>
      <c r="D962" s="4">
        <f>VLOOKUP(A962,Orders!$A:$E,5,FALSE)</f>
        <v>6</v>
      </c>
      <c r="E962" s="4">
        <v>972</v>
      </c>
      <c r="F962" s="4">
        <v>10</v>
      </c>
      <c r="G962" s="10">
        <f t="shared" ref="G962:G1025" si="15">E962/F962</f>
        <v>97.2</v>
      </c>
      <c r="H962" s="4">
        <v>3</v>
      </c>
    </row>
    <row r="963" spans="1:8" x14ac:dyDescent="0.2">
      <c r="A963" s="4">
        <v>5532</v>
      </c>
      <c r="B963" s="4" t="s">
        <v>49</v>
      </c>
      <c r="C963" s="4" t="s">
        <v>44</v>
      </c>
      <c r="D963" s="4">
        <f>VLOOKUP(A963,Orders!$A:$E,5,FALSE)</f>
        <v>4</v>
      </c>
      <c r="E963" s="4">
        <v>1468</v>
      </c>
      <c r="F963" s="4">
        <v>15</v>
      </c>
      <c r="G963" s="10">
        <f t="shared" si="15"/>
        <v>97.86666666666666</v>
      </c>
      <c r="H963" s="4">
        <v>2</v>
      </c>
    </row>
    <row r="964" spans="1:8" x14ac:dyDescent="0.2">
      <c r="A964" s="4">
        <v>5542</v>
      </c>
      <c r="B964" s="4" t="s">
        <v>49</v>
      </c>
      <c r="C964" s="4" t="s">
        <v>44</v>
      </c>
      <c r="D964" s="4">
        <f>VLOOKUP(A964,Orders!$A:$E,5,FALSE)</f>
        <v>2</v>
      </c>
      <c r="E964" s="4">
        <v>1845</v>
      </c>
      <c r="F964" s="4">
        <v>16</v>
      </c>
      <c r="G964" s="10">
        <f t="shared" si="15"/>
        <v>115.3125</v>
      </c>
      <c r="H964" s="4">
        <v>3</v>
      </c>
    </row>
    <row r="965" spans="1:8" x14ac:dyDescent="0.2">
      <c r="A965" s="4">
        <v>5568</v>
      </c>
      <c r="B965" s="4" t="s">
        <v>49</v>
      </c>
      <c r="C965" s="4" t="s">
        <v>44</v>
      </c>
      <c r="D965" s="4">
        <f>VLOOKUP(A965,Orders!$A:$E,5,FALSE)</f>
        <v>7</v>
      </c>
      <c r="E965" s="4">
        <v>818</v>
      </c>
      <c r="F965" s="4">
        <v>9</v>
      </c>
      <c r="G965" s="10">
        <f t="shared" si="15"/>
        <v>90.888888888888886</v>
      </c>
      <c r="H965" s="4">
        <v>2</v>
      </c>
    </row>
    <row r="966" spans="1:8" x14ac:dyDescent="0.2">
      <c r="A966" s="4">
        <v>5571</v>
      </c>
      <c r="B966" s="4" t="s">
        <v>49</v>
      </c>
      <c r="C966" s="4" t="s">
        <v>44</v>
      </c>
      <c r="D966" s="4">
        <f>VLOOKUP(A966,Orders!$A:$E,5,FALSE)</f>
        <v>5</v>
      </c>
      <c r="E966" s="4">
        <v>1945</v>
      </c>
      <c r="F966" s="4">
        <v>22</v>
      </c>
      <c r="G966" s="10">
        <f t="shared" si="15"/>
        <v>88.409090909090907</v>
      </c>
      <c r="H966" s="4">
        <v>3</v>
      </c>
    </row>
    <row r="967" spans="1:8" x14ac:dyDescent="0.2">
      <c r="A967" s="4">
        <v>5578</v>
      </c>
      <c r="B967" s="4" t="s">
        <v>49</v>
      </c>
      <c r="C967" s="4" t="s">
        <v>44</v>
      </c>
      <c r="D967" s="4">
        <f>VLOOKUP(A967,Orders!$A:$E,5,FALSE)</f>
        <v>8</v>
      </c>
      <c r="E967" s="4">
        <v>1952</v>
      </c>
      <c r="F967" s="4">
        <v>10</v>
      </c>
      <c r="G967" s="10">
        <f t="shared" si="15"/>
        <v>195.2</v>
      </c>
      <c r="H967" s="4">
        <v>3</v>
      </c>
    </row>
    <row r="968" spans="1:8" x14ac:dyDescent="0.2">
      <c r="A968" s="4">
        <v>5606</v>
      </c>
      <c r="B968" s="4" t="s">
        <v>49</v>
      </c>
      <c r="C968" s="4" t="s">
        <v>44</v>
      </c>
      <c r="D968" s="4">
        <f>VLOOKUP(A968,Orders!$A:$E,5,FALSE)</f>
        <v>3</v>
      </c>
      <c r="E968" s="4">
        <v>773</v>
      </c>
      <c r="F968" s="4">
        <v>2</v>
      </c>
      <c r="G968" s="10">
        <f t="shared" si="15"/>
        <v>386.5</v>
      </c>
      <c r="H968" s="4">
        <v>2</v>
      </c>
    </row>
    <row r="969" spans="1:8" x14ac:dyDescent="0.2">
      <c r="A969" s="4">
        <v>5607</v>
      </c>
      <c r="B969" s="4" t="s">
        <v>49</v>
      </c>
      <c r="C969" s="4" t="s">
        <v>44</v>
      </c>
      <c r="D969" s="4">
        <f>VLOOKUP(A969,Orders!$A:$E,5,FALSE)</f>
        <v>3</v>
      </c>
      <c r="E969" s="4">
        <v>107</v>
      </c>
      <c r="F969" s="4">
        <v>16</v>
      </c>
      <c r="G969" s="10">
        <f t="shared" si="15"/>
        <v>6.6875</v>
      </c>
      <c r="H969" s="4">
        <v>2</v>
      </c>
    </row>
    <row r="970" spans="1:8" x14ac:dyDescent="0.2">
      <c r="A970" s="4">
        <v>5615</v>
      </c>
      <c r="B970" s="4" t="s">
        <v>49</v>
      </c>
      <c r="C970" s="4" t="s">
        <v>44</v>
      </c>
      <c r="D970" s="4">
        <f>VLOOKUP(A970,Orders!$A:$E,5,FALSE)</f>
        <v>10</v>
      </c>
      <c r="E970" s="4">
        <v>824</v>
      </c>
      <c r="F970" s="4">
        <v>6</v>
      </c>
      <c r="G970" s="10">
        <f t="shared" si="15"/>
        <v>137.33333333333334</v>
      </c>
      <c r="H970" s="4">
        <v>2</v>
      </c>
    </row>
    <row r="971" spans="1:8" x14ac:dyDescent="0.2">
      <c r="A971" s="4">
        <v>5652</v>
      </c>
      <c r="B971" s="4" t="s">
        <v>49</v>
      </c>
      <c r="C971" s="4" t="s">
        <v>44</v>
      </c>
      <c r="D971" s="4">
        <f>VLOOKUP(A971,Orders!$A:$E,5,FALSE)</f>
        <v>10</v>
      </c>
      <c r="E971" s="4">
        <v>1021</v>
      </c>
      <c r="F971" s="4">
        <v>11</v>
      </c>
      <c r="G971" s="10">
        <f t="shared" si="15"/>
        <v>92.818181818181813</v>
      </c>
      <c r="H971" s="4">
        <v>2</v>
      </c>
    </row>
    <row r="972" spans="1:8" x14ac:dyDescent="0.2">
      <c r="A972" s="4">
        <v>5671</v>
      </c>
      <c r="B972" s="4" t="s">
        <v>49</v>
      </c>
      <c r="C972" s="4" t="s">
        <v>44</v>
      </c>
      <c r="D972" s="4">
        <f>VLOOKUP(A972,Orders!$A:$E,5,FALSE)</f>
        <v>3</v>
      </c>
      <c r="E972" s="4">
        <v>893</v>
      </c>
      <c r="F972" s="4">
        <v>10</v>
      </c>
      <c r="G972" s="10">
        <f t="shared" si="15"/>
        <v>89.3</v>
      </c>
      <c r="H972" s="4">
        <v>2</v>
      </c>
    </row>
    <row r="973" spans="1:8" x14ac:dyDescent="0.2">
      <c r="A973" s="4">
        <v>5673</v>
      </c>
      <c r="B973" s="4" t="s">
        <v>49</v>
      </c>
      <c r="C973" s="4" t="s">
        <v>44</v>
      </c>
      <c r="D973" s="4">
        <f>VLOOKUP(A973,Orders!$A:$E,5,FALSE)</f>
        <v>8</v>
      </c>
      <c r="E973" s="4">
        <v>152</v>
      </c>
      <c r="F973" s="4">
        <v>3</v>
      </c>
      <c r="G973" s="10">
        <f t="shared" si="15"/>
        <v>50.666666666666664</v>
      </c>
      <c r="H973" s="4">
        <v>1</v>
      </c>
    </row>
    <row r="974" spans="1:8" x14ac:dyDescent="0.2">
      <c r="A974" s="4">
        <v>5703</v>
      </c>
      <c r="B974" s="4" t="s">
        <v>49</v>
      </c>
      <c r="C974" s="4" t="s">
        <v>44</v>
      </c>
      <c r="D974" s="4">
        <f>VLOOKUP(A974,Orders!$A:$E,5,FALSE)</f>
        <v>7</v>
      </c>
      <c r="E974" s="4">
        <v>1867</v>
      </c>
      <c r="F974" s="4">
        <v>6</v>
      </c>
      <c r="G974" s="10">
        <f t="shared" si="15"/>
        <v>311.16666666666669</v>
      </c>
      <c r="H974" s="4">
        <v>2</v>
      </c>
    </row>
    <row r="975" spans="1:8" x14ac:dyDescent="0.2">
      <c r="A975" s="4">
        <v>5721</v>
      </c>
      <c r="B975" s="4" t="s">
        <v>49</v>
      </c>
      <c r="C975" s="4" t="s">
        <v>44</v>
      </c>
      <c r="D975" s="4">
        <f>VLOOKUP(A975,Orders!$A:$E,5,FALSE)</f>
        <v>5</v>
      </c>
      <c r="E975" s="4">
        <v>1466</v>
      </c>
      <c r="F975" s="4">
        <v>21</v>
      </c>
      <c r="G975" s="10">
        <f t="shared" si="15"/>
        <v>69.80952380952381</v>
      </c>
      <c r="H975" s="4">
        <v>2</v>
      </c>
    </row>
    <row r="976" spans="1:8" x14ac:dyDescent="0.2">
      <c r="A976" s="4">
        <v>5722</v>
      </c>
      <c r="B976" s="4" t="s">
        <v>49</v>
      </c>
      <c r="C976" s="4" t="s">
        <v>44</v>
      </c>
      <c r="D976" s="4">
        <f>VLOOKUP(A976,Orders!$A:$E,5,FALSE)</f>
        <v>4</v>
      </c>
      <c r="E976" s="4">
        <v>1221</v>
      </c>
      <c r="F976" s="4">
        <v>6</v>
      </c>
      <c r="G976" s="10">
        <f t="shared" si="15"/>
        <v>203.5</v>
      </c>
      <c r="H976" s="4">
        <v>2</v>
      </c>
    </row>
    <row r="977" spans="1:8" x14ac:dyDescent="0.2">
      <c r="A977" s="4">
        <v>5736</v>
      </c>
      <c r="B977" s="4" t="s">
        <v>49</v>
      </c>
      <c r="C977" s="4" t="s">
        <v>44</v>
      </c>
      <c r="D977" s="4">
        <f>VLOOKUP(A977,Orders!$A:$E,5,FALSE)</f>
        <v>5</v>
      </c>
      <c r="E977" s="4">
        <v>510</v>
      </c>
      <c r="F977" s="4">
        <v>3</v>
      </c>
      <c r="G977" s="10">
        <f t="shared" si="15"/>
        <v>170</v>
      </c>
      <c r="H977" s="4">
        <v>3</v>
      </c>
    </row>
    <row r="978" spans="1:8" x14ac:dyDescent="0.2">
      <c r="A978" s="4">
        <v>5745</v>
      </c>
      <c r="B978" s="4" t="s">
        <v>49</v>
      </c>
      <c r="C978" s="4" t="s">
        <v>44</v>
      </c>
      <c r="D978" s="4">
        <f>VLOOKUP(A978,Orders!$A:$E,5,FALSE)</f>
        <v>3</v>
      </c>
      <c r="E978" s="4">
        <v>833</v>
      </c>
      <c r="F978" s="4">
        <v>8</v>
      </c>
      <c r="G978" s="10">
        <f t="shared" si="15"/>
        <v>104.125</v>
      </c>
      <c r="H978" s="4">
        <v>1</v>
      </c>
    </row>
    <row r="979" spans="1:8" x14ac:dyDescent="0.2">
      <c r="A979" s="4">
        <v>5753</v>
      </c>
      <c r="B979" s="4" t="s">
        <v>49</v>
      </c>
      <c r="C979" s="4" t="s">
        <v>44</v>
      </c>
      <c r="D979" s="4">
        <f>VLOOKUP(A979,Orders!$A:$E,5,FALSE)</f>
        <v>5</v>
      </c>
      <c r="E979" s="4">
        <v>1835</v>
      </c>
      <c r="F979" s="4">
        <v>20</v>
      </c>
      <c r="G979" s="10">
        <f t="shared" si="15"/>
        <v>91.75</v>
      </c>
      <c r="H979" s="4">
        <v>2</v>
      </c>
    </row>
    <row r="980" spans="1:8" x14ac:dyDescent="0.2">
      <c r="A980" s="4">
        <v>5777</v>
      </c>
      <c r="B980" s="4" t="s">
        <v>49</v>
      </c>
      <c r="C980" s="4" t="s">
        <v>44</v>
      </c>
      <c r="D980" s="4">
        <f>VLOOKUP(A980,Orders!$A:$E,5,FALSE)</f>
        <v>5</v>
      </c>
      <c r="E980" s="4">
        <v>500</v>
      </c>
      <c r="F980" s="4">
        <v>24</v>
      </c>
      <c r="G980" s="10">
        <f t="shared" si="15"/>
        <v>20.833333333333332</v>
      </c>
      <c r="H980" s="4">
        <v>2</v>
      </c>
    </row>
    <row r="981" spans="1:8" x14ac:dyDescent="0.2">
      <c r="A981" s="4">
        <v>5786</v>
      </c>
      <c r="B981" s="4" t="s">
        <v>49</v>
      </c>
      <c r="C981" s="4" t="s">
        <v>44</v>
      </c>
      <c r="D981" s="4">
        <f>VLOOKUP(A981,Orders!$A:$E,5,FALSE)</f>
        <v>7</v>
      </c>
      <c r="E981" s="4">
        <v>701</v>
      </c>
      <c r="F981" s="4">
        <v>13</v>
      </c>
      <c r="G981" s="10">
        <f t="shared" si="15"/>
        <v>53.92307692307692</v>
      </c>
      <c r="H981" s="4">
        <v>3</v>
      </c>
    </row>
    <row r="982" spans="1:8" x14ac:dyDescent="0.2">
      <c r="A982" s="4">
        <v>5799</v>
      </c>
      <c r="B982" s="4" t="s">
        <v>49</v>
      </c>
      <c r="C982" s="4" t="s">
        <v>44</v>
      </c>
      <c r="D982" s="4">
        <f>VLOOKUP(A982,Orders!$A:$E,5,FALSE)</f>
        <v>10</v>
      </c>
      <c r="E982" s="4">
        <v>1567</v>
      </c>
      <c r="F982" s="4">
        <v>14</v>
      </c>
      <c r="G982" s="10">
        <f t="shared" si="15"/>
        <v>111.92857142857143</v>
      </c>
      <c r="H982" s="4">
        <v>2</v>
      </c>
    </row>
    <row r="983" spans="1:8" x14ac:dyDescent="0.2">
      <c r="A983" s="4">
        <v>5825</v>
      </c>
      <c r="B983" s="4" t="s">
        <v>49</v>
      </c>
      <c r="C983" s="4" t="s">
        <v>44</v>
      </c>
      <c r="D983" s="4">
        <f>VLOOKUP(A983,Orders!$A:$E,5,FALSE)</f>
        <v>2</v>
      </c>
      <c r="E983" s="4">
        <v>477</v>
      </c>
      <c r="F983" s="4">
        <v>12</v>
      </c>
      <c r="G983" s="10">
        <f t="shared" si="15"/>
        <v>39.75</v>
      </c>
      <c r="H983" s="4">
        <v>3</v>
      </c>
    </row>
    <row r="984" spans="1:8" x14ac:dyDescent="0.2">
      <c r="A984" s="4">
        <v>5848</v>
      </c>
      <c r="B984" s="4" t="s">
        <v>49</v>
      </c>
      <c r="C984" s="4" t="s">
        <v>44</v>
      </c>
      <c r="D984" s="4">
        <f>VLOOKUP(A984,Orders!$A:$E,5,FALSE)</f>
        <v>9</v>
      </c>
      <c r="E984" s="4">
        <v>1715</v>
      </c>
      <c r="F984" s="4">
        <v>10</v>
      </c>
      <c r="G984" s="10">
        <f t="shared" si="15"/>
        <v>171.5</v>
      </c>
      <c r="H984" s="4">
        <v>2</v>
      </c>
    </row>
    <row r="985" spans="1:8" x14ac:dyDescent="0.2">
      <c r="A985" s="4">
        <v>5862</v>
      </c>
      <c r="B985" s="4" t="s">
        <v>49</v>
      </c>
      <c r="C985" s="4" t="s">
        <v>44</v>
      </c>
      <c r="D985" s="4">
        <f>VLOOKUP(A985,Orders!$A:$E,5,FALSE)</f>
        <v>8</v>
      </c>
      <c r="E985" s="4">
        <v>661</v>
      </c>
      <c r="F985" s="4">
        <v>12</v>
      </c>
      <c r="G985" s="10">
        <f t="shared" si="15"/>
        <v>55.083333333333336</v>
      </c>
      <c r="H985" s="4">
        <v>1</v>
      </c>
    </row>
    <row r="986" spans="1:8" x14ac:dyDescent="0.2">
      <c r="A986" s="4">
        <v>5867</v>
      </c>
      <c r="B986" s="4" t="s">
        <v>49</v>
      </c>
      <c r="C986" s="4" t="s">
        <v>44</v>
      </c>
      <c r="D986" s="4">
        <f>VLOOKUP(A986,Orders!$A:$E,5,FALSE)</f>
        <v>6</v>
      </c>
      <c r="E986" s="4">
        <v>1654</v>
      </c>
      <c r="F986" s="4">
        <v>16</v>
      </c>
      <c r="G986" s="10">
        <f t="shared" si="15"/>
        <v>103.375</v>
      </c>
      <c r="H986" s="4">
        <v>3</v>
      </c>
    </row>
    <row r="987" spans="1:8" x14ac:dyDescent="0.2">
      <c r="A987" s="4">
        <v>5872</v>
      </c>
      <c r="B987" s="4" t="s">
        <v>49</v>
      </c>
      <c r="C987" s="4" t="s">
        <v>44</v>
      </c>
      <c r="D987" s="4">
        <f>VLOOKUP(A987,Orders!$A:$E,5,FALSE)</f>
        <v>9</v>
      </c>
      <c r="E987" s="4">
        <v>541</v>
      </c>
      <c r="F987" s="4">
        <v>21</v>
      </c>
      <c r="G987" s="10">
        <f t="shared" si="15"/>
        <v>25.761904761904763</v>
      </c>
      <c r="H987" s="4">
        <v>1</v>
      </c>
    </row>
    <row r="988" spans="1:8" x14ac:dyDescent="0.2">
      <c r="A988" s="4">
        <v>5881</v>
      </c>
      <c r="B988" s="4" t="s">
        <v>49</v>
      </c>
      <c r="C988" s="4" t="s">
        <v>44</v>
      </c>
      <c r="D988" s="4">
        <f>VLOOKUP(A988,Orders!$A:$E,5,FALSE)</f>
        <v>5</v>
      </c>
      <c r="E988" s="4">
        <v>1625</v>
      </c>
      <c r="F988" s="4">
        <v>5</v>
      </c>
      <c r="G988" s="10">
        <f t="shared" si="15"/>
        <v>325</v>
      </c>
      <c r="H988" s="4">
        <v>3</v>
      </c>
    </row>
    <row r="989" spans="1:8" x14ac:dyDescent="0.2">
      <c r="A989" s="4">
        <v>5887</v>
      </c>
      <c r="B989" s="4" t="s">
        <v>49</v>
      </c>
      <c r="C989" s="4" t="s">
        <v>44</v>
      </c>
      <c r="D989" s="4">
        <f>VLOOKUP(A989,Orders!$A:$E,5,FALSE)</f>
        <v>10</v>
      </c>
      <c r="E989" s="4">
        <v>371</v>
      </c>
      <c r="F989" s="4">
        <v>14</v>
      </c>
      <c r="G989" s="10">
        <f t="shared" si="15"/>
        <v>26.5</v>
      </c>
      <c r="H989" s="4">
        <v>1</v>
      </c>
    </row>
    <row r="990" spans="1:8" x14ac:dyDescent="0.2">
      <c r="A990" s="4">
        <v>5915</v>
      </c>
      <c r="B990" s="4" t="s">
        <v>49</v>
      </c>
      <c r="C990" s="4" t="s">
        <v>44</v>
      </c>
      <c r="D990" s="4">
        <f>VLOOKUP(A990,Orders!$A:$E,5,FALSE)</f>
        <v>3</v>
      </c>
      <c r="E990" s="4">
        <v>489</v>
      </c>
      <c r="F990" s="4">
        <v>15</v>
      </c>
      <c r="G990" s="10">
        <f t="shared" si="15"/>
        <v>32.6</v>
      </c>
      <c r="H990" s="4">
        <v>2</v>
      </c>
    </row>
    <row r="991" spans="1:8" x14ac:dyDescent="0.2">
      <c r="A991" s="4">
        <v>5921</v>
      </c>
      <c r="B991" s="4" t="s">
        <v>49</v>
      </c>
      <c r="C991" s="4" t="s">
        <v>44</v>
      </c>
      <c r="D991" s="4">
        <f>VLOOKUP(A991,Orders!$A:$E,5,FALSE)</f>
        <v>3</v>
      </c>
      <c r="E991" s="4">
        <v>332</v>
      </c>
      <c r="F991" s="4">
        <v>19</v>
      </c>
      <c r="G991" s="10">
        <f t="shared" si="15"/>
        <v>17.473684210526315</v>
      </c>
      <c r="H991" s="4">
        <v>1</v>
      </c>
    </row>
    <row r="992" spans="1:8" x14ac:dyDescent="0.2">
      <c r="A992" s="4">
        <v>5940</v>
      </c>
      <c r="B992" s="4" t="s">
        <v>49</v>
      </c>
      <c r="C992" s="4" t="s">
        <v>44</v>
      </c>
      <c r="D992" s="4">
        <f>VLOOKUP(A992,Orders!$A:$E,5,FALSE)</f>
        <v>9</v>
      </c>
      <c r="E992" s="4">
        <v>968</v>
      </c>
      <c r="F992" s="4">
        <v>6</v>
      </c>
      <c r="G992" s="10">
        <f t="shared" si="15"/>
        <v>161.33333333333334</v>
      </c>
      <c r="H992" s="4">
        <v>2</v>
      </c>
    </row>
    <row r="993" spans="1:8" x14ac:dyDescent="0.2">
      <c r="A993" s="4">
        <v>5965</v>
      </c>
      <c r="B993" s="4" t="s">
        <v>49</v>
      </c>
      <c r="C993" s="4" t="s">
        <v>44</v>
      </c>
      <c r="D993" s="4">
        <f>VLOOKUP(A993,Orders!$A:$E,5,FALSE)</f>
        <v>7</v>
      </c>
      <c r="E993" s="4">
        <v>483</v>
      </c>
      <c r="F993" s="4">
        <v>2</v>
      </c>
      <c r="G993" s="10">
        <f t="shared" si="15"/>
        <v>241.5</v>
      </c>
      <c r="H993" s="4">
        <v>2</v>
      </c>
    </row>
    <row r="994" spans="1:8" x14ac:dyDescent="0.2">
      <c r="A994" s="4">
        <v>5978</v>
      </c>
      <c r="B994" s="4" t="s">
        <v>49</v>
      </c>
      <c r="C994" s="4" t="s">
        <v>44</v>
      </c>
      <c r="D994" s="4">
        <f>VLOOKUP(A994,Orders!$A:$E,5,FALSE)</f>
        <v>9</v>
      </c>
      <c r="E994" s="4">
        <v>1270</v>
      </c>
      <c r="F994" s="4">
        <v>7</v>
      </c>
      <c r="G994" s="10">
        <f t="shared" si="15"/>
        <v>181.42857142857142</v>
      </c>
      <c r="H994" s="4">
        <v>2</v>
      </c>
    </row>
    <row r="995" spans="1:8" x14ac:dyDescent="0.2">
      <c r="A995" s="4">
        <v>5995</v>
      </c>
      <c r="B995" s="4" t="s">
        <v>49</v>
      </c>
      <c r="C995" s="4" t="s">
        <v>44</v>
      </c>
      <c r="D995" s="4">
        <f>VLOOKUP(A995,Orders!$A:$E,5,FALSE)</f>
        <v>10</v>
      </c>
      <c r="E995" s="4">
        <v>512</v>
      </c>
      <c r="F995" s="4">
        <v>16</v>
      </c>
      <c r="G995" s="10">
        <f t="shared" si="15"/>
        <v>32</v>
      </c>
      <c r="H995" s="4">
        <v>1</v>
      </c>
    </row>
    <row r="996" spans="1:8" x14ac:dyDescent="0.2">
      <c r="A996" s="4">
        <v>5999</v>
      </c>
      <c r="B996" s="4" t="s">
        <v>49</v>
      </c>
      <c r="C996" s="4" t="s">
        <v>44</v>
      </c>
      <c r="D996" s="4">
        <f>VLOOKUP(A996,Orders!$A:$E,5,FALSE)</f>
        <v>4</v>
      </c>
      <c r="E996" s="4">
        <v>1491</v>
      </c>
      <c r="F996" s="4">
        <v>17</v>
      </c>
      <c r="G996" s="10">
        <f t="shared" si="15"/>
        <v>87.705882352941174</v>
      </c>
      <c r="H996" s="4">
        <v>2</v>
      </c>
    </row>
    <row r="997" spans="1:8" x14ac:dyDescent="0.2">
      <c r="A997" s="4">
        <v>6001</v>
      </c>
      <c r="B997" s="4" t="s">
        <v>49</v>
      </c>
      <c r="C997" s="4" t="s">
        <v>44</v>
      </c>
      <c r="D997" s="4">
        <f>VLOOKUP(A997,Orders!$A:$E,5,FALSE)</f>
        <v>8</v>
      </c>
      <c r="E997" s="4">
        <v>1854</v>
      </c>
      <c r="F997" s="4">
        <v>17</v>
      </c>
      <c r="G997" s="10">
        <f t="shared" si="15"/>
        <v>109.05882352941177</v>
      </c>
      <c r="H997" s="4">
        <v>3</v>
      </c>
    </row>
    <row r="998" spans="1:8" x14ac:dyDescent="0.2">
      <c r="A998" s="4">
        <v>6028</v>
      </c>
      <c r="B998" s="4" t="s">
        <v>49</v>
      </c>
      <c r="C998" s="4" t="s">
        <v>44</v>
      </c>
      <c r="D998" s="4">
        <f>VLOOKUP(A998,Orders!$A:$E,5,FALSE)</f>
        <v>5</v>
      </c>
      <c r="E998" s="4">
        <v>1136</v>
      </c>
      <c r="F998" s="4">
        <v>22</v>
      </c>
      <c r="G998" s="10">
        <f t="shared" si="15"/>
        <v>51.636363636363633</v>
      </c>
      <c r="H998" s="4">
        <v>1</v>
      </c>
    </row>
    <row r="999" spans="1:8" x14ac:dyDescent="0.2">
      <c r="A999" s="4">
        <v>6031</v>
      </c>
      <c r="B999" s="4" t="s">
        <v>49</v>
      </c>
      <c r="C999" s="4" t="s">
        <v>44</v>
      </c>
      <c r="D999" s="4">
        <f>VLOOKUP(A999,Orders!$A:$E,5,FALSE)</f>
        <v>10</v>
      </c>
      <c r="E999" s="4">
        <v>1366</v>
      </c>
      <c r="F999" s="4">
        <v>11</v>
      </c>
      <c r="G999" s="10">
        <f t="shared" si="15"/>
        <v>124.18181818181819</v>
      </c>
      <c r="H999" s="4">
        <v>3</v>
      </c>
    </row>
    <row r="1000" spans="1:8" x14ac:dyDescent="0.2">
      <c r="A1000" s="4">
        <v>6047</v>
      </c>
      <c r="B1000" s="4" t="s">
        <v>49</v>
      </c>
      <c r="C1000" s="4" t="s">
        <v>44</v>
      </c>
      <c r="D1000" s="4">
        <f>VLOOKUP(A1000,Orders!$A:$E,5,FALSE)</f>
        <v>9</v>
      </c>
      <c r="E1000" s="4">
        <v>1863</v>
      </c>
      <c r="F1000" s="4">
        <v>3</v>
      </c>
      <c r="G1000" s="10">
        <f t="shared" si="15"/>
        <v>621</v>
      </c>
      <c r="H1000" s="4">
        <v>1</v>
      </c>
    </row>
    <row r="1001" spans="1:8" x14ac:dyDescent="0.2">
      <c r="A1001" s="4">
        <v>6054</v>
      </c>
      <c r="B1001" s="4" t="s">
        <v>49</v>
      </c>
      <c r="C1001" s="4" t="s">
        <v>44</v>
      </c>
      <c r="D1001" s="4">
        <f>VLOOKUP(A1001,Orders!$A:$E,5,FALSE)</f>
        <v>10</v>
      </c>
      <c r="E1001" s="4">
        <v>659</v>
      </c>
      <c r="F1001" s="4">
        <v>19</v>
      </c>
      <c r="G1001" s="10">
        <f t="shared" si="15"/>
        <v>34.684210526315788</v>
      </c>
      <c r="H1001" s="4">
        <v>2</v>
      </c>
    </row>
    <row r="1002" spans="1:8" x14ac:dyDescent="0.2">
      <c r="A1002" s="4">
        <v>6056</v>
      </c>
      <c r="B1002" s="4" t="s">
        <v>49</v>
      </c>
      <c r="C1002" s="4" t="s">
        <v>44</v>
      </c>
      <c r="D1002" s="4">
        <f>VLOOKUP(A1002,Orders!$A:$E,5,FALSE)</f>
        <v>2</v>
      </c>
      <c r="E1002" s="4">
        <v>1445</v>
      </c>
      <c r="F1002" s="4">
        <v>10</v>
      </c>
      <c r="G1002" s="10">
        <f t="shared" si="15"/>
        <v>144.5</v>
      </c>
      <c r="H1002" s="4">
        <v>2</v>
      </c>
    </row>
    <row r="1003" spans="1:8" x14ac:dyDescent="0.2">
      <c r="A1003" s="4">
        <v>6060</v>
      </c>
      <c r="B1003" s="4" t="s">
        <v>49</v>
      </c>
      <c r="C1003" s="4" t="s">
        <v>44</v>
      </c>
      <c r="D1003" s="4">
        <f>VLOOKUP(A1003,Orders!$A:$E,5,FALSE)</f>
        <v>9</v>
      </c>
      <c r="E1003" s="4">
        <v>1477</v>
      </c>
      <c r="F1003" s="4">
        <v>4</v>
      </c>
      <c r="G1003" s="10">
        <f t="shared" si="15"/>
        <v>369.25</v>
      </c>
      <c r="H1003" s="4">
        <v>1</v>
      </c>
    </row>
    <row r="1004" spans="1:8" x14ac:dyDescent="0.2">
      <c r="A1004" s="4">
        <v>6070</v>
      </c>
      <c r="B1004" s="4" t="s">
        <v>49</v>
      </c>
      <c r="C1004" s="4" t="s">
        <v>44</v>
      </c>
      <c r="D1004" s="4">
        <f>VLOOKUP(A1004,Orders!$A:$E,5,FALSE)</f>
        <v>6</v>
      </c>
      <c r="E1004" s="4">
        <v>1230</v>
      </c>
      <c r="F1004" s="4">
        <v>19</v>
      </c>
      <c r="G1004" s="10">
        <f t="shared" si="15"/>
        <v>64.736842105263165</v>
      </c>
      <c r="H1004" s="4">
        <v>1</v>
      </c>
    </row>
    <row r="1005" spans="1:8" x14ac:dyDescent="0.2">
      <c r="A1005" s="4">
        <v>6075</v>
      </c>
      <c r="B1005" s="4" t="s">
        <v>49</v>
      </c>
      <c r="C1005" s="4" t="s">
        <v>44</v>
      </c>
      <c r="D1005" s="4">
        <f>VLOOKUP(A1005,Orders!$A:$E,5,FALSE)</f>
        <v>9</v>
      </c>
      <c r="E1005" s="4">
        <v>1028</v>
      </c>
      <c r="F1005" s="4">
        <v>19</v>
      </c>
      <c r="G1005" s="10">
        <f t="shared" si="15"/>
        <v>54.10526315789474</v>
      </c>
      <c r="H1005" s="4">
        <v>1</v>
      </c>
    </row>
    <row r="1006" spans="1:8" x14ac:dyDescent="0.2">
      <c r="A1006" s="4">
        <v>6078</v>
      </c>
      <c r="B1006" s="4" t="s">
        <v>49</v>
      </c>
      <c r="C1006" s="4" t="s">
        <v>44</v>
      </c>
      <c r="D1006" s="4">
        <f>VLOOKUP(A1006,Orders!$A:$E,5,FALSE)</f>
        <v>10</v>
      </c>
      <c r="E1006" s="4">
        <v>848</v>
      </c>
      <c r="F1006" s="4">
        <v>20</v>
      </c>
      <c r="G1006" s="10">
        <f t="shared" si="15"/>
        <v>42.4</v>
      </c>
      <c r="H1006" s="4">
        <v>2</v>
      </c>
    </row>
    <row r="1007" spans="1:8" x14ac:dyDescent="0.2">
      <c r="A1007" s="4">
        <v>6082</v>
      </c>
      <c r="B1007" s="4" t="s">
        <v>49</v>
      </c>
      <c r="C1007" s="4" t="s">
        <v>44</v>
      </c>
      <c r="D1007" s="4">
        <f>VLOOKUP(A1007,Orders!$A:$E,5,FALSE)</f>
        <v>7</v>
      </c>
      <c r="E1007" s="4">
        <v>1200</v>
      </c>
      <c r="F1007" s="4">
        <v>7</v>
      </c>
      <c r="G1007" s="10">
        <f t="shared" si="15"/>
        <v>171.42857142857142</v>
      </c>
      <c r="H1007" s="4">
        <v>3</v>
      </c>
    </row>
    <row r="1008" spans="1:8" x14ac:dyDescent="0.2">
      <c r="A1008" s="4">
        <v>6096</v>
      </c>
      <c r="B1008" s="4" t="s">
        <v>49</v>
      </c>
      <c r="C1008" s="4" t="s">
        <v>44</v>
      </c>
      <c r="D1008" s="4">
        <f>VLOOKUP(A1008,Orders!$A:$E,5,FALSE)</f>
        <v>9</v>
      </c>
      <c r="E1008" s="4">
        <v>600</v>
      </c>
      <c r="F1008" s="4">
        <v>10</v>
      </c>
      <c r="G1008" s="10">
        <f t="shared" si="15"/>
        <v>60</v>
      </c>
      <c r="H1008" s="4">
        <v>1</v>
      </c>
    </row>
    <row r="1009" spans="1:8" x14ac:dyDescent="0.2">
      <c r="A1009" s="4">
        <v>6174</v>
      </c>
      <c r="B1009" s="4" t="s">
        <v>49</v>
      </c>
      <c r="C1009" s="4" t="s">
        <v>44</v>
      </c>
      <c r="D1009" s="4">
        <f>VLOOKUP(A1009,Orders!$A:$E,5,FALSE)</f>
        <v>5</v>
      </c>
      <c r="E1009" s="4">
        <v>678</v>
      </c>
      <c r="F1009" s="4">
        <v>13</v>
      </c>
      <c r="G1009" s="10">
        <f t="shared" si="15"/>
        <v>52.153846153846153</v>
      </c>
      <c r="H1009" s="4">
        <v>3</v>
      </c>
    </row>
    <row r="1010" spans="1:8" x14ac:dyDescent="0.2">
      <c r="A1010" s="4">
        <v>6182</v>
      </c>
      <c r="B1010" s="4" t="s">
        <v>49</v>
      </c>
      <c r="C1010" s="4" t="s">
        <v>44</v>
      </c>
      <c r="D1010" s="4">
        <f>VLOOKUP(A1010,Orders!$A:$E,5,FALSE)</f>
        <v>2</v>
      </c>
      <c r="E1010" s="4">
        <v>1141</v>
      </c>
      <c r="F1010" s="4">
        <v>17</v>
      </c>
      <c r="G1010" s="10">
        <f t="shared" si="15"/>
        <v>67.117647058823536</v>
      </c>
      <c r="H1010" s="4">
        <v>2</v>
      </c>
    </row>
    <row r="1011" spans="1:8" x14ac:dyDescent="0.2">
      <c r="A1011" s="4">
        <v>6186</v>
      </c>
      <c r="B1011" s="4" t="s">
        <v>49</v>
      </c>
      <c r="C1011" s="4" t="s">
        <v>44</v>
      </c>
      <c r="D1011" s="4">
        <f>VLOOKUP(A1011,Orders!$A:$E,5,FALSE)</f>
        <v>10</v>
      </c>
      <c r="E1011" s="4">
        <v>1088</v>
      </c>
      <c r="F1011" s="4">
        <v>20</v>
      </c>
      <c r="G1011" s="10">
        <f t="shared" si="15"/>
        <v>54.4</v>
      </c>
      <c r="H1011" s="4">
        <v>3</v>
      </c>
    </row>
    <row r="1012" spans="1:8" x14ac:dyDescent="0.2">
      <c r="A1012" s="4">
        <v>6194</v>
      </c>
      <c r="B1012" s="4" t="s">
        <v>49</v>
      </c>
      <c r="C1012" s="4" t="s">
        <v>44</v>
      </c>
      <c r="D1012" s="4">
        <f>VLOOKUP(A1012,Orders!$A:$E,5,FALSE)</f>
        <v>5</v>
      </c>
      <c r="E1012" s="4">
        <v>1984</v>
      </c>
      <c r="F1012" s="4">
        <v>2</v>
      </c>
      <c r="G1012" s="10">
        <f t="shared" si="15"/>
        <v>992</v>
      </c>
      <c r="H1012" s="4">
        <v>3</v>
      </c>
    </row>
    <row r="1013" spans="1:8" x14ac:dyDescent="0.2">
      <c r="A1013" s="4">
        <v>6208</v>
      </c>
      <c r="B1013" s="4" t="s">
        <v>49</v>
      </c>
      <c r="C1013" s="4" t="s">
        <v>44</v>
      </c>
      <c r="D1013" s="4">
        <f>VLOOKUP(A1013,Orders!$A:$E,5,FALSE)</f>
        <v>9</v>
      </c>
      <c r="E1013" s="4">
        <v>100</v>
      </c>
      <c r="F1013" s="4">
        <v>15</v>
      </c>
      <c r="G1013" s="10">
        <f t="shared" si="15"/>
        <v>6.666666666666667</v>
      </c>
      <c r="H1013" s="4">
        <v>1</v>
      </c>
    </row>
    <row r="1014" spans="1:8" x14ac:dyDescent="0.2">
      <c r="A1014" s="4">
        <v>6261</v>
      </c>
      <c r="B1014" s="4" t="s">
        <v>49</v>
      </c>
      <c r="C1014" s="4" t="s">
        <v>44</v>
      </c>
      <c r="D1014" s="4">
        <f>VLOOKUP(A1014,Orders!$A:$E,5,FALSE)</f>
        <v>5</v>
      </c>
      <c r="E1014" s="4">
        <v>1860</v>
      </c>
      <c r="F1014" s="4">
        <v>18</v>
      </c>
      <c r="G1014" s="10">
        <f t="shared" si="15"/>
        <v>103.33333333333333</v>
      </c>
      <c r="H1014" s="4">
        <v>1</v>
      </c>
    </row>
    <row r="1015" spans="1:8" x14ac:dyDescent="0.2">
      <c r="A1015" s="4">
        <v>6292</v>
      </c>
      <c r="B1015" s="4" t="s">
        <v>49</v>
      </c>
      <c r="C1015" s="4" t="s">
        <v>44</v>
      </c>
      <c r="D1015" s="4">
        <f>VLOOKUP(A1015,Orders!$A:$E,5,FALSE)</f>
        <v>4</v>
      </c>
      <c r="E1015" s="4">
        <v>434</v>
      </c>
      <c r="F1015" s="4">
        <v>13</v>
      </c>
      <c r="G1015" s="10">
        <f t="shared" si="15"/>
        <v>33.384615384615387</v>
      </c>
      <c r="H1015" s="4">
        <v>2</v>
      </c>
    </row>
    <row r="1016" spans="1:8" x14ac:dyDescent="0.2">
      <c r="A1016" s="4">
        <v>6297</v>
      </c>
      <c r="B1016" s="4" t="s">
        <v>49</v>
      </c>
      <c r="C1016" s="4" t="s">
        <v>44</v>
      </c>
      <c r="D1016" s="4">
        <f>VLOOKUP(A1016,Orders!$A:$E,5,FALSE)</f>
        <v>5</v>
      </c>
      <c r="E1016" s="4">
        <v>977</v>
      </c>
      <c r="F1016" s="4">
        <v>17</v>
      </c>
      <c r="G1016" s="10">
        <f t="shared" si="15"/>
        <v>57.470588235294116</v>
      </c>
      <c r="H1016" s="4">
        <v>3</v>
      </c>
    </row>
    <row r="1017" spans="1:8" x14ac:dyDescent="0.2">
      <c r="A1017" s="4">
        <v>6319</v>
      </c>
      <c r="B1017" s="4" t="s">
        <v>49</v>
      </c>
      <c r="C1017" s="4" t="s">
        <v>44</v>
      </c>
      <c r="D1017" s="4">
        <f>VLOOKUP(A1017,Orders!$A:$E,5,FALSE)</f>
        <v>10</v>
      </c>
      <c r="E1017" s="4">
        <v>196</v>
      </c>
      <c r="F1017" s="4">
        <v>14</v>
      </c>
      <c r="G1017" s="10">
        <f t="shared" si="15"/>
        <v>14</v>
      </c>
      <c r="H1017" s="4">
        <v>3</v>
      </c>
    </row>
    <row r="1018" spans="1:8" x14ac:dyDescent="0.2">
      <c r="A1018" s="4">
        <v>6325</v>
      </c>
      <c r="B1018" s="4" t="s">
        <v>49</v>
      </c>
      <c r="C1018" s="4" t="s">
        <v>44</v>
      </c>
      <c r="D1018" s="4">
        <f>VLOOKUP(A1018,Orders!$A:$E,5,FALSE)</f>
        <v>2</v>
      </c>
      <c r="E1018" s="4">
        <v>900</v>
      </c>
      <c r="F1018" s="4">
        <v>21</v>
      </c>
      <c r="G1018" s="10">
        <f t="shared" si="15"/>
        <v>42.857142857142854</v>
      </c>
      <c r="H1018" s="4">
        <v>3</v>
      </c>
    </row>
    <row r="1019" spans="1:8" x14ac:dyDescent="0.2">
      <c r="A1019" s="4">
        <v>6340</v>
      </c>
      <c r="B1019" s="4" t="s">
        <v>49</v>
      </c>
      <c r="C1019" s="4" t="s">
        <v>44</v>
      </c>
      <c r="D1019" s="4">
        <f>VLOOKUP(A1019,Orders!$A:$E,5,FALSE)</f>
        <v>8</v>
      </c>
      <c r="E1019" s="4">
        <v>1031</v>
      </c>
      <c r="F1019" s="4">
        <v>3</v>
      </c>
      <c r="G1019" s="10">
        <f t="shared" si="15"/>
        <v>343.66666666666669</v>
      </c>
      <c r="H1019" s="4">
        <v>3</v>
      </c>
    </row>
    <row r="1020" spans="1:8" x14ac:dyDescent="0.2">
      <c r="A1020" s="4">
        <v>6364</v>
      </c>
      <c r="B1020" s="4" t="s">
        <v>49</v>
      </c>
      <c r="C1020" s="4" t="s">
        <v>44</v>
      </c>
      <c r="D1020" s="4">
        <f>VLOOKUP(A1020,Orders!$A:$E,5,FALSE)</f>
        <v>7</v>
      </c>
      <c r="E1020" s="4">
        <v>571</v>
      </c>
      <c r="F1020" s="4">
        <v>3</v>
      </c>
      <c r="G1020" s="10">
        <f t="shared" si="15"/>
        <v>190.33333333333334</v>
      </c>
      <c r="H1020" s="4">
        <v>1</v>
      </c>
    </row>
    <row r="1021" spans="1:8" x14ac:dyDescent="0.2">
      <c r="A1021" s="4">
        <v>6365</v>
      </c>
      <c r="B1021" s="4" t="s">
        <v>49</v>
      </c>
      <c r="C1021" s="4" t="s">
        <v>44</v>
      </c>
      <c r="D1021" s="4">
        <f>VLOOKUP(A1021,Orders!$A:$E,5,FALSE)</f>
        <v>3</v>
      </c>
      <c r="E1021" s="4">
        <v>827</v>
      </c>
      <c r="F1021" s="4">
        <v>11</v>
      </c>
      <c r="G1021" s="10">
        <f t="shared" si="15"/>
        <v>75.181818181818187</v>
      </c>
      <c r="H1021" s="4">
        <v>1</v>
      </c>
    </row>
    <row r="1022" spans="1:8" x14ac:dyDescent="0.2">
      <c r="A1022" s="4">
        <v>6367</v>
      </c>
      <c r="B1022" s="4" t="s">
        <v>49</v>
      </c>
      <c r="C1022" s="4" t="s">
        <v>44</v>
      </c>
      <c r="D1022" s="4">
        <f>VLOOKUP(A1022,Orders!$A:$E,5,FALSE)</f>
        <v>10</v>
      </c>
      <c r="E1022" s="4">
        <v>239</v>
      </c>
      <c r="F1022" s="4">
        <v>8</v>
      </c>
      <c r="G1022" s="10">
        <f t="shared" si="15"/>
        <v>29.875</v>
      </c>
      <c r="H1022" s="4">
        <v>3</v>
      </c>
    </row>
    <row r="1023" spans="1:8" x14ac:dyDescent="0.2">
      <c r="A1023" s="4">
        <v>6372</v>
      </c>
      <c r="B1023" s="4" t="s">
        <v>49</v>
      </c>
      <c r="C1023" s="4" t="s">
        <v>44</v>
      </c>
      <c r="D1023" s="4">
        <f>VLOOKUP(A1023,Orders!$A:$E,5,FALSE)</f>
        <v>7</v>
      </c>
      <c r="E1023" s="4">
        <v>955</v>
      </c>
      <c r="F1023" s="4">
        <v>14</v>
      </c>
      <c r="G1023" s="10">
        <f t="shared" si="15"/>
        <v>68.214285714285708</v>
      </c>
      <c r="H1023" s="4">
        <v>3</v>
      </c>
    </row>
    <row r="1024" spans="1:8" x14ac:dyDescent="0.2">
      <c r="A1024" s="4">
        <v>6379</v>
      </c>
      <c r="B1024" s="4" t="s">
        <v>49</v>
      </c>
      <c r="C1024" s="4" t="s">
        <v>44</v>
      </c>
      <c r="D1024" s="4">
        <f>VLOOKUP(A1024,Orders!$A:$E,5,FALSE)</f>
        <v>9</v>
      </c>
      <c r="E1024" s="4">
        <v>303</v>
      </c>
      <c r="F1024" s="4">
        <v>17</v>
      </c>
      <c r="G1024" s="10">
        <f t="shared" si="15"/>
        <v>17.823529411764707</v>
      </c>
      <c r="H1024" s="4">
        <v>3</v>
      </c>
    </row>
    <row r="1025" spans="1:8" x14ac:dyDescent="0.2">
      <c r="A1025" s="4">
        <v>6382</v>
      </c>
      <c r="B1025" s="4" t="s">
        <v>49</v>
      </c>
      <c r="C1025" s="4" t="s">
        <v>44</v>
      </c>
      <c r="D1025" s="4">
        <f>VLOOKUP(A1025,Orders!$A:$E,5,FALSE)</f>
        <v>2</v>
      </c>
      <c r="E1025" s="4">
        <v>1048</v>
      </c>
      <c r="F1025" s="4">
        <v>6</v>
      </c>
      <c r="G1025" s="10">
        <f t="shared" si="15"/>
        <v>174.66666666666666</v>
      </c>
      <c r="H1025" s="4">
        <v>2</v>
      </c>
    </row>
    <row r="1026" spans="1:8" x14ac:dyDescent="0.2">
      <c r="A1026" s="4">
        <v>6395</v>
      </c>
      <c r="B1026" s="4" t="s">
        <v>49</v>
      </c>
      <c r="C1026" s="4" t="s">
        <v>44</v>
      </c>
      <c r="D1026" s="4">
        <f>VLOOKUP(A1026,Orders!$A:$E,5,FALSE)</f>
        <v>10</v>
      </c>
      <c r="E1026" s="4">
        <v>1902</v>
      </c>
      <c r="F1026" s="4">
        <v>13</v>
      </c>
      <c r="G1026" s="10">
        <f t="shared" ref="G1026:G1089" si="16">E1026/F1026</f>
        <v>146.30769230769232</v>
      </c>
      <c r="H1026" s="4">
        <v>2</v>
      </c>
    </row>
    <row r="1027" spans="1:8" x14ac:dyDescent="0.2">
      <c r="A1027" s="4">
        <v>6417</v>
      </c>
      <c r="B1027" s="4" t="s">
        <v>49</v>
      </c>
      <c r="C1027" s="4" t="s">
        <v>44</v>
      </c>
      <c r="D1027" s="4">
        <f>VLOOKUP(A1027,Orders!$A:$E,5,FALSE)</f>
        <v>7</v>
      </c>
      <c r="E1027" s="4">
        <v>1152</v>
      </c>
      <c r="F1027" s="4">
        <v>19</v>
      </c>
      <c r="G1027" s="10">
        <f t="shared" si="16"/>
        <v>60.631578947368418</v>
      </c>
      <c r="H1027" s="4">
        <v>1</v>
      </c>
    </row>
    <row r="1028" spans="1:8" x14ac:dyDescent="0.2">
      <c r="A1028" s="4">
        <v>6422</v>
      </c>
      <c r="B1028" s="4" t="s">
        <v>49</v>
      </c>
      <c r="C1028" s="4" t="s">
        <v>44</v>
      </c>
      <c r="D1028" s="4">
        <f>VLOOKUP(A1028,Orders!$A:$E,5,FALSE)</f>
        <v>8</v>
      </c>
      <c r="E1028" s="4">
        <v>1949</v>
      </c>
      <c r="F1028" s="4">
        <v>2</v>
      </c>
      <c r="G1028" s="10">
        <f t="shared" si="16"/>
        <v>974.5</v>
      </c>
      <c r="H1028" s="4">
        <v>3</v>
      </c>
    </row>
    <row r="1029" spans="1:8" x14ac:dyDescent="0.2">
      <c r="A1029" s="4">
        <v>6438</v>
      </c>
      <c r="B1029" s="4" t="s">
        <v>49</v>
      </c>
      <c r="C1029" s="4" t="s">
        <v>44</v>
      </c>
      <c r="D1029" s="4">
        <f>VLOOKUP(A1029,Orders!$A:$E,5,FALSE)</f>
        <v>5</v>
      </c>
      <c r="E1029" s="4">
        <v>1973</v>
      </c>
      <c r="F1029" s="4">
        <v>8</v>
      </c>
      <c r="G1029" s="10">
        <f t="shared" si="16"/>
        <v>246.625</v>
      </c>
      <c r="H1029" s="4">
        <v>3</v>
      </c>
    </row>
    <row r="1030" spans="1:8" x14ac:dyDescent="0.2">
      <c r="A1030" s="4">
        <v>6441</v>
      </c>
      <c r="B1030" s="4" t="s">
        <v>49</v>
      </c>
      <c r="C1030" s="4" t="s">
        <v>44</v>
      </c>
      <c r="D1030" s="4">
        <f>VLOOKUP(A1030,Orders!$A:$E,5,FALSE)</f>
        <v>9</v>
      </c>
      <c r="E1030" s="4">
        <v>998</v>
      </c>
      <c r="F1030" s="4">
        <v>10</v>
      </c>
      <c r="G1030" s="10">
        <f t="shared" si="16"/>
        <v>99.8</v>
      </c>
      <c r="H1030" s="4">
        <v>3</v>
      </c>
    </row>
    <row r="1031" spans="1:8" x14ac:dyDescent="0.2">
      <c r="A1031" s="4">
        <v>6459</v>
      </c>
      <c r="B1031" s="4" t="s">
        <v>49</v>
      </c>
      <c r="C1031" s="4" t="s">
        <v>44</v>
      </c>
      <c r="D1031" s="4">
        <f>VLOOKUP(A1031,Orders!$A:$E,5,FALSE)</f>
        <v>5</v>
      </c>
      <c r="E1031" s="4">
        <v>327</v>
      </c>
      <c r="F1031" s="4">
        <v>21</v>
      </c>
      <c r="G1031" s="10">
        <f t="shared" si="16"/>
        <v>15.571428571428571</v>
      </c>
      <c r="H1031" s="4">
        <v>2</v>
      </c>
    </row>
    <row r="1032" spans="1:8" x14ac:dyDescent="0.2">
      <c r="A1032" s="4">
        <v>6463</v>
      </c>
      <c r="B1032" s="4" t="s">
        <v>49</v>
      </c>
      <c r="C1032" s="4" t="s">
        <v>44</v>
      </c>
      <c r="D1032" s="4">
        <f>VLOOKUP(A1032,Orders!$A:$E,5,FALSE)</f>
        <v>4</v>
      </c>
      <c r="E1032" s="4">
        <v>1615</v>
      </c>
      <c r="F1032" s="4">
        <v>24</v>
      </c>
      <c r="G1032" s="10">
        <f t="shared" si="16"/>
        <v>67.291666666666671</v>
      </c>
      <c r="H1032" s="4">
        <v>3</v>
      </c>
    </row>
    <row r="1033" spans="1:8" x14ac:dyDescent="0.2">
      <c r="A1033" s="4">
        <v>6495</v>
      </c>
      <c r="B1033" s="4" t="s">
        <v>49</v>
      </c>
      <c r="C1033" s="4" t="s">
        <v>44</v>
      </c>
      <c r="D1033" s="4">
        <f>VLOOKUP(A1033,Orders!$A:$E,5,FALSE)</f>
        <v>5</v>
      </c>
      <c r="E1033" s="4">
        <v>1660</v>
      </c>
      <c r="F1033" s="4">
        <v>14</v>
      </c>
      <c r="G1033" s="10">
        <f t="shared" si="16"/>
        <v>118.57142857142857</v>
      </c>
      <c r="H1033" s="4">
        <v>1</v>
      </c>
    </row>
    <row r="1034" spans="1:8" x14ac:dyDescent="0.2">
      <c r="A1034" s="4">
        <v>5010</v>
      </c>
      <c r="B1034" s="4" t="s">
        <v>51</v>
      </c>
      <c r="C1034" s="4" t="s">
        <v>44</v>
      </c>
      <c r="D1034" s="4">
        <f>VLOOKUP(A1034,Orders!$A:$E,5,FALSE)</f>
        <v>8</v>
      </c>
      <c r="E1034" s="4">
        <v>485</v>
      </c>
      <c r="F1034" s="4">
        <v>22</v>
      </c>
      <c r="G1034" s="10">
        <f t="shared" si="16"/>
        <v>22.045454545454547</v>
      </c>
      <c r="H1034" s="4">
        <v>1</v>
      </c>
    </row>
    <row r="1035" spans="1:8" x14ac:dyDescent="0.2">
      <c r="A1035" s="4">
        <v>5034</v>
      </c>
      <c r="B1035" s="4" t="s">
        <v>51</v>
      </c>
      <c r="C1035" s="4" t="s">
        <v>44</v>
      </c>
      <c r="D1035" s="4">
        <f>VLOOKUP(A1035,Orders!$A:$E,5,FALSE)</f>
        <v>6</v>
      </c>
      <c r="E1035" s="4">
        <v>1186</v>
      </c>
      <c r="F1035" s="4">
        <v>6</v>
      </c>
      <c r="G1035" s="10">
        <f t="shared" si="16"/>
        <v>197.66666666666666</v>
      </c>
      <c r="H1035" s="4">
        <v>3</v>
      </c>
    </row>
    <row r="1036" spans="1:8" x14ac:dyDescent="0.2">
      <c r="A1036" s="4">
        <v>5047</v>
      </c>
      <c r="B1036" s="4" t="s">
        <v>51</v>
      </c>
      <c r="C1036" s="4" t="s">
        <v>44</v>
      </c>
      <c r="D1036" s="4">
        <f>VLOOKUP(A1036,Orders!$A:$E,5,FALSE)</f>
        <v>6</v>
      </c>
      <c r="E1036" s="4">
        <v>1522</v>
      </c>
      <c r="F1036" s="4">
        <v>7</v>
      </c>
      <c r="G1036" s="10">
        <f t="shared" si="16"/>
        <v>217.42857142857142</v>
      </c>
      <c r="H1036" s="4">
        <v>3</v>
      </c>
    </row>
    <row r="1037" spans="1:8" x14ac:dyDescent="0.2">
      <c r="A1037" s="4">
        <v>5056</v>
      </c>
      <c r="B1037" s="4" t="s">
        <v>51</v>
      </c>
      <c r="C1037" s="4" t="s">
        <v>44</v>
      </c>
      <c r="D1037" s="4">
        <f>VLOOKUP(A1037,Orders!$A:$E,5,FALSE)</f>
        <v>8</v>
      </c>
      <c r="E1037" s="4">
        <v>1833</v>
      </c>
      <c r="F1037" s="4">
        <v>7</v>
      </c>
      <c r="G1037" s="10">
        <f t="shared" si="16"/>
        <v>261.85714285714283</v>
      </c>
      <c r="H1037" s="4">
        <v>2</v>
      </c>
    </row>
    <row r="1038" spans="1:8" x14ac:dyDescent="0.2">
      <c r="A1038" s="4">
        <v>5062</v>
      </c>
      <c r="B1038" s="4" t="s">
        <v>51</v>
      </c>
      <c r="C1038" s="4" t="s">
        <v>44</v>
      </c>
      <c r="D1038" s="4">
        <f>VLOOKUP(A1038,Orders!$A:$E,5,FALSE)</f>
        <v>6</v>
      </c>
      <c r="E1038" s="4">
        <v>1721</v>
      </c>
      <c r="F1038" s="4">
        <v>16</v>
      </c>
      <c r="G1038" s="10">
        <f t="shared" si="16"/>
        <v>107.5625</v>
      </c>
      <c r="H1038" s="4">
        <v>2</v>
      </c>
    </row>
    <row r="1039" spans="1:8" x14ac:dyDescent="0.2">
      <c r="A1039" s="4">
        <v>5071</v>
      </c>
      <c r="B1039" s="4" t="s">
        <v>51</v>
      </c>
      <c r="C1039" s="4" t="s">
        <v>44</v>
      </c>
      <c r="D1039" s="4">
        <f>VLOOKUP(A1039,Orders!$A:$E,5,FALSE)</f>
        <v>3</v>
      </c>
      <c r="E1039" s="4">
        <v>1399</v>
      </c>
      <c r="F1039" s="4">
        <v>8</v>
      </c>
      <c r="G1039" s="10">
        <f t="shared" si="16"/>
        <v>174.875</v>
      </c>
      <c r="H1039" s="4">
        <v>2</v>
      </c>
    </row>
    <row r="1040" spans="1:8" x14ac:dyDescent="0.2">
      <c r="A1040" s="4">
        <v>5072</v>
      </c>
      <c r="B1040" s="4" t="s">
        <v>51</v>
      </c>
      <c r="C1040" s="4" t="s">
        <v>44</v>
      </c>
      <c r="D1040" s="4">
        <f>VLOOKUP(A1040,Orders!$A:$E,5,FALSE)</f>
        <v>7</v>
      </c>
      <c r="E1040" s="4">
        <v>1012</v>
      </c>
      <c r="F1040" s="4">
        <v>7</v>
      </c>
      <c r="G1040" s="10">
        <f t="shared" si="16"/>
        <v>144.57142857142858</v>
      </c>
      <c r="H1040" s="4">
        <v>3</v>
      </c>
    </row>
    <row r="1041" spans="1:8" x14ac:dyDescent="0.2">
      <c r="A1041" s="4">
        <v>5075</v>
      </c>
      <c r="B1041" s="4" t="s">
        <v>51</v>
      </c>
      <c r="C1041" s="4" t="s">
        <v>44</v>
      </c>
      <c r="D1041" s="4">
        <f>VLOOKUP(A1041,Orders!$A:$E,5,FALSE)</f>
        <v>4</v>
      </c>
      <c r="E1041" s="4">
        <v>1474</v>
      </c>
      <c r="F1041" s="4">
        <v>7</v>
      </c>
      <c r="G1041" s="10">
        <f t="shared" si="16"/>
        <v>210.57142857142858</v>
      </c>
      <c r="H1041" s="4">
        <v>1</v>
      </c>
    </row>
    <row r="1042" spans="1:8" x14ac:dyDescent="0.2">
      <c r="A1042" s="4">
        <v>5085</v>
      </c>
      <c r="B1042" s="4" t="s">
        <v>51</v>
      </c>
      <c r="C1042" s="4" t="s">
        <v>44</v>
      </c>
      <c r="D1042" s="4">
        <f>VLOOKUP(A1042,Orders!$A:$E,5,FALSE)</f>
        <v>10</v>
      </c>
      <c r="E1042" s="4">
        <v>79</v>
      </c>
      <c r="F1042" s="4">
        <v>11</v>
      </c>
      <c r="G1042" s="10">
        <f t="shared" si="16"/>
        <v>7.1818181818181817</v>
      </c>
      <c r="H1042" s="4">
        <v>2</v>
      </c>
    </row>
    <row r="1043" spans="1:8" x14ac:dyDescent="0.2">
      <c r="A1043" s="4">
        <v>5089</v>
      </c>
      <c r="B1043" s="4" t="s">
        <v>51</v>
      </c>
      <c r="C1043" s="4" t="s">
        <v>44</v>
      </c>
      <c r="D1043" s="4">
        <f>VLOOKUP(A1043,Orders!$A:$E,5,FALSE)</f>
        <v>7</v>
      </c>
      <c r="E1043" s="4">
        <v>715</v>
      </c>
      <c r="F1043" s="4">
        <v>22</v>
      </c>
      <c r="G1043" s="10">
        <f t="shared" si="16"/>
        <v>32.5</v>
      </c>
      <c r="H1043" s="4">
        <v>1</v>
      </c>
    </row>
    <row r="1044" spans="1:8" x14ac:dyDescent="0.2">
      <c r="A1044" s="4">
        <v>5096</v>
      </c>
      <c r="B1044" s="4" t="s">
        <v>51</v>
      </c>
      <c r="C1044" s="4" t="s">
        <v>44</v>
      </c>
      <c r="D1044" s="4">
        <f>VLOOKUP(A1044,Orders!$A:$E,5,FALSE)</f>
        <v>5</v>
      </c>
      <c r="E1044" s="4">
        <v>614</v>
      </c>
      <c r="F1044" s="4">
        <v>7</v>
      </c>
      <c r="G1044" s="10">
        <f t="shared" si="16"/>
        <v>87.714285714285708</v>
      </c>
      <c r="H1044" s="4">
        <v>2</v>
      </c>
    </row>
    <row r="1045" spans="1:8" x14ac:dyDescent="0.2">
      <c r="A1045" s="4">
        <v>5102</v>
      </c>
      <c r="B1045" s="4" t="s">
        <v>51</v>
      </c>
      <c r="C1045" s="4" t="s">
        <v>44</v>
      </c>
      <c r="D1045" s="4">
        <f>VLOOKUP(A1045,Orders!$A:$E,5,FALSE)</f>
        <v>4</v>
      </c>
      <c r="E1045" s="4">
        <v>1695</v>
      </c>
      <c r="F1045" s="4">
        <v>10</v>
      </c>
      <c r="G1045" s="10">
        <f t="shared" si="16"/>
        <v>169.5</v>
      </c>
      <c r="H1045" s="4">
        <v>1</v>
      </c>
    </row>
    <row r="1046" spans="1:8" x14ac:dyDescent="0.2">
      <c r="A1046" s="4">
        <v>5114</v>
      </c>
      <c r="B1046" s="4" t="s">
        <v>51</v>
      </c>
      <c r="C1046" s="4" t="s">
        <v>44</v>
      </c>
      <c r="D1046" s="4">
        <f>VLOOKUP(A1046,Orders!$A:$E,5,FALSE)</f>
        <v>7</v>
      </c>
      <c r="E1046" s="4">
        <v>935</v>
      </c>
      <c r="F1046" s="4">
        <v>13</v>
      </c>
      <c r="G1046" s="10">
        <f t="shared" si="16"/>
        <v>71.92307692307692</v>
      </c>
      <c r="H1046" s="4">
        <v>2</v>
      </c>
    </row>
    <row r="1047" spans="1:8" x14ac:dyDescent="0.2">
      <c r="A1047" s="4">
        <v>5117</v>
      </c>
      <c r="B1047" s="4" t="s">
        <v>51</v>
      </c>
      <c r="C1047" s="4" t="s">
        <v>44</v>
      </c>
      <c r="D1047" s="4">
        <f>VLOOKUP(A1047,Orders!$A:$E,5,FALSE)</f>
        <v>2</v>
      </c>
      <c r="E1047" s="4">
        <v>191</v>
      </c>
      <c r="F1047" s="4">
        <v>6</v>
      </c>
      <c r="G1047" s="10">
        <f t="shared" si="16"/>
        <v>31.833333333333332</v>
      </c>
      <c r="H1047" s="4">
        <v>2</v>
      </c>
    </row>
    <row r="1048" spans="1:8" x14ac:dyDescent="0.2">
      <c r="A1048" s="4">
        <v>5118</v>
      </c>
      <c r="B1048" s="4" t="s">
        <v>51</v>
      </c>
      <c r="C1048" s="4" t="s">
        <v>44</v>
      </c>
      <c r="D1048" s="4">
        <f>VLOOKUP(A1048,Orders!$A:$E,5,FALSE)</f>
        <v>8</v>
      </c>
      <c r="E1048" s="4">
        <v>140</v>
      </c>
      <c r="F1048" s="4">
        <v>17</v>
      </c>
      <c r="G1048" s="10">
        <f t="shared" si="16"/>
        <v>8.235294117647058</v>
      </c>
      <c r="H1048" s="4">
        <v>2</v>
      </c>
    </row>
    <row r="1049" spans="1:8" x14ac:dyDescent="0.2">
      <c r="A1049" s="4">
        <v>5125</v>
      </c>
      <c r="B1049" s="4" t="s">
        <v>51</v>
      </c>
      <c r="C1049" s="4" t="s">
        <v>44</v>
      </c>
      <c r="D1049" s="4">
        <f>VLOOKUP(A1049,Orders!$A:$E,5,FALSE)</f>
        <v>9</v>
      </c>
      <c r="E1049" s="4">
        <v>1570</v>
      </c>
      <c r="F1049" s="4">
        <v>2</v>
      </c>
      <c r="G1049" s="10">
        <f t="shared" si="16"/>
        <v>785</v>
      </c>
      <c r="H1049" s="4">
        <v>1</v>
      </c>
    </row>
    <row r="1050" spans="1:8" x14ac:dyDescent="0.2">
      <c r="A1050" s="4">
        <v>5128</v>
      </c>
      <c r="B1050" s="4" t="s">
        <v>51</v>
      </c>
      <c r="C1050" s="4" t="s">
        <v>44</v>
      </c>
      <c r="D1050" s="4">
        <f>VLOOKUP(A1050,Orders!$A:$E,5,FALSE)</f>
        <v>7</v>
      </c>
      <c r="E1050" s="4">
        <v>1553</v>
      </c>
      <c r="F1050" s="4">
        <v>19</v>
      </c>
      <c r="G1050" s="10">
        <f t="shared" si="16"/>
        <v>81.736842105263165</v>
      </c>
      <c r="H1050" s="4">
        <v>2</v>
      </c>
    </row>
    <row r="1051" spans="1:8" x14ac:dyDescent="0.2">
      <c r="A1051" s="4">
        <v>5139</v>
      </c>
      <c r="B1051" s="4" t="s">
        <v>51</v>
      </c>
      <c r="C1051" s="4" t="s">
        <v>44</v>
      </c>
      <c r="D1051" s="4">
        <f>VLOOKUP(A1051,Orders!$A:$E,5,FALSE)</f>
        <v>7</v>
      </c>
      <c r="E1051" s="4">
        <v>156</v>
      </c>
      <c r="F1051" s="4">
        <v>13</v>
      </c>
      <c r="G1051" s="10">
        <f t="shared" si="16"/>
        <v>12</v>
      </c>
      <c r="H1051" s="4">
        <v>3</v>
      </c>
    </row>
    <row r="1052" spans="1:8" x14ac:dyDescent="0.2">
      <c r="A1052" s="4">
        <v>5168</v>
      </c>
      <c r="B1052" s="4" t="s">
        <v>51</v>
      </c>
      <c r="C1052" s="4" t="s">
        <v>44</v>
      </c>
      <c r="D1052" s="4">
        <f>VLOOKUP(A1052,Orders!$A:$E,5,FALSE)</f>
        <v>5</v>
      </c>
      <c r="E1052" s="4">
        <v>989</v>
      </c>
      <c r="F1052" s="4">
        <v>22</v>
      </c>
      <c r="G1052" s="10">
        <f t="shared" si="16"/>
        <v>44.954545454545453</v>
      </c>
      <c r="H1052" s="4">
        <v>3</v>
      </c>
    </row>
    <row r="1053" spans="1:8" x14ac:dyDescent="0.2">
      <c r="A1053" s="4">
        <v>5191</v>
      </c>
      <c r="B1053" s="4" t="s">
        <v>51</v>
      </c>
      <c r="C1053" s="4" t="s">
        <v>44</v>
      </c>
      <c r="D1053" s="4">
        <f>VLOOKUP(A1053,Orders!$A:$E,5,FALSE)</f>
        <v>2</v>
      </c>
      <c r="E1053" s="4">
        <v>95</v>
      </c>
      <c r="F1053" s="4">
        <v>20</v>
      </c>
      <c r="G1053" s="10">
        <f t="shared" si="16"/>
        <v>4.75</v>
      </c>
      <c r="H1053" s="4">
        <v>2</v>
      </c>
    </row>
    <row r="1054" spans="1:8" x14ac:dyDescent="0.2">
      <c r="A1054" s="4">
        <v>5211</v>
      </c>
      <c r="B1054" s="4" t="s">
        <v>51</v>
      </c>
      <c r="C1054" s="4" t="s">
        <v>44</v>
      </c>
      <c r="D1054" s="4">
        <f>VLOOKUP(A1054,Orders!$A:$E,5,FALSE)</f>
        <v>2</v>
      </c>
      <c r="E1054" s="4">
        <v>963</v>
      </c>
      <c r="F1054" s="4">
        <v>2</v>
      </c>
      <c r="G1054" s="10">
        <f t="shared" si="16"/>
        <v>481.5</v>
      </c>
      <c r="H1054" s="4">
        <v>3</v>
      </c>
    </row>
    <row r="1055" spans="1:8" x14ac:dyDescent="0.2">
      <c r="A1055" s="4">
        <v>5226</v>
      </c>
      <c r="B1055" s="4" t="s">
        <v>51</v>
      </c>
      <c r="C1055" s="4" t="s">
        <v>44</v>
      </c>
      <c r="D1055" s="4">
        <f>VLOOKUP(A1055,Orders!$A:$E,5,FALSE)</f>
        <v>3</v>
      </c>
      <c r="E1055" s="4">
        <v>891</v>
      </c>
      <c r="F1055" s="4">
        <v>6</v>
      </c>
      <c r="G1055" s="10">
        <f t="shared" si="16"/>
        <v>148.5</v>
      </c>
      <c r="H1055" s="4">
        <v>2</v>
      </c>
    </row>
    <row r="1056" spans="1:8" x14ac:dyDescent="0.2">
      <c r="A1056" s="4">
        <v>5247</v>
      </c>
      <c r="B1056" s="4" t="s">
        <v>51</v>
      </c>
      <c r="C1056" s="4" t="s">
        <v>44</v>
      </c>
      <c r="D1056" s="4">
        <f>VLOOKUP(A1056,Orders!$A:$E,5,FALSE)</f>
        <v>6</v>
      </c>
      <c r="E1056" s="4">
        <v>378</v>
      </c>
      <c r="F1056" s="4">
        <v>4</v>
      </c>
      <c r="G1056" s="10">
        <f t="shared" si="16"/>
        <v>94.5</v>
      </c>
      <c r="H1056" s="4">
        <v>3</v>
      </c>
    </row>
    <row r="1057" spans="1:8" x14ac:dyDescent="0.2">
      <c r="A1057" s="4">
        <v>5250</v>
      </c>
      <c r="B1057" s="4" t="s">
        <v>51</v>
      </c>
      <c r="C1057" s="4" t="s">
        <v>44</v>
      </c>
      <c r="D1057" s="4">
        <f>VLOOKUP(A1057,Orders!$A:$E,5,FALSE)</f>
        <v>4</v>
      </c>
      <c r="E1057" s="4">
        <v>1901</v>
      </c>
      <c r="F1057" s="4">
        <v>18</v>
      </c>
      <c r="G1057" s="10">
        <f t="shared" si="16"/>
        <v>105.61111111111111</v>
      </c>
      <c r="H1057" s="4">
        <v>3</v>
      </c>
    </row>
    <row r="1058" spans="1:8" x14ac:dyDescent="0.2">
      <c r="A1058" s="4">
        <v>5275</v>
      </c>
      <c r="B1058" s="4" t="s">
        <v>51</v>
      </c>
      <c r="C1058" s="4" t="s">
        <v>44</v>
      </c>
      <c r="D1058" s="4">
        <f>VLOOKUP(A1058,Orders!$A:$E,5,FALSE)</f>
        <v>10</v>
      </c>
      <c r="E1058" s="4">
        <v>795</v>
      </c>
      <c r="F1058" s="4">
        <v>21</v>
      </c>
      <c r="G1058" s="10">
        <f t="shared" si="16"/>
        <v>37.857142857142854</v>
      </c>
      <c r="H1058" s="4">
        <v>1</v>
      </c>
    </row>
    <row r="1059" spans="1:8" x14ac:dyDescent="0.2">
      <c r="A1059" s="4">
        <v>5281</v>
      </c>
      <c r="B1059" s="4" t="s">
        <v>51</v>
      </c>
      <c r="C1059" s="4" t="s">
        <v>44</v>
      </c>
      <c r="D1059" s="4">
        <f>VLOOKUP(A1059,Orders!$A:$E,5,FALSE)</f>
        <v>9</v>
      </c>
      <c r="E1059" s="4">
        <v>1779</v>
      </c>
      <c r="F1059" s="4">
        <v>14</v>
      </c>
      <c r="G1059" s="10">
        <f t="shared" si="16"/>
        <v>127.07142857142857</v>
      </c>
      <c r="H1059" s="4">
        <v>2</v>
      </c>
    </row>
    <row r="1060" spans="1:8" x14ac:dyDescent="0.2">
      <c r="A1060" s="4">
        <v>5291</v>
      </c>
      <c r="B1060" s="4" t="s">
        <v>51</v>
      </c>
      <c r="C1060" s="4" t="s">
        <v>44</v>
      </c>
      <c r="D1060" s="4">
        <f>VLOOKUP(A1060,Orders!$A:$E,5,FALSE)</f>
        <v>6</v>
      </c>
      <c r="E1060" s="4">
        <v>1761</v>
      </c>
      <c r="F1060" s="4">
        <v>7</v>
      </c>
      <c r="G1060" s="10">
        <f t="shared" si="16"/>
        <v>251.57142857142858</v>
      </c>
      <c r="H1060" s="4">
        <v>2</v>
      </c>
    </row>
    <row r="1061" spans="1:8" x14ac:dyDescent="0.2">
      <c r="A1061" s="4">
        <v>5347</v>
      </c>
      <c r="B1061" s="4" t="s">
        <v>51</v>
      </c>
      <c r="C1061" s="4" t="s">
        <v>44</v>
      </c>
      <c r="D1061" s="4">
        <f>VLOOKUP(A1061,Orders!$A:$E,5,FALSE)</f>
        <v>3</v>
      </c>
      <c r="E1061" s="4">
        <v>386</v>
      </c>
      <c r="F1061" s="4">
        <v>4</v>
      </c>
      <c r="G1061" s="10">
        <f t="shared" si="16"/>
        <v>96.5</v>
      </c>
      <c r="H1061" s="4">
        <v>2</v>
      </c>
    </row>
    <row r="1062" spans="1:8" x14ac:dyDescent="0.2">
      <c r="A1062" s="4">
        <v>5353</v>
      </c>
      <c r="B1062" s="4" t="s">
        <v>51</v>
      </c>
      <c r="C1062" s="4" t="s">
        <v>44</v>
      </c>
      <c r="D1062" s="4">
        <f>VLOOKUP(A1062,Orders!$A:$E,5,FALSE)</f>
        <v>2</v>
      </c>
      <c r="E1062" s="4">
        <v>1765</v>
      </c>
      <c r="F1062" s="4">
        <v>7</v>
      </c>
      <c r="G1062" s="10">
        <f t="shared" si="16"/>
        <v>252.14285714285714</v>
      </c>
      <c r="H1062" s="4">
        <v>3</v>
      </c>
    </row>
    <row r="1063" spans="1:8" x14ac:dyDescent="0.2">
      <c r="A1063" s="4">
        <v>5370</v>
      </c>
      <c r="B1063" s="4" t="s">
        <v>51</v>
      </c>
      <c r="C1063" s="4" t="s">
        <v>44</v>
      </c>
      <c r="D1063" s="4">
        <f>VLOOKUP(A1063,Orders!$A:$E,5,FALSE)</f>
        <v>3</v>
      </c>
      <c r="E1063" s="4">
        <v>1823</v>
      </c>
      <c r="F1063" s="4">
        <v>4</v>
      </c>
      <c r="G1063" s="10">
        <f t="shared" si="16"/>
        <v>455.75</v>
      </c>
      <c r="H1063" s="4">
        <v>2</v>
      </c>
    </row>
    <row r="1064" spans="1:8" x14ac:dyDescent="0.2">
      <c r="A1064" s="4">
        <v>5371</v>
      </c>
      <c r="B1064" s="4" t="s">
        <v>51</v>
      </c>
      <c r="C1064" s="4" t="s">
        <v>44</v>
      </c>
      <c r="D1064" s="4">
        <f>VLOOKUP(A1064,Orders!$A:$E,5,FALSE)</f>
        <v>6</v>
      </c>
      <c r="E1064" s="4">
        <v>1809</v>
      </c>
      <c r="F1064" s="4">
        <v>6</v>
      </c>
      <c r="G1064" s="10">
        <f t="shared" si="16"/>
        <v>301.5</v>
      </c>
      <c r="H1064" s="4">
        <v>3</v>
      </c>
    </row>
    <row r="1065" spans="1:8" x14ac:dyDescent="0.2">
      <c r="A1065" s="4">
        <v>5385</v>
      </c>
      <c r="B1065" s="4" t="s">
        <v>51</v>
      </c>
      <c r="C1065" s="4" t="s">
        <v>44</v>
      </c>
      <c r="D1065" s="4">
        <f>VLOOKUP(A1065,Orders!$A:$E,5,FALSE)</f>
        <v>3</v>
      </c>
      <c r="E1065" s="4">
        <v>1559</v>
      </c>
      <c r="F1065" s="4">
        <v>4</v>
      </c>
      <c r="G1065" s="10">
        <f t="shared" si="16"/>
        <v>389.75</v>
      </c>
      <c r="H1065" s="4">
        <v>3</v>
      </c>
    </row>
    <row r="1066" spans="1:8" x14ac:dyDescent="0.2">
      <c r="A1066" s="4">
        <v>5415</v>
      </c>
      <c r="B1066" s="4" t="s">
        <v>51</v>
      </c>
      <c r="C1066" s="4" t="s">
        <v>44</v>
      </c>
      <c r="D1066" s="4">
        <f>VLOOKUP(A1066,Orders!$A:$E,5,FALSE)</f>
        <v>2</v>
      </c>
      <c r="E1066" s="4">
        <v>377</v>
      </c>
      <c r="F1066" s="4">
        <v>18</v>
      </c>
      <c r="G1066" s="10">
        <f t="shared" si="16"/>
        <v>20.944444444444443</v>
      </c>
      <c r="H1066" s="4">
        <v>1</v>
      </c>
    </row>
    <row r="1067" spans="1:8" x14ac:dyDescent="0.2">
      <c r="A1067" s="4">
        <v>5452</v>
      </c>
      <c r="B1067" s="4" t="s">
        <v>51</v>
      </c>
      <c r="C1067" s="4" t="s">
        <v>44</v>
      </c>
      <c r="D1067" s="4">
        <f>VLOOKUP(A1067,Orders!$A:$E,5,FALSE)</f>
        <v>4</v>
      </c>
      <c r="E1067" s="4">
        <v>590</v>
      </c>
      <c r="F1067" s="4">
        <v>3</v>
      </c>
      <c r="G1067" s="10">
        <f t="shared" si="16"/>
        <v>196.66666666666666</v>
      </c>
      <c r="H1067" s="4">
        <v>2</v>
      </c>
    </row>
    <row r="1068" spans="1:8" x14ac:dyDescent="0.2">
      <c r="A1068" s="4">
        <v>5459</v>
      </c>
      <c r="B1068" s="4" t="s">
        <v>51</v>
      </c>
      <c r="C1068" s="4" t="s">
        <v>44</v>
      </c>
      <c r="D1068" s="4">
        <f>VLOOKUP(A1068,Orders!$A:$E,5,FALSE)</f>
        <v>7</v>
      </c>
      <c r="E1068" s="4">
        <v>1343</v>
      </c>
      <c r="F1068" s="4">
        <v>15</v>
      </c>
      <c r="G1068" s="10">
        <f t="shared" si="16"/>
        <v>89.533333333333331</v>
      </c>
      <c r="H1068" s="4">
        <v>2</v>
      </c>
    </row>
    <row r="1069" spans="1:8" x14ac:dyDescent="0.2">
      <c r="A1069" s="4">
        <v>5465</v>
      </c>
      <c r="B1069" s="4" t="s">
        <v>51</v>
      </c>
      <c r="C1069" s="4" t="s">
        <v>44</v>
      </c>
      <c r="D1069" s="4">
        <f>VLOOKUP(A1069,Orders!$A:$E,5,FALSE)</f>
        <v>7</v>
      </c>
      <c r="E1069" s="4">
        <v>1372</v>
      </c>
      <c r="F1069" s="4">
        <v>16</v>
      </c>
      <c r="G1069" s="10">
        <f t="shared" si="16"/>
        <v>85.75</v>
      </c>
      <c r="H1069" s="4">
        <v>2</v>
      </c>
    </row>
    <row r="1070" spans="1:8" x14ac:dyDescent="0.2">
      <c r="A1070" s="4">
        <v>5523</v>
      </c>
      <c r="B1070" s="4" t="s">
        <v>51</v>
      </c>
      <c r="C1070" s="4" t="s">
        <v>44</v>
      </c>
      <c r="D1070" s="4">
        <f>VLOOKUP(A1070,Orders!$A:$E,5,FALSE)</f>
        <v>2</v>
      </c>
      <c r="E1070" s="4">
        <v>1589</v>
      </c>
      <c r="F1070" s="4">
        <v>19</v>
      </c>
      <c r="G1070" s="10">
        <f t="shared" si="16"/>
        <v>83.631578947368425</v>
      </c>
      <c r="H1070" s="4">
        <v>3</v>
      </c>
    </row>
    <row r="1071" spans="1:8" x14ac:dyDescent="0.2">
      <c r="A1071" s="4">
        <v>5553</v>
      </c>
      <c r="B1071" s="4" t="s">
        <v>51</v>
      </c>
      <c r="C1071" s="4" t="s">
        <v>44</v>
      </c>
      <c r="D1071" s="4">
        <f>VLOOKUP(A1071,Orders!$A:$E,5,FALSE)</f>
        <v>6</v>
      </c>
      <c r="E1071" s="4">
        <v>598</v>
      </c>
      <c r="F1071" s="4">
        <v>12</v>
      </c>
      <c r="G1071" s="10">
        <f t="shared" si="16"/>
        <v>49.833333333333336</v>
      </c>
      <c r="H1071" s="4">
        <v>1</v>
      </c>
    </row>
    <row r="1072" spans="1:8" x14ac:dyDescent="0.2">
      <c r="A1072" s="4">
        <v>5554</v>
      </c>
      <c r="B1072" s="4" t="s">
        <v>51</v>
      </c>
      <c r="C1072" s="4" t="s">
        <v>44</v>
      </c>
      <c r="D1072" s="4">
        <f>VLOOKUP(A1072,Orders!$A:$E,5,FALSE)</f>
        <v>9</v>
      </c>
      <c r="E1072" s="4">
        <v>619</v>
      </c>
      <c r="F1072" s="4">
        <v>22</v>
      </c>
      <c r="G1072" s="10">
        <f t="shared" si="16"/>
        <v>28.136363636363637</v>
      </c>
      <c r="H1072" s="4">
        <v>2</v>
      </c>
    </row>
    <row r="1073" spans="1:8" x14ac:dyDescent="0.2">
      <c r="A1073" s="4">
        <v>5562</v>
      </c>
      <c r="B1073" s="4" t="s">
        <v>51</v>
      </c>
      <c r="C1073" s="4" t="s">
        <v>44</v>
      </c>
      <c r="D1073" s="4">
        <f>VLOOKUP(A1073,Orders!$A:$E,5,FALSE)</f>
        <v>5</v>
      </c>
      <c r="E1073" s="4">
        <v>1061</v>
      </c>
      <c r="F1073" s="4">
        <v>13</v>
      </c>
      <c r="G1073" s="10">
        <f t="shared" si="16"/>
        <v>81.615384615384613</v>
      </c>
      <c r="H1073" s="4">
        <v>3</v>
      </c>
    </row>
    <row r="1074" spans="1:8" x14ac:dyDescent="0.2">
      <c r="A1074" s="4">
        <v>5565</v>
      </c>
      <c r="B1074" s="4" t="s">
        <v>51</v>
      </c>
      <c r="C1074" s="4" t="s">
        <v>44</v>
      </c>
      <c r="D1074" s="4">
        <f>VLOOKUP(A1074,Orders!$A:$E,5,FALSE)</f>
        <v>7</v>
      </c>
      <c r="E1074" s="4">
        <v>1189</v>
      </c>
      <c r="F1074" s="4">
        <v>22</v>
      </c>
      <c r="G1074" s="10">
        <f t="shared" si="16"/>
        <v>54.045454545454547</v>
      </c>
      <c r="H1074" s="4">
        <v>3</v>
      </c>
    </row>
    <row r="1075" spans="1:8" x14ac:dyDescent="0.2">
      <c r="A1075" s="4">
        <v>5589</v>
      </c>
      <c r="B1075" s="4" t="s">
        <v>51</v>
      </c>
      <c r="C1075" s="4" t="s">
        <v>44</v>
      </c>
      <c r="D1075" s="4">
        <f>VLOOKUP(A1075,Orders!$A:$E,5,FALSE)</f>
        <v>8</v>
      </c>
      <c r="E1075" s="4">
        <v>1866</v>
      </c>
      <c r="F1075" s="4">
        <v>22</v>
      </c>
      <c r="G1075" s="10">
        <f t="shared" si="16"/>
        <v>84.818181818181813</v>
      </c>
      <c r="H1075" s="4">
        <v>1</v>
      </c>
    </row>
    <row r="1076" spans="1:8" x14ac:dyDescent="0.2">
      <c r="A1076" s="4">
        <v>5602</v>
      </c>
      <c r="B1076" s="4" t="s">
        <v>51</v>
      </c>
      <c r="C1076" s="4" t="s">
        <v>44</v>
      </c>
      <c r="D1076" s="4">
        <f>VLOOKUP(A1076,Orders!$A:$E,5,FALSE)</f>
        <v>7</v>
      </c>
      <c r="E1076" s="4">
        <v>1418</v>
      </c>
      <c r="F1076" s="4">
        <v>17</v>
      </c>
      <c r="G1076" s="10">
        <f t="shared" si="16"/>
        <v>83.411764705882348</v>
      </c>
      <c r="H1076" s="4">
        <v>3</v>
      </c>
    </row>
    <row r="1077" spans="1:8" x14ac:dyDescent="0.2">
      <c r="A1077" s="4">
        <v>5620</v>
      </c>
      <c r="B1077" s="4" t="s">
        <v>51</v>
      </c>
      <c r="C1077" s="4" t="s">
        <v>44</v>
      </c>
      <c r="D1077" s="4">
        <f>VLOOKUP(A1077,Orders!$A:$E,5,FALSE)</f>
        <v>7</v>
      </c>
      <c r="E1077" s="4">
        <v>579</v>
      </c>
      <c r="F1077" s="4">
        <v>23</v>
      </c>
      <c r="G1077" s="10">
        <f t="shared" si="16"/>
        <v>25.173913043478262</v>
      </c>
      <c r="H1077" s="4">
        <v>3</v>
      </c>
    </row>
    <row r="1078" spans="1:8" x14ac:dyDescent="0.2">
      <c r="A1078" s="4">
        <v>5631</v>
      </c>
      <c r="B1078" s="4" t="s">
        <v>51</v>
      </c>
      <c r="C1078" s="4" t="s">
        <v>44</v>
      </c>
      <c r="D1078" s="4">
        <f>VLOOKUP(A1078,Orders!$A:$E,5,FALSE)</f>
        <v>4</v>
      </c>
      <c r="E1078" s="4">
        <v>1170</v>
      </c>
      <c r="F1078" s="4">
        <v>19</v>
      </c>
      <c r="G1078" s="10">
        <f t="shared" si="16"/>
        <v>61.578947368421055</v>
      </c>
      <c r="H1078" s="4">
        <v>3</v>
      </c>
    </row>
    <row r="1079" spans="1:8" x14ac:dyDescent="0.2">
      <c r="A1079" s="4">
        <v>5639</v>
      </c>
      <c r="B1079" s="4" t="s">
        <v>51</v>
      </c>
      <c r="C1079" s="4" t="s">
        <v>44</v>
      </c>
      <c r="D1079" s="4">
        <f>VLOOKUP(A1079,Orders!$A:$E,5,FALSE)</f>
        <v>2</v>
      </c>
      <c r="E1079" s="4">
        <v>247</v>
      </c>
      <c r="F1079" s="4">
        <v>23</v>
      </c>
      <c r="G1079" s="10">
        <f t="shared" si="16"/>
        <v>10.739130434782609</v>
      </c>
      <c r="H1079" s="4">
        <v>1</v>
      </c>
    </row>
    <row r="1080" spans="1:8" x14ac:dyDescent="0.2">
      <c r="A1080" s="4">
        <v>5664</v>
      </c>
      <c r="B1080" s="4" t="s">
        <v>51</v>
      </c>
      <c r="C1080" s="4" t="s">
        <v>44</v>
      </c>
      <c r="D1080" s="4">
        <f>VLOOKUP(A1080,Orders!$A:$E,5,FALSE)</f>
        <v>4</v>
      </c>
      <c r="E1080" s="4">
        <v>1470</v>
      </c>
      <c r="F1080" s="4">
        <v>17</v>
      </c>
      <c r="G1080" s="10">
        <f t="shared" si="16"/>
        <v>86.470588235294116</v>
      </c>
      <c r="H1080" s="4">
        <v>3</v>
      </c>
    </row>
    <row r="1081" spans="1:8" x14ac:dyDescent="0.2">
      <c r="A1081" s="4">
        <v>5689</v>
      </c>
      <c r="B1081" s="4" t="s">
        <v>51</v>
      </c>
      <c r="C1081" s="4" t="s">
        <v>44</v>
      </c>
      <c r="D1081" s="4">
        <f>VLOOKUP(A1081,Orders!$A:$E,5,FALSE)</f>
        <v>7</v>
      </c>
      <c r="E1081" s="4">
        <v>641</v>
      </c>
      <c r="F1081" s="4">
        <v>19</v>
      </c>
      <c r="G1081" s="10">
        <f t="shared" si="16"/>
        <v>33.736842105263158</v>
      </c>
      <c r="H1081" s="4">
        <v>2</v>
      </c>
    </row>
    <row r="1082" spans="1:8" x14ac:dyDescent="0.2">
      <c r="A1082" s="4">
        <v>5706</v>
      </c>
      <c r="B1082" s="4" t="s">
        <v>51</v>
      </c>
      <c r="C1082" s="4" t="s">
        <v>44</v>
      </c>
      <c r="D1082" s="4">
        <f>VLOOKUP(A1082,Orders!$A:$E,5,FALSE)</f>
        <v>9</v>
      </c>
      <c r="E1082" s="4">
        <v>1297</v>
      </c>
      <c r="F1082" s="4">
        <v>12</v>
      </c>
      <c r="G1082" s="10">
        <f t="shared" si="16"/>
        <v>108.08333333333333</v>
      </c>
      <c r="H1082" s="4">
        <v>1</v>
      </c>
    </row>
    <row r="1083" spans="1:8" x14ac:dyDescent="0.2">
      <c r="A1083" s="4">
        <v>5747</v>
      </c>
      <c r="B1083" s="4" t="s">
        <v>51</v>
      </c>
      <c r="C1083" s="4" t="s">
        <v>44</v>
      </c>
      <c r="D1083" s="4">
        <f>VLOOKUP(A1083,Orders!$A:$E,5,FALSE)</f>
        <v>3</v>
      </c>
      <c r="E1083" s="4">
        <v>1729</v>
      </c>
      <c r="F1083" s="4">
        <v>8</v>
      </c>
      <c r="G1083" s="10">
        <f t="shared" si="16"/>
        <v>216.125</v>
      </c>
      <c r="H1083" s="4">
        <v>3</v>
      </c>
    </row>
    <row r="1084" spans="1:8" x14ac:dyDescent="0.2">
      <c r="A1084" s="4">
        <v>5751</v>
      </c>
      <c r="B1084" s="4" t="s">
        <v>51</v>
      </c>
      <c r="C1084" s="4" t="s">
        <v>44</v>
      </c>
      <c r="D1084" s="4">
        <f>VLOOKUP(A1084,Orders!$A:$E,5,FALSE)</f>
        <v>6</v>
      </c>
      <c r="E1084" s="4">
        <v>398</v>
      </c>
      <c r="F1084" s="4">
        <v>5</v>
      </c>
      <c r="G1084" s="10">
        <f t="shared" si="16"/>
        <v>79.599999999999994</v>
      </c>
      <c r="H1084" s="4">
        <v>1</v>
      </c>
    </row>
    <row r="1085" spans="1:8" x14ac:dyDescent="0.2">
      <c r="A1085" s="4">
        <v>5767</v>
      </c>
      <c r="B1085" s="4" t="s">
        <v>51</v>
      </c>
      <c r="C1085" s="4" t="s">
        <v>44</v>
      </c>
      <c r="D1085" s="4">
        <f>VLOOKUP(A1085,Orders!$A:$E,5,FALSE)</f>
        <v>5</v>
      </c>
      <c r="E1085" s="4">
        <v>266</v>
      </c>
      <c r="F1085" s="4">
        <v>22</v>
      </c>
      <c r="G1085" s="10">
        <f t="shared" si="16"/>
        <v>12.090909090909092</v>
      </c>
      <c r="H1085" s="4">
        <v>3</v>
      </c>
    </row>
    <row r="1086" spans="1:8" x14ac:dyDescent="0.2">
      <c r="A1086" s="4">
        <v>5774</v>
      </c>
      <c r="B1086" s="4" t="s">
        <v>51</v>
      </c>
      <c r="C1086" s="4" t="s">
        <v>44</v>
      </c>
      <c r="D1086" s="4">
        <f>VLOOKUP(A1086,Orders!$A:$E,5,FALSE)</f>
        <v>6</v>
      </c>
      <c r="E1086" s="4">
        <v>47</v>
      </c>
      <c r="F1086" s="4">
        <v>20</v>
      </c>
      <c r="G1086" s="10">
        <f t="shared" si="16"/>
        <v>2.35</v>
      </c>
      <c r="H1086" s="4">
        <v>1</v>
      </c>
    </row>
    <row r="1087" spans="1:8" x14ac:dyDescent="0.2">
      <c r="A1087" s="4">
        <v>5776</v>
      </c>
      <c r="B1087" s="4" t="s">
        <v>51</v>
      </c>
      <c r="C1087" s="4" t="s">
        <v>44</v>
      </c>
      <c r="D1087" s="4">
        <f>VLOOKUP(A1087,Orders!$A:$E,5,FALSE)</f>
        <v>2</v>
      </c>
      <c r="E1087" s="4">
        <v>1662</v>
      </c>
      <c r="F1087" s="4">
        <v>10</v>
      </c>
      <c r="G1087" s="10">
        <f t="shared" si="16"/>
        <v>166.2</v>
      </c>
      <c r="H1087" s="4">
        <v>1</v>
      </c>
    </row>
    <row r="1088" spans="1:8" x14ac:dyDescent="0.2">
      <c r="A1088" s="4">
        <v>5779</v>
      </c>
      <c r="B1088" s="4" t="s">
        <v>51</v>
      </c>
      <c r="C1088" s="4" t="s">
        <v>44</v>
      </c>
      <c r="D1088" s="4">
        <f>VLOOKUP(A1088,Orders!$A:$E,5,FALSE)</f>
        <v>2</v>
      </c>
      <c r="E1088" s="4">
        <v>1485</v>
      </c>
      <c r="F1088" s="4">
        <v>3</v>
      </c>
      <c r="G1088" s="10">
        <f t="shared" si="16"/>
        <v>495</v>
      </c>
      <c r="H1088" s="4">
        <v>2</v>
      </c>
    </row>
    <row r="1089" spans="1:8" x14ac:dyDescent="0.2">
      <c r="A1089" s="4">
        <v>5781</v>
      </c>
      <c r="B1089" s="4" t="s">
        <v>51</v>
      </c>
      <c r="C1089" s="4" t="s">
        <v>44</v>
      </c>
      <c r="D1089" s="4">
        <f>VLOOKUP(A1089,Orders!$A:$E,5,FALSE)</f>
        <v>7</v>
      </c>
      <c r="E1089" s="4">
        <v>784</v>
      </c>
      <c r="F1089" s="4">
        <v>23</v>
      </c>
      <c r="G1089" s="10">
        <f t="shared" si="16"/>
        <v>34.086956521739133</v>
      </c>
      <c r="H1089" s="4">
        <v>2</v>
      </c>
    </row>
    <row r="1090" spans="1:8" x14ac:dyDescent="0.2">
      <c r="A1090" s="4">
        <v>5783</v>
      </c>
      <c r="B1090" s="4" t="s">
        <v>51</v>
      </c>
      <c r="C1090" s="4" t="s">
        <v>44</v>
      </c>
      <c r="D1090" s="4">
        <f>VLOOKUP(A1090,Orders!$A:$E,5,FALSE)</f>
        <v>4</v>
      </c>
      <c r="E1090" s="4">
        <v>1208</v>
      </c>
      <c r="F1090" s="4">
        <v>14</v>
      </c>
      <c r="G1090" s="10">
        <f t="shared" ref="G1090:G1153" si="17">E1090/F1090</f>
        <v>86.285714285714292</v>
      </c>
      <c r="H1090" s="4">
        <v>2</v>
      </c>
    </row>
    <row r="1091" spans="1:8" x14ac:dyDescent="0.2">
      <c r="A1091" s="4">
        <v>5797</v>
      </c>
      <c r="B1091" s="4" t="s">
        <v>51</v>
      </c>
      <c r="C1091" s="4" t="s">
        <v>44</v>
      </c>
      <c r="D1091" s="4">
        <f>VLOOKUP(A1091,Orders!$A:$E,5,FALSE)</f>
        <v>2</v>
      </c>
      <c r="E1091" s="4">
        <v>1728</v>
      </c>
      <c r="F1091" s="4">
        <v>24</v>
      </c>
      <c r="G1091" s="10">
        <f t="shared" si="17"/>
        <v>72</v>
      </c>
      <c r="H1091" s="4">
        <v>1</v>
      </c>
    </row>
    <row r="1092" spans="1:8" x14ac:dyDescent="0.2">
      <c r="A1092" s="4">
        <v>5815</v>
      </c>
      <c r="B1092" s="4" t="s">
        <v>51</v>
      </c>
      <c r="C1092" s="4" t="s">
        <v>44</v>
      </c>
      <c r="D1092" s="4">
        <f>VLOOKUP(A1092,Orders!$A:$E,5,FALSE)</f>
        <v>3</v>
      </c>
      <c r="E1092" s="4">
        <v>1276</v>
      </c>
      <c r="F1092" s="4">
        <v>15</v>
      </c>
      <c r="G1092" s="10">
        <f t="shared" si="17"/>
        <v>85.066666666666663</v>
      </c>
      <c r="H1092" s="4">
        <v>1</v>
      </c>
    </row>
    <row r="1093" spans="1:8" x14ac:dyDescent="0.2">
      <c r="A1093" s="4">
        <v>5820</v>
      </c>
      <c r="B1093" s="4" t="s">
        <v>51</v>
      </c>
      <c r="C1093" s="4" t="s">
        <v>44</v>
      </c>
      <c r="D1093" s="4">
        <f>VLOOKUP(A1093,Orders!$A:$E,5,FALSE)</f>
        <v>9</v>
      </c>
      <c r="E1093" s="4">
        <v>1867</v>
      </c>
      <c r="F1093" s="4">
        <v>16</v>
      </c>
      <c r="G1093" s="10">
        <f t="shared" si="17"/>
        <v>116.6875</v>
      </c>
      <c r="H1093" s="4">
        <v>2</v>
      </c>
    </row>
    <row r="1094" spans="1:8" x14ac:dyDescent="0.2">
      <c r="A1094" s="4">
        <v>5824</v>
      </c>
      <c r="B1094" s="4" t="s">
        <v>51</v>
      </c>
      <c r="C1094" s="4" t="s">
        <v>44</v>
      </c>
      <c r="D1094" s="4">
        <f>VLOOKUP(A1094,Orders!$A:$E,5,FALSE)</f>
        <v>3</v>
      </c>
      <c r="E1094" s="4">
        <v>1602</v>
      </c>
      <c r="F1094" s="4">
        <v>14</v>
      </c>
      <c r="G1094" s="10">
        <f t="shared" si="17"/>
        <v>114.42857142857143</v>
      </c>
      <c r="H1094" s="4">
        <v>1</v>
      </c>
    </row>
    <row r="1095" spans="1:8" x14ac:dyDescent="0.2">
      <c r="A1095" s="4">
        <v>5826</v>
      </c>
      <c r="B1095" s="4" t="s">
        <v>51</v>
      </c>
      <c r="C1095" s="4" t="s">
        <v>44</v>
      </c>
      <c r="D1095" s="4">
        <f>VLOOKUP(A1095,Orders!$A:$E,5,FALSE)</f>
        <v>3</v>
      </c>
      <c r="E1095" s="4">
        <v>1481</v>
      </c>
      <c r="F1095" s="4">
        <v>16</v>
      </c>
      <c r="G1095" s="10">
        <f t="shared" si="17"/>
        <v>92.5625</v>
      </c>
      <c r="H1095" s="4">
        <v>3</v>
      </c>
    </row>
    <row r="1096" spans="1:8" x14ac:dyDescent="0.2">
      <c r="A1096" s="4">
        <v>5851</v>
      </c>
      <c r="B1096" s="4" t="s">
        <v>51</v>
      </c>
      <c r="C1096" s="4" t="s">
        <v>44</v>
      </c>
      <c r="D1096" s="4">
        <f>VLOOKUP(A1096,Orders!$A:$E,5,FALSE)</f>
        <v>10</v>
      </c>
      <c r="E1096" s="4">
        <v>1553</v>
      </c>
      <c r="F1096" s="4">
        <v>6</v>
      </c>
      <c r="G1096" s="10">
        <f t="shared" si="17"/>
        <v>258.83333333333331</v>
      </c>
      <c r="H1096" s="4">
        <v>2</v>
      </c>
    </row>
    <row r="1097" spans="1:8" x14ac:dyDescent="0.2">
      <c r="A1097" s="4">
        <v>5852</v>
      </c>
      <c r="B1097" s="4" t="s">
        <v>51</v>
      </c>
      <c r="C1097" s="4" t="s">
        <v>44</v>
      </c>
      <c r="D1097" s="4">
        <f>VLOOKUP(A1097,Orders!$A:$E,5,FALSE)</f>
        <v>7</v>
      </c>
      <c r="E1097" s="4">
        <v>514</v>
      </c>
      <c r="F1097" s="4">
        <v>21</v>
      </c>
      <c r="G1097" s="10">
        <f t="shared" si="17"/>
        <v>24.476190476190474</v>
      </c>
      <c r="H1097" s="4">
        <v>3</v>
      </c>
    </row>
    <row r="1098" spans="1:8" x14ac:dyDescent="0.2">
      <c r="A1098" s="4">
        <v>5882</v>
      </c>
      <c r="B1098" s="4" t="s">
        <v>51</v>
      </c>
      <c r="C1098" s="4" t="s">
        <v>44</v>
      </c>
      <c r="D1098" s="4">
        <f>VLOOKUP(A1098,Orders!$A:$E,5,FALSE)</f>
        <v>2</v>
      </c>
      <c r="E1098" s="4">
        <v>101</v>
      </c>
      <c r="F1098" s="4">
        <v>23</v>
      </c>
      <c r="G1098" s="10">
        <f t="shared" si="17"/>
        <v>4.3913043478260869</v>
      </c>
      <c r="H1098" s="4">
        <v>3</v>
      </c>
    </row>
    <row r="1099" spans="1:8" x14ac:dyDescent="0.2">
      <c r="A1099" s="4">
        <v>5890</v>
      </c>
      <c r="B1099" s="4" t="s">
        <v>51</v>
      </c>
      <c r="C1099" s="4" t="s">
        <v>44</v>
      </c>
      <c r="D1099" s="4">
        <f>VLOOKUP(A1099,Orders!$A:$E,5,FALSE)</f>
        <v>4</v>
      </c>
      <c r="E1099" s="4">
        <v>515</v>
      </c>
      <c r="F1099" s="4">
        <v>16</v>
      </c>
      <c r="G1099" s="10">
        <f t="shared" si="17"/>
        <v>32.1875</v>
      </c>
      <c r="H1099" s="4">
        <v>3</v>
      </c>
    </row>
    <row r="1100" spans="1:8" x14ac:dyDescent="0.2">
      <c r="A1100" s="4">
        <v>5895</v>
      </c>
      <c r="B1100" s="4" t="s">
        <v>51</v>
      </c>
      <c r="C1100" s="4" t="s">
        <v>44</v>
      </c>
      <c r="D1100" s="4">
        <f>VLOOKUP(A1100,Orders!$A:$E,5,FALSE)</f>
        <v>6</v>
      </c>
      <c r="E1100" s="4">
        <v>1533</v>
      </c>
      <c r="F1100" s="4">
        <v>14</v>
      </c>
      <c r="G1100" s="10">
        <f t="shared" si="17"/>
        <v>109.5</v>
      </c>
      <c r="H1100" s="4">
        <v>3</v>
      </c>
    </row>
    <row r="1101" spans="1:8" x14ac:dyDescent="0.2">
      <c r="A1101" s="4">
        <v>5901</v>
      </c>
      <c r="B1101" s="4" t="s">
        <v>51</v>
      </c>
      <c r="C1101" s="4" t="s">
        <v>44</v>
      </c>
      <c r="D1101" s="4">
        <f>VLOOKUP(A1101,Orders!$A:$E,5,FALSE)</f>
        <v>7</v>
      </c>
      <c r="E1101" s="4">
        <v>1633</v>
      </c>
      <c r="F1101" s="4">
        <v>14</v>
      </c>
      <c r="G1101" s="10">
        <f t="shared" si="17"/>
        <v>116.64285714285714</v>
      </c>
      <c r="H1101" s="4">
        <v>1</v>
      </c>
    </row>
    <row r="1102" spans="1:8" x14ac:dyDescent="0.2">
      <c r="A1102" s="4">
        <v>5914</v>
      </c>
      <c r="B1102" s="4" t="s">
        <v>51</v>
      </c>
      <c r="C1102" s="4" t="s">
        <v>44</v>
      </c>
      <c r="D1102" s="4">
        <f>VLOOKUP(A1102,Orders!$A:$E,5,FALSE)</f>
        <v>10</v>
      </c>
      <c r="E1102" s="4">
        <v>620</v>
      </c>
      <c r="F1102" s="4">
        <v>6</v>
      </c>
      <c r="G1102" s="10">
        <f t="shared" si="17"/>
        <v>103.33333333333333</v>
      </c>
      <c r="H1102" s="4">
        <v>2</v>
      </c>
    </row>
    <row r="1103" spans="1:8" x14ac:dyDescent="0.2">
      <c r="A1103" s="4">
        <v>5918</v>
      </c>
      <c r="B1103" s="4" t="s">
        <v>51</v>
      </c>
      <c r="C1103" s="4" t="s">
        <v>44</v>
      </c>
      <c r="D1103" s="4">
        <f>VLOOKUP(A1103,Orders!$A:$E,5,FALSE)</f>
        <v>7</v>
      </c>
      <c r="E1103" s="4">
        <v>503</v>
      </c>
      <c r="F1103" s="4">
        <v>2</v>
      </c>
      <c r="G1103" s="10">
        <f t="shared" si="17"/>
        <v>251.5</v>
      </c>
      <c r="H1103" s="4">
        <v>1</v>
      </c>
    </row>
    <row r="1104" spans="1:8" x14ac:dyDescent="0.2">
      <c r="A1104" s="4">
        <v>5931</v>
      </c>
      <c r="B1104" s="4" t="s">
        <v>51</v>
      </c>
      <c r="C1104" s="4" t="s">
        <v>44</v>
      </c>
      <c r="D1104" s="4">
        <f>VLOOKUP(A1104,Orders!$A:$E,5,FALSE)</f>
        <v>6</v>
      </c>
      <c r="E1104" s="4">
        <v>1050</v>
      </c>
      <c r="F1104" s="4">
        <v>17</v>
      </c>
      <c r="G1104" s="10">
        <f t="shared" si="17"/>
        <v>61.764705882352942</v>
      </c>
      <c r="H1104" s="4">
        <v>1</v>
      </c>
    </row>
    <row r="1105" spans="1:8" x14ac:dyDescent="0.2">
      <c r="A1105" s="4">
        <v>5935</v>
      </c>
      <c r="B1105" s="4" t="s">
        <v>51</v>
      </c>
      <c r="C1105" s="4" t="s">
        <v>44</v>
      </c>
      <c r="D1105" s="4">
        <f>VLOOKUP(A1105,Orders!$A:$E,5,FALSE)</f>
        <v>8</v>
      </c>
      <c r="E1105" s="4">
        <v>1556</v>
      </c>
      <c r="F1105" s="4">
        <v>2</v>
      </c>
      <c r="G1105" s="10">
        <f t="shared" si="17"/>
        <v>778</v>
      </c>
      <c r="H1105" s="4">
        <v>1</v>
      </c>
    </row>
    <row r="1106" spans="1:8" x14ac:dyDescent="0.2">
      <c r="A1106" s="4">
        <v>5936</v>
      </c>
      <c r="B1106" s="4" t="s">
        <v>51</v>
      </c>
      <c r="C1106" s="4" t="s">
        <v>44</v>
      </c>
      <c r="D1106" s="4">
        <f>VLOOKUP(A1106,Orders!$A:$E,5,FALSE)</f>
        <v>4</v>
      </c>
      <c r="E1106" s="4">
        <v>941</v>
      </c>
      <c r="F1106" s="4">
        <v>20</v>
      </c>
      <c r="G1106" s="10">
        <f t="shared" si="17"/>
        <v>47.05</v>
      </c>
      <c r="H1106" s="4">
        <v>3</v>
      </c>
    </row>
    <row r="1107" spans="1:8" x14ac:dyDescent="0.2">
      <c r="A1107" s="4">
        <v>5961</v>
      </c>
      <c r="B1107" s="4" t="s">
        <v>51</v>
      </c>
      <c r="C1107" s="4" t="s">
        <v>44</v>
      </c>
      <c r="D1107" s="4">
        <f>VLOOKUP(A1107,Orders!$A:$E,5,FALSE)</f>
        <v>6</v>
      </c>
      <c r="E1107" s="4">
        <v>1914</v>
      </c>
      <c r="F1107" s="4">
        <v>23</v>
      </c>
      <c r="G1107" s="10">
        <f t="shared" si="17"/>
        <v>83.217391304347828</v>
      </c>
      <c r="H1107" s="4">
        <v>2</v>
      </c>
    </row>
    <row r="1108" spans="1:8" x14ac:dyDescent="0.2">
      <c r="A1108" s="4">
        <v>5977</v>
      </c>
      <c r="B1108" s="4" t="s">
        <v>51</v>
      </c>
      <c r="C1108" s="4" t="s">
        <v>44</v>
      </c>
      <c r="D1108" s="4">
        <f>VLOOKUP(A1108,Orders!$A:$E,5,FALSE)</f>
        <v>8</v>
      </c>
      <c r="E1108" s="4">
        <v>850</v>
      </c>
      <c r="F1108" s="4">
        <v>15</v>
      </c>
      <c r="G1108" s="10">
        <f t="shared" si="17"/>
        <v>56.666666666666664</v>
      </c>
      <c r="H1108" s="4">
        <v>1</v>
      </c>
    </row>
    <row r="1109" spans="1:8" x14ac:dyDescent="0.2">
      <c r="A1109" s="4">
        <v>5994</v>
      </c>
      <c r="B1109" s="4" t="s">
        <v>51</v>
      </c>
      <c r="C1109" s="4" t="s">
        <v>44</v>
      </c>
      <c r="D1109" s="4">
        <f>VLOOKUP(A1109,Orders!$A:$E,5,FALSE)</f>
        <v>4</v>
      </c>
      <c r="E1109" s="4">
        <v>1646</v>
      </c>
      <c r="F1109" s="4">
        <v>11</v>
      </c>
      <c r="G1109" s="10">
        <f t="shared" si="17"/>
        <v>149.63636363636363</v>
      </c>
      <c r="H1109" s="4">
        <v>3</v>
      </c>
    </row>
    <row r="1110" spans="1:8" x14ac:dyDescent="0.2">
      <c r="A1110" s="4">
        <v>6004</v>
      </c>
      <c r="B1110" s="4" t="s">
        <v>51</v>
      </c>
      <c r="C1110" s="4" t="s">
        <v>44</v>
      </c>
      <c r="D1110" s="4">
        <f>VLOOKUP(A1110,Orders!$A:$E,5,FALSE)</f>
        <v>5</v>
      </c>
      <c r="E1110" s="4">
        <v>1684</v>
      </c>
      <c r="F1110" s="4">
        <v>17</v>
      </c>
      <c r="G1110" s="10">
        <f t="shared" si="17"/>
        <v>99.058823529411768</v>
      </c>
      <c r="H1110" s="4">
        <v>2</v>
      </c>
    </row>
    <row r="1111" spans="1:8" x14ac:dyDescent="0.2">
      <c r="A1111" s="4">
        <v>6048</v>
      </c>
      <c r="B1111" s="4" t="s">
        <v>51</v>
      </c>
      <c r="C1111" s="4" t="s">
        <v>44</v>
      </c>
      <c r="D1111" s="4">
        <f>VLOOKUP(A1111,Orders!$A:$E,5,FALSE)</f>
        <v>7</v>
      </c>
      <c r="E1111" s="4">
        <v>27</v>
      </c>
      <c r="F1111" s="4">
        <v>20</v>
      </c>
      <c r="G1111" s="10">
        <f t="shared" si="17"/>
        <v>1.35</v>
      </c>
      <c r="H1111" s="4">
        <v>2</v>
      </c>
    </row>
    <row r="1112" spans="1:8" x14ac:dyDescent="0.2">
      <c r="A1112" s="4">
        <v>6077</v>
      </c>
      <c r="B1112" s="4" t="s">
        <v>51</v>
      </c>
      <c r="C1112" s="4" t="s">
        <v>44</v>
      </c>
      <c r="D1112" s="4">
        <f>VLOOKUP(A1112,Orders!$A:$E,5,FALSE)</f>
        <v>4</v>
      </c>
      <c r="E1112" s="4">
        <v>1709</v>
      </c>
      <c r="F1112" s="4">
        <v>18</v>
      </c>
      <c r="G1112" s="10">
        <f t="shared" si="17"/>
        <v>94.944444444444443</v>
      </c>
      <c r="H1112" s="4">
        <v>2</v>
      </c>
    </row>
    <row r="1113" spans="1:8" x14ac:dyDescent="0.2">
      <c r="A1113" s="4">
        <v>6099</v>
      </c>
      <c r="B1113" s="4" t="s">
        <v>51</v>
      </c>
      <c r="C1113" s="4" t="s">
        <v>44</v>
      </c>
      <c r="D1113" s="4">
        <f>VLOOKUP(A1113,Orders!$A:$E,5,FALSE)</f>
        <v>3</v>
      </c>
      <c r="E1113" s="4">
        <v>1429</v>
      </c>
      <c r="F1113" s="4">
        <v>10</v>
      </c>
      <c r="G1113" s="10">
        <f t="shared" si="17"/>
        <v>142.9</v>
      </c>
      <c r="H1113" s="4">
        <v>2</v>
      </c>
    </row>
    <row r="1114" spans="1:8" x14ac:dyDescent="0.2">
      <c r="A1114" s="4">
        <v>6101</v>
      </c>
      <c r="B1114" s="4" t="s">
        <v>51</v>
      </c>
      <c r="C1114" s="4" t="s">
        <v>44</v>
      </c>
      <c r="D1114" s="4">
        <f>VLOOKUP(A1114,Orders!$A:$E,5,FALSE)</f>
        <v>3</v>
      </c>
      <c r="E1114" s="4">
        <v>55</v>
      </c>
      <c r="F1114" s="4">
        <v>9</v>
      </c>
      <c r="G1114" s="10">
        <f t="shared" si="17"/>
        <v>6.1111111111111107</v>
      </c>
      <c r="H1114" s="4">
        <v>3</v>
      </c>
    </row>
    <row r="1115" spans="1:8" x14ac:dyDescent="0.2">
      <c r="A1115" s="4">
        <v>6120</v>
      </c>
      <c r="B1115" s="4" t="s">
        <v>51</v>
      </c>
      <c r="C1115" s="4" t="s">
        <v>44</v>
      </c>
      <c r="D1115" s="4">
        <f>VLOOKUP(A1115,Orders!$A:$E,5,FALSE)</f>
        <v>9</v>
      </c>
      <c r="E1115" s="4">
        <v>472</v>
      </c>
      <c r="F1115" s="4">
        <v>8</v>
      </c>
      <c r="G1115" s="10">
        <f t="shared" si="17"/>
        <v>59</v>
      </c>
      <c r="H1115" s="4">
        <v>1</v>
      </c>
    </row>
    <row r="1116" spans="1:8" x14ac:dyDescent="0.2">
      <c r="A1116" s="4">
        <v>6123</v>
      </c>
      <c r="B1116" s="4" t="s">
        <v>51</v>
      </c>
      <c r="C1116" s="4" t="s">
        <v>44</v>
      </c>
      <c r="D1116" s="4">
        <f>VLOOKUP(A1116,Orders!$A:$E,5,FALSE)</f>
        <v>5</v>
      </c>
      <c r="E1116" s="4">
        <v>211</v>
      </c>
      <c r="F1116" s="4">
        <v>12</v>
      </c>
      <c r="G1116" s="10">
        <f t="shared" si="17"/>
        <v>17.583333333333332</v>
      </c>
      <c r="H1116" s="4">
        <v>1</v>
      </c>
    </row>
    <row r="1117" spans="1:8" x14ac:dyDescent="0.2">
      <c r="A1117" s="4">
        <v>6238</v>
      </c>
      <c r="B1117" s="4" t="s">
        <v>51</v>
      </c>
      <c r="C1117" s="4" t="s">
        <v>44</v>
      </c>
      <c r="D1117" s="4">
        <f>VLOOKUP(A1117,Orders!$A:$E,5,FALSE)</f>
        <v>7</v>
      </c>
      <c r="E1117" s="4">
        <v>1292</v>
      </c>
      <c r="F1117" s="4">
        <v>8</v>
      </c>
      <c r="G1117" s="10">
        <f t="shared" si="17"/>
        <v>161.5</v>
      </c>
      <c r="H1117" s="4">
        <v>3</v>
      </c>
    </row>
    <row r="1118" spans="1:8" x14ac:dyDescent="0.2">
      <c r="A1118" s="4">
        <v>6241</v>
      </c>
      <c r="B1118" s="4" t="s">
        <v>51</v>
      </c>
      <c r="C1118" s="4" t="s">
        <v>44</v>
      </c>
      <c r="D1118" s="4">
        <f>VLOOKUP(A1118,Orders!$A:$E,5,FALSE)</f>
        <v>7</v>
      </c>
      <c r="E1118" s="4">
        <v>721</v>
      </c>
      <c r="F1118" s="4">
        <v>11</v>
      </c>
      <c r="G1118" s="10">
        <f t="shared" si="17"/>
        <v>65.545454545454547</v>
      </c>
      <c r="H1118" s="4">
        <v>1</v>
      </c>
    </row>
    <row r="1119" spans="1:8" x14ac:dyDescent="0.2">
      <c r="A1119" s="4">
        <v>6242</v>
      </c>
      <c r="B1119" s="4" t="s">
        <v>51</v>
      </c>
      <c r="C1119" s="4" t="s">
        <v>44</v>
      </c>
      <c r="D1119" s="4">
        <f>VLOOKUP(A1119,Orders!$A:$E,5,FALSE)</f>
        <v>4</v>
      </c>
      <c r="E1119" s="4">
        <v>854</v>
      </c>
      <c r="F1119" s="4">
        <v>3</v>
      </c>
      <c r="G1119" s="10">
        <f t="shared" si="17"/>
        <v>284.66666666666669</v>
      </c>
      <c r="H1119" s="4">
        <v>1</v>
      </c>
    </row>
    <row r="1120" spans="1:8" x14ac:dyDescent="0.2">
      <c r="A1120" s="4">
        <v>6259</v>
      </c>
      <c r="B1120" s="4" t="s">
        <v>51</v>
      </c>
      <c r="C1120" s="4" t="s">
        <v>44</v>
      </c>
      <c r="D1120" s="4">
        <f>VLOOKUP(A1120,Orders!$A:$E,5,FALSE)</f>
        <v>5</v>
      </c>
      <c r="E1120" s="4">
        <v>1554</v>
      </c>
      <c r="F1120" s="4">
        <v>8</v>
      </c>
      <c r="G1120" s="10">
        <f t="shared" si="17"/>
        <v>194.25</v>
      </c>
      <c r="H1120" s="4">
        <v>2</v>
      </c>
    </row>
    <row r="1121" spans="1:8" x14ac:dyDescent="0.2">
      <c r="A1121" s="4">
        <v>6282</v>
      </c>
      <c r="B1121" s="4" t="s">
        <v>51</v>
      </c>
      <c r="C1121" s="4" t="s">
        <v>44</v>
      </c>
      <c r="D1121" s="4">
        <f>VLOOKUP(A1121,Orders!$A:$E,5,FALSE)</f>
        <v>9</v>
      </c>
      <c r="E1121" s="4">
        <v>123</v>
      </c>
      <c r="F1121" s="4">
        <v>13</v>
      </c>
      <c r="G1121" s="10">
        <f t="shared" si="17"/>
        <v>9.4615384615384617</v>
      </c>
      <c r="H1121" s="4">
        <v>1</v>
      </c>
    </row>
    <row r="1122" spans="1:8" x14ac:dyDescent="0.2">
      <c r="A1122" s="4">
        <v>6285</v>
      </c>
      <c r="B1122" s="4" t="s">
        <v>51</v>
      </c>
      <c r="C1122" s="4" t="s">
        <v>44</v>
      </c>
      <c r="D1122" s="4">
        <f>VLOOKUP(A1122,Orders!$A:$E,5,FALSE)</f>
        <v>5</v>
      </c>
      <c r="E1122" s="4">
        <v>1506</v>
      </c>
      <c r="F1122" s="4">
        <v>14</v>
      </c>
      <c r="G1122" s="10">
        <f t="shared" si="17"/>
        <v>107.57142857142857</v>
      </c>
      <c r="H1122" s="4">
        <v>2</v>
      </c>
    </row>
    <row r="1123" spans="1:8" x14ac:dyDescent="0.2">
      <c r="A1123" s="4">
        <v>6291</v>
      </c>
      <c r="B1123" s="4" t="s">
        <v>51</v>
      </c>
      <c r="C1123" s="4" t="s">
        <v>44</v>
      </c>
      <c r="D1123" s="4">
        <f>VLOOKUP(A1123,Orders!$A:$E,5,FALSE)</f>
        <v>3</v>
      </c>
      <c r="E1123" s="4">
        <v>202</v>
      </c>
      <c r="F1123" s="4">
        <v>6</v>
      </c>
      <c r="G1123" s="10">
        <f t="shared" si="17"/>
        <v>33.666666666666664</v>
      </c>
      <c r="H1123" s="4">
        <v>2</v>
      </c>
    </row>
    <row r="1124" spans="1:8" x14ac:dyDescent="0.2">
      <c r="A1124" s="4">
        <v>6306</v>
      </c>
      <c r="B1124" s="4" t="s">
        <v>51</v>
      </c>
      <c r="C1124" s="4" t="s">
        <v>44</v>
      </c>
      <c r="D1124" s="4">
        <f>VLOOKUP(A1124,Orders!$A:$E,5,FALSE)</f>
        <v>3</v>
      </c>
      <c r="E1124" s="4">
        <v>1894</v>
      </c>
      <c r="F1124" s="4">
        <v>7</v>
      </c>
      <c r="G1124" s="10">
        <f t="shared" si="17"/>
        <v>270.57142857142856</v>
      </c>
      <c r="H1124" s="4">
        <v>1</v>
      </c>
    </row>
    <row r="1125" spans="1:8" x14ac:dyDescent="0.2">
      <c r="A1125" s="4">
        <v>6309</v>
      </c>
      <c r="B1125" s="4" t="s">
        <v>51</v>
      </c>
      <c r="C1125" s="4" t="s">
        <v>44</v>
      </c>
      <c r="D1125" s="4">
        <f>VLOOKUP(A1125,Orders!$A:$E,5,FALSE)</f>
        <v>10</v>
      </c>
      <c r="E1125" s="4">
        <v>1192</v>
      </c>
      <c r="F1125" s="4">
        <v>19</v>
      </c>
      <c r="G1125" s="10">
        <f t="shared" si="17"/>
        <v>62.736842105263158</v>
      </c>
      <c r="H1125" s="4">
        <v>2</v>
      </c>
    </row>
    <row r="1126" spans="1:8" x14ac:dyDescent="0.2">
      <c r="A1126" s="4">
        <v>6316</v>
      </c>
      <c r="B1126" s="4" t="s">
        <v>51</v>
      </c>
      <c r="C1126" s="4" t="s">
        <v>44</v>
      </c>
      <c r="D1126" s="4">
        <f>VLOOKUP(A1126,Orders!$A:$E,5,FALSE)</f>
        <v>6</v>
      </c>
      <c r="E1126" s="4">
        <v>1781</v>
      </c>
      <c r="F1126" s="4">
        <v>2</v>
      </c>
      <c r="G1126" s="10">
        <f t="shared" si="17"/>
        <v>890.5</v>
      </c>
      <c r="H1126" s="4">
        <v>2</v>
      </c>
    </row>
    <row r="1127" spans="1:8" x14ac:dyDescent="0.2">
      <c r="A1127" s="4">
        <v>6353</v>
      </c>
      <c r="B1127" s="4" t="s">
        <v>51</v>
      </c>
      <c r="C1127" s="4" t="s">
        <v>44</v>
      </c>
      <c r="D1127" s="4">
        <f>VLOOKUP(A1127,Orders!$A:$E,5,FALSE)</f>
        <v>2</v>
      </c>
      <c r="E1127" s="4">
        <v>1891</v>
      </c>
      <c r="F1127" s="4">
        <v>12</v>
      </c>
      <c r="G1127" s="10">
        <f t="shared" si="17"/>
        <v>157.58333333333334</v>
      </c>
      <c r="H1127" s="4">
        <v>2</v>
      </c>
    </row>
    <row r="1128" spans="1:8" x14ac:dyDescent="0.2">
      <c r="A1128" s="4">
        <v>6363</v>
      </c>
      <c r="B1128" s="4" t="s">
        <v>51</v>
      </c>
      <c r="C1128" s="4" t="s">
        <v>44</v>
      </c>
      <c r="D1128" s="4">
        <f>VLOOKUP(A1128,Orders!$A:$E,5,FALSE)</f>
        <v>5</v>
      </c>
      <c r="E1128" s="4">
        <v>116</v>
      </c>
      <c r="F1128" s="4">
        <v>8</v>
      </c>
      <c r="G1128" s="10">
        <f t="shared" si="17"/>
        <v>14.5</v>
      </c>
      <c r="H1128" s="4">
        <v>3</v>
      </c>
    </row>
    <row r="1129" spans="1:8" x14ac:dyDescent="0.2">
      <c r="A1129" s="4">
        <v>6392</v>
      </c>
      <c r="B1129" s="4" t="s">
        <v>51</v>
      </c>
      <c r="C1129" s="4" t="s">
        <v>44</v>
      </c>
      <c r="D1129" s="4">
        <f>VLOOKUP(A1129,Orders!$A:$E,5,FALSE)</f>
        <v>3</v>
      </c>
      <c r="E1129" s="4">
        <v>1043</v>
      </c>
      <c r="F1129" s="4">
        <v>24</v>
      </c>
      <c r="G1129" s="10">
        <f t="shared" si="17"/>
        <v>43.458333333333336</v>
      </c>
      <c r="H1129" s="4">
        <v>1</v>
      </c>
    </row>
    <row r="1130" spans="1:8" x14ac:dyDescent="0.2">
      <c r="A1130" s="4">
        <v>6404</v>
      </c>
      <c r="B1130" s="4" t="s">
        <v>51</v>
      </c>
      <c r="C1130" s="4" t="s">
        <v>44</v>
      </c>
      <c r="D1130" s="4">
        <f>VLOOKUP(A1130,Orders!$A:$E,5,FALSE)</f>
        <v>6</v>
      </c>
      <c r="E1130" s="4">
        <v>1631</v>
      </c>
      <c r="F1130" s="4">
        <v>7</v>
      </c>
      <c r="G1130" s="10">
        <f t="shared" si="17"/>
        <v>233</v>
      </c>
      <c r="H1130" s="4">
        <v>2</v>
      </c>
    </row>
    <row r="1131" spans="1:8" x14ac:dyDescent="0.2">
      <c r="A1131" s="4">
        <v>6411</v>
      </c>
      <c r="B1131" s="4" t="s">
        <v>51</v>
      </c>
      <c r="C1131" s="4" t="s">
        <v>44</v>
      </c>
      <c r="D1131" s="4">
        <f>VLOOKUP(A1131,Orders!$A:$E,5,FALSE)</f>
        <v>9</v>
      </c>
      <c r="E1131" s="4">
        <v>149</v>
      </c>
      <c r="F1131" s="4">
        <v>16</v>
      </c>
      <c r="G1131" s="10">
        <f t="shared" si="17"/>
        <v>9.3125</v>
      </c>
      <c r="H1131" s="4">
        <v>3</v>
      </c>
    </row>
    <row r="1132" spans="1:8" x14ac:dyDescent="0.2">
      <c r="A1132" s="4">
        <v>6452</v>
      </c>
      <c r="B1132" s="4" t="s">
        <v>51</v>
      </c>
      <c r="C1132" s="4" t="s">
        <v>44</v>
      </c>
      <c r="D1132" s="4">
        <f>VLOOKUP(A1132,Orders!$A:$E,5,FALSE)</f>
        <v>6</v>
      </c>
      <c r="E1132" s="4">
        <v>425</v>
      </c>
      <c r="F1132" s="4">
        <v>21</v>
      </c>
      <c r="G1132" s="10">
        <f t="shared" si="17"/>
        <v>20.238095238095237</v>
      </c>
      <c r="H1132" s="4">
        <v>3</v>
      </c>
    </row>
    <row r="1133" spans="1:8" x14ac:dyDescent="0.2">
      <c r="A1133" s="4">
        <v>6458</v>
      </c>
      <c r="B1133" s="4" t="s">
        <v>51</v>
      </c>
      <c r="C1133" s="4" t="s">
        <v>44</v>
      </c>
      <c r="D1133" s="4">
        <f>VLOOKUP(A1133,Orders!$A:$E,5,FALSE)</f>
        <v>7</v>
      </c>
      <c r="E1133" s="4">
        <v>1908</v>
      </c>
      <c r="F1133" s="4">
        <v>12</v>
      </c>
      <c r="G1133" s="10">
        <f t="shared" si="17"/>
        <v>159</v>
      </c>
      <c r="H1133" s="4">
        <v>1</v>
      </c>
    </row>
    <row r="1134" spans="1:8" x14ac:dyDescent="0.2">
      <c r="A1134" s="4">
        <v>6460</v>
      </c>
      <c r="B1134" s="4" t="s">
        <v>51</v>
      </c>
      <c r="C1134" s="4" t="s">
        <v>44</v>
      </c>
      <c r="D1134" s="4">
        <f>VLOOKUP(A1134,Orders!$A:$E,5,FALSE)</f>
        <v>5</v>
      </c>
      <c r="E1134" s="4">
        <v>55</v>
      </c>
      <c r="F1134" s="4">
        <v>20</v>
      </c>
      <c r="G1134" s="10">
        <f t="shared" si="17"/>
        <v>2.75</v>
      </c>
      <c r="H1134" s="4">
        <v>1</v>
      </c>
    </row>
    <row r="1135" spans="1:8" x14ac:dyDescent="0.2">
      <c r="A1135" s="4">
        <v>6471</v>
      </c>
      <c r="B1135" s="4" t="s">
        <v>51</v>
      </c>
      <c r="C1135" s="4" t="s">
        <v>44</v>
      </c>
      <c r="D1135" s="4">
        <f>VLOOKUP(A1135,Orders!$A:$E,5,FALSE)</f>
        <v>8</v>
      </c>
      <c r="E1135" s="4">
        <v>1161</v>
      </c>
      <c r="F1135" s="4">
        <v>17</v>
      </c>
      <c r="G1135" s="10">
        <f t="shared" si="17"/>
        <v>68.294117647058826</v>
      </c>
      <c r="H1135" s="4">
        <v>2</v>
      </c>
    </row>
    <row r="1136" spans="1:8" x14ac:dyDescent="0.2">
      <c r="A1136" s="4">
        <v>6486</v>
      </c>
      <c r="B1136" s="4" t="s">
        <v>51</v>
      </c>
      <c r="C1136" s="4" t="s">
        <v>44</v>
      </c>
      <c r="D1136" s="4">
        <f>VLOOKUP(A1136,Orders!$A:$E,5,FALSE)</f>
        <v>4</v>
      </c>
      <c r="E1136" s="4">
        <v>225</v>
      </c>
      <c r="F1136" s="4">
        <v>16</v>
      </c>
      <c r="G1136" s="10">
        <f t="shared" si="17"/>
        <v>14.0625</v>
      </c>
      <c r="H1136" s="4">
        <v>2</v>
      </c>
    </row>
    <row r="1137" spans="1:8" x14ac:dyDescent="0.2">
      <c r="A1137" s="4">
        <v>6493</v>
      </c>
      <c r="B1137" s="4" t="s">
        <v>51</v>
      </c>
      <c r="C1137" s="4" t="s">
        <v>44</v>
      </c>
      <c r="D1137" s="4">
        <f>VLOOKUP(A1137,Orders!$A:$E,5,FALSE)</f>
        <v>6</v>
      </c>
      <c r="E1137" s="4">
        <v>700</v>
      </c>
      <c r="F1137" s="4">
        <v>4</v>
      </c>
      <c r="G1137" s="10">
        <f t="shared" si="17"/>
        <v>175</v>
      </c>
      <c r="H1137" s="4">
        <v>1</v>
      </c>
    </row>
    <row r="1138" spans="1:8" x14ac:dyDescent="0.2">
      <c r="A1138" s="4">
        <v>6497</v>
      </c>
      <c r="B1138" s="4" t="s">
        <v>51</v>
      </c>
      <c r="C1138" s="4" t="s">
        <v>44</v>
      </c>
      <c r="D1138" s="4">
        <f>VLOOKUP(A1138,Orders!$A:$E,5,FALSE)</f>
        <v>6</v>
      </c>
      <c r="E1138" s="4">
        <v>734</v>
      </c>
      <c r="F1138" s="4">
        <v>19</v>
      </c>
      <c r="G1138" s="10">
        <f t="shared" si="17"/>
        <v>38.631578947368418</v>
      </c>
      <c r="H1138" s="4">
        <v>3</v>
      </c>
    </row>
    <row r="1139" spans="1:8" x14ac:dyDescent="0.2">
      <c r="A1139" s="4">
        <v>5041</v>
      </c>
      <c r="B1139" s="4" t="s">
        <v>41</v>
      </c>
      <c r="C1139" s="4" t="s">
        <v>45</v>
      </c>
      <c r="D1139" s="4">
        <f>VLOOKUP(A1139,Orders!$A:$E,5,FALSE)</f>
        <v>3</v>
      </c>
      <c r="E1139" s="4">
        <v>69</v>
      </c>
      <c r="F1139" s="4">
        <v>24</v>
      </c>
      <c r="G1139" s="10">
        <f t="shared" si="17"/>
        <v>2.875</v>
      </c>
      <c r="H1139" s="4">
        <v>1</v>
      </c>
    </row>
    <row r="1140" spans="1:8" x14ac:dyDescent="0.2">
      <c r="A1140" s="4">
        <v>5093</v>
      </c>
      <c r="B1140" s="4" t="s">
        <v>41</v>
      </c>
      <c r="C1140" s="4" t="s">
        <v>45</v>
      </c>
      <c r="D1140" s="4">
        <f>VLOOKUP(A1140,Orders!$A:$E,5,FALSE)</f>
        <v>4</v>
      </c>
      <c r="E1140" s="4">
        <v>204</v>
      </c>
      <c r="F1140" s="4">
        <v>24</v>
      </c>
      <c r="G1140" s="10">
        <f t="shared" si="17"/>
        <v>8.5</v>
      </c>
      <c r="H1140" s="4">
        <v>2</v>
      </c>
    </row>
    <row r="1141" spans="1:8" x14ac:dyDescent="0.2">
      <c r="A1141" s="4">
        <v>5099</v>
      </c>
      <c r="B1141" s="4" t="s">
        <v>41</v>
      </c>
      <c r="C1141" s="4" t="s">
        <v>45</v>
      </c>
      <c r="D1141" s="4">
        <f>VLOOKUP(A1141,Orders!$A:$E,5,FALSE)</f>
        <v>10</v>
      </c>
      <c r="E1141" s="4">
        <v>1640</v>
      </c>
      <c r="F1141" s="4">
        <v>17</v>
      </c>
      <c r="G1141" s="10">
        <f t="shared" si="17"/>
        <v>96.470588235294116</v>
      </c>
      <c r="H1141" s="4">
        <v>1</v>
      </c>
    </row>
    <row r="1142" spans="1:8" x14ac:dyDescent="0.2">
      <c r="A1142" s="4">
        <v>5113</v>
      </c>
      <c r="B1142" s="4" t="s">
        <v>41</v>
      </c>
      <c r="C1142" s="4" t="s">
        <v>45</v>
      </c>
      <c r="D1142" s="4">
        <f>VLOOKUP(A1142,Orders!$A:$E,5,FALSE)</f>
        <v>10</v>
      </c>
      <c r="E1142" s="4">
        <v>478</v>
      </c>
      <c r="F1142" s="4">
        <v>20</v>
      </c>
      <c r="G1142" s="10">
        <f t="shared" si="17"/>
        <v>23.9</v>
      </c>
      <c r="H1142" s="4">
        <v>1</v>
      </c>
    </row>
    <row r="1143" spans="1:8" x14ac:dyDescent="0.2">
      <c r="A1143" s="4">
        <v>5127</v>
      </c>
      <c r="B1143" s="4" t="s">
        <v>41</v>
      </c>
      <c r="C1143" s="4" t="s">
        <v>45</v>
      </c>
      <c r="D1143" s="4">
        <f>VLOOKUP(A1143,Orders!$A:$E,5,FALSE)</f>
        <v>2</v>
      </c>
      <c r="E1143" s="4">
        <v>1034</v>
      </c>
      <c r="F1143" s="4">
        <v>7</v>
      </c>
      <c r="G1143" s="10">
        <f t="shared" si="17"/>
        <v>147.71428571428572</v>
      </c>
      <c r="H1143" s="4">
        <v>3</v>
      </c>
    </row>
    <row r="1144" spans="1:8" x14ac:dyDescent="0.2">
      <c r="A1144" s="4">
        <v>5157</v>
      </c>
      <c r="B1144" s="4" t="s">
        <v>41</v>
      </c>
      <c r="C1144" s="4" t="s">
        <v>45</v>
      </c>
      <c r="D1144" s="4">
        <f>VLOOKUP(A1144,Orders!$A:$E,5,FALSE)</f>
        <v>9</v>
      </c>
      <c r="E1144" s="4">
        <v>1355</v>
      </c>
      <c r="F1144" s="4">
        <v>13</v>
      </c>
      <c r="G1144" s="10">
        <f t="shared" si="17"/>
        <v>104.23076923076923</v>
      </c>
      <c r="H1144" s="4">
        <v>1</v>
      </c>
    </row>
    <row r="1145" spans="1:8" x14ac:dyDescent="0.2">
      <c r="A1145" s="4">
        <v>5167</v>
      </c>
      <c r="B1145" s="4" t="s">
        <v>41</v>
      </c>
      <c r="C1145" s="4" t="s">
        <v>45</v>
      </c>
      <c r="D1145" s="4">
        <f>VLOOKUP(A1145,Orders!$A:$E,5,FALSE)</f>
        <v>2</v>
      </c>
      <c r="E1145" s="4">
        <v>1264</v>
      </c>
      <c r="F1145" s="4">
        <v>22</v>
      </c>
      <c r="G1145" s="10">
        <f t="shared" si="17"/>
        <v>57.454545454545453</v>
      </c>
      <c r="H1145" s="4">
        <v>2</v>
      </c>
    </row>
    <row r="1146" spans="1:8" x14ac:dyDescent="0.2">
      <c r="A1146" s="4">
        <v>5181</v>
      </c>
      <c r="B1146" s="4" t="s">
        <v>41</v>
      </c>
      <c r="C1146" s="4" t="s">
        <v>45</v>
      </c>
      <c r="D1146" s="4">
        <f>VLOOKUP(A1146,Orders!$A:$E,5,FALSE)</f>
        <v>5</v>
      </c>
      <c r="E1146" s="4">
        <v>200</v>
      </c>
      <c r="F1146" s="4">
        <v>5</v>
      </c>
      <c r="G1146" s="10">
        <f t="shared" si="17"/>
        <v>40</v>
      </c>
      <c r="H1146" s="4">
        <v>1</v>
      </c>
    </row>
    <row r="1147" spans="1:8" x14ac:dyDescent="0.2">
      <c r="A1147" s="4">
        <v>5206</v>
      </c>
      <c r="B1147" s="4" t="s">
        <v>41</v>
      </c>
      <c r="C1147" s="4" t="s">
        <v>45</v>
      </c>
      <c r="D1147" s="4">
        <f>VLOOKUP(A1147,Orders!$A:$E,5,FALSE)</f>
        <v>5</v>
      </c>
      <c r="E1147" s="4">
        <v>892</v>
      </c>
      <c r="F1147" s="4">
        <v>10</v>
      </c>
      <c r="G1147" s="10">
        <f t="shared" si="17"/>
        <v>89.2</v>
      </c>
      <c r="H1147" s="4">
        <v>3</v>
      </c>
    </row>
    <row r="1148" spans="1:8" x14ac:dyDescent="0.2">
      <c r="A1148" s="4">
        <v>5216</v>
      </c>
      <c r="B1148" s="4" t="s">
        <v>41</v>
      </c>
      <c r="C1148" s="4" t="s">
        <v>45</v>
      </c>
      <c r="D1148" s="4">
        <f>VLOOKUP(A1148,Orders!$A:$E,5,FALSE)</f>
        <v>4</v>
      </c>
      <c r="E1148" s="4">
        <v>1146</v>
      </c>
      <c r="F1148" s="4">
        <v>23</v>
      </c>
      <c r="G1148" s="10">
        <f t="shared" si="17"/>
        <v>49.826086956521742</v>
      </c>
      <c r="H1148" s="4">
        <v>2</v>
      </c>
    </row>
    <row r="1149" spans="1:8" x14ac:dyDescent="0.2">
      <c r="A1149" s="4">
        <v>5223</v>
      </c>
      <c r="B1149" s="4" t="s">
        <v>41</v>
      </c>
      <c r="C1149" s="4" t="s">
        <v>45</v>
      </c>
      <c r="D1149" s="4">
        <f>VLOOKUP(A1149,Orders!$A:$E,5,FALSE)</f>
        <v>3</v>
      </c>
      <c r="E1149" s="4">
        <v>1893</v>
      </c>
      <c r="F1149" s="4">
        <v>4</v>
      </c>
      <c r="G1149" s="10">
        <f t="shared" si="17"/>
        <v>473.25</v>
      </c>
      <c r="H1149" s="4">
        <v>3</v>
      </c>
    </row>
    <row r="1150" spans="1:8" x14ac:dyDescent="0.2">
      <c r="A1150" s="4">
        <v>5229</v>
      </c>
      <c r="B1150" s="4" t="s">
        <v>41</v>
      </c>
      <c r="C1150" s="4" t="s">
        <v>45</v>
      </c>
      <c r="D1150" s="4">
        <f>VLOOKUP(A1150,Orders!$A:$E,5,FALSE)</f>
        <v>4</v>
      </c>
      <c r="E1150" s="4">
        <v>1671</v>
      </c>
      <c r="F1150" s="4">
        <v>4</v>
      </c>
      <c r="G1150" s="10">
        <f t="shared" si="17"/>
        <v>417.75</v>
      </c>
      <c r="H1150" s="4">
        <v>2</v>
      </c>
    </row>
    <row r="1151" spans="1:8" x14ac:dyDescent="0.2">
      <c r="A1151" s="4">
        <v>5230</v>
      </c>
      <c r="B1151" s="4" t="s">
        <v>41</v>
      </c>
      <c r="C1151" s="4" t="s">
        <v>45</v>
      </c>
      <c r="D1151" s="4">
        <f>VLOOKUP(A1151,Orders!$A:$E,5,FALSE)</f>
        <v>2</v>
      </c>
      <c r="E1151" s="4">
        <v>1665</v>
      </c>
      <c r="F1151" s="4">
        <v>2</v>
      </c>
      <c r="G1151" s="10">
        <f t="shared" si="17"/>
        <v>832.5</v>
      </c>
      <c r="H1151" s="4">
        <v>1</v>
      </c>
    </row>
    <row r="1152" spans="1:8" x14ac:dyDescent="0.2">
      <c r="A1152" s="4">
        <v>5261</v>
      </c>
      <c r="B1152" s="4" t="s">
        <v>41</v>
      </c>
      <c r="C1152" s="4" t="s">
        <v>45</v>
      </c>
      <c r="D1152" s="4">
        <f>VLOOKUP(A1152,Orders!$A:$E,5,FALSE)</f>
        <v>6</v>
      </c>
      <c r="E1152" s="4">
        <v>1365</v>
      </c>
      <c r="F1152" s="4">
        <v>6</v>
      </c>
      <c r="G1152" s="10">
        <f t="shared" si="17"/>
        <v>227.5</v>
      </c>
      <c r="H1152" s="4">
        <v>2</v>
      </c>
    </row>
    <row r="1153" spans="1:8" x14ac:dyDescent="0.2">
      <c r="A1153" s="4">
        <v>5270</v>
      </c>
      <c r="B1153" s="4" t="s">
        <v>41</v>
      </c>
      <c r="C1153" s="4" t="s">
        <v>45</v>
      </c>
      <c r="D1153" s="4">
        <f>VLOOKUP(A1153,Orders!$A:$E,5,FALSE)</f>
        <v>4</v>
      </c>
      <c r="E1153" s="4">
        <v>1169</v>
      </c>
      <c r="F1153" s="4">
        <v>13</v>
      </c>
      <c r="G1153" s="10">
        <f t="shared" si="17"/>
        <v>89.92307692307692</v>
      </c>
      <c r="H1153" s="4">
        <v>1</v>
      </c>
    </row>
    <row r="1154" spans="1:8" x14ac:dyDescent="0.2">
      <c r="A1154" s="4">
        <v>5276</v>
      </c>
      <c r="B1154" s="4" t="s">
        <v>41</v>
      </c>
      <c r="C1154" s="4" t="s">
        <v>45</v>
      </c>
      <c r="D1154" s="4">
        <f>VLOOKUP(A1154,Orders!$A:$E,5,FALSE)</f>
        <v>7</v>
      </c>
      <c r="E1154" s="4">
        <v>467</v>
      </c>
      <c r="F1154" s="4">
        <v>8</v>
      </c>
      <c r="G1154" s="10">
        <f t="shared" ref="G1154:G1217" si="18">E1154/F1154</f>
        <v>58.375</v>
      </c>
      <c r="H1154" s="4">
        <v>1</v>
      </c>
    </row>
    <row r="1155" spans="1:8" x14ac:dyDescent="0.2">
      <c r="A1155" s="4">
        <v>5285</v>
      </c>
      <c r="B1155" s="4" t="s">
        <v>41</v>
      </c>
      <c r="C1155" s="4" t="s">
        <v>45</v>
      </c>
      <c r="D1155" s="4">
        <f>VLOOKUP(A1155,Orders!$A:$E,5,FALSE)</f>
        <v>2</v>
      </c>
      <c r="E1155" s="4">
        <v>1208</v>
      </c>
      <c r="F1155" s="4">
        <v>22</v>
      </c>
      <c r="G1155" s="10">
        <f t="shared" si="18"/>
        <v>54.909090909090907</v>
      </c>
      <c r="H1155" s="4">
        <v>2</v>
      </c>
    </row>
    <row r="1156" spans="1:8" x14ac:dyDescent="0.2">
      <c r="A1156" s="4">
        <v>5288</v>
      </c>
      <c r="B1156" s="4" t="s">
        <v>41</v>
      </c>
      <c r="C1156" s="4" t="s">
        <v>45</v>
      </c>
      <c r="D1156" s="4">
        <f>VLOOKUP(A1156,Orders!$A:$E,5,FALSE)</f>
        <v>7</v>
      </c>
      <c r="E1156" s="4">
        <v>1956</v>
      </c>
      <c r="F1156" s="4">
        <v>2</v>
      </c>
      <c r="G1156" s="10">
        <f t="shared" si="18"/>
        <v>978</v>
      </c>
      <c r="H1156" s="4">
        <v>2</v>
      </c>
    </row>
    <row r="1157" spans="1:8" x14ac:dyDescent="0.2">
      <c r="A1157" s="4">
        <v>5308</v>
      </c>
      <c r="B1157" s="4" t="s">
        <v>41</v>
      </c>
      <c r="C1157" s="4" t="s">
        <v>45</v>
      </c>
      <c r="D1157" s="4">
        <f>VLOOKUP(A1157,Orders!$A:$E,5,FALSE)</f>
        <v>2</v>
      </c>
      <c r="E1157" s="4">
        <v>1861</v>
      </c>
      <c r="F1157" s="4">
        <v>24</v>
      </c>
      <c r="G1157" s="10">
        <f t="shared" si="18"/>
        <v>77.541666666666671</v>
      </c>
      <c r="H1157" s="4">
        <v>2</v>
      </c>
    </row>
    <row r="1158" spans="1:8" x14ac:dyDescent="0.2">
      <c r="A1158" s="4">
        <v>5327</v>
      </c>
      <c r="B1158" s="4" t="s">
        <v>41</v>
      </c>
      <c r="C1158" s="4" t="s">
        <v>45</v>
      </c>
      <c r="D1158" s="4">
        <f>VLOOKUP(A1158,Orders!$A:$E,5,FALSE)</f>
        <v>10</v>
      </c>
      <c r="E1158" s="4">
        <v>1302</v>
      </c>
      <c r="F1158" s="4">
        <v>5</v>
      </c>
      <c r="G1158" s="10">
        <f t="shared" si="18"/>
        <v>260.39999999999998</v>
      </c>
      <c r="H1158" s="4">
        <v>2</v>
      </c>
    </row>
    <row r="1159" spans="1:8" x14ac:dyDescent="0.2">
      <c r="A1159" s="4">
        <v>5366</v>
      </c>
      <c r="B1159" s="4" t="s">
        <v>41</v>
      </c>
      <c r="C1159" s="4" t="s">
        <v>45</v>
      </c>
      <c r="D1159" s="4">
        <f>VLOOKUP(A1159,Orders!$A:$E,5,FALSE)</f>
        <v>10</v>
      </c>
      <c r="E1159" s="4">
        <v>1428</v>
      </c>
      <c r="F1159" s="4">
        <v>24</v>
      </c>
      <c r="G1159" s="10">
        <f t="shared" si="18"/>
        <v>59.5</v>
      </c>
      <c r="H1159" s="4">
        <v>2</v>
      </c>
    </row>
    <row r="1160" spans="1:8" x14ac:dyDescent="0.2">
      <c r="A1160" s="4">
        <v>5379</v>
      </c>
      <c r="B1160" s="4" t="s">
        <v>41</v>
      </c>
      <c r="C1160" s="4" t="s">
        <v>45</v>
      </c>
      <c r="D1160" s="4">
        <f>VLOOKUP(A1160,Orders!$A:$E,5,FALSE)</f>
        <v>6</v>
      </c>
      <c r="E1160" s="4">
        <v>895</v>
      </c>
      <c r="F1160" s="4">
        <v>14</v>
      </c>
      <c r="G1160" s="10">
        <f t="shared" si="18"/>
        <v>63.928571428571431</v>
      </c>
      <c r="H1160" s="4">
        <v>2</v>
      </c>
    </row>
    <row r="1161" spans="1:8" x14ac:dyDescent="0.2">
      <c r="A1161" s="4">
        <v>5381</v>
      </c>
      <c r="B1161" s="4" t="s">
        <v>41</v>
      </c>
      <c r="C1161" s="4" t="s">
        <v>45</v>
      </c>
      <c r="D1161" s="4">
        <f>VLOOKUP(A1161,Orders!$A:$E,5,FALSE)</f>
        <v>9</v>
      </c>
      <c r="E1161" s="4">
        <v>85</v>
      </c>
      <c r="F1161" s="4">
        <v>18</v>
      </c>
      <c r="G1161" s="10">
        <f t="shared" si="18"/>
        <v>4.7222222222222223</v>
      </c>
      <c r="H1161" s="4">
        <v>2</v>
      </c>
    </row>
    <row r="1162" spans="1:8" x14ac:dyDescent="0.2">
      <c r="A1162" s="4">
        <v>5390</v>
      </c>
      <c r="B1162" s="4" t="s">
        <v>41</v>
      </c>
      <c r="C1162" s="4" t="s">
        <v>45</v>
      </c>
      <c r="D1162" s="4">
        <f>VLOOKUP(A1162,Orders!$A:$E,5,FALSE)</f>
        <v>7</v>
      </c>
      <c r="E1162" s="4">
        <v>58</v>
      </c>
      <c r="F1162" s="4">
        <v>2</v>
      </c>
      <c r="G1162" s="10">
        <f t="shared" si="18"/>
        <v>29</v>
      </c>
      <c r="H1162" s="4">
        <v>1</v>
      </c>
    </row>
    <row r="1163" spans="1:8" x14ac:dyDescent="0.2">
      <c r="A1163" s="4">
        <v>5401</v>
      </c>
      <c r="B1163" s="4" t="s">
        <v>41</v>
      </c>
      <c r="C1163" s="4" t="s">
        <v>45</v>
      </c>
      <c r="D1163" s="4">
        <f>VLOOKUP(A1163,Orders!$A:$E,5,FALSE)</f>
        <v>10</v>
      </c>
      <c r="E1163" s="4">
        <v>918</v>
      </c>
      <c r="F1163" s="4">
        <v>14</v>
      </c>
      <c r="G1163" s="10">
        <f t="shared" si="18"/>
        <v>65.571428571428569</v>
      </c>
      <c r="H1163" s="4">
        <v>1</v>
      </c>
    </row>
    <row r="1164" spans="1:8" x14ac:dyDescent="0.2">
      <c r="A1164" s="4">
        <v>5417</v>
      </c>
      <c r="B1164" s="4" t="s">
        <v>41</v>
      </c>
      <c r="C1164" s="4" t="s">
        <v>45</v>
      </c>
      <c r="D1164" s="4">
        <f>VLOOKUP(A1164,Orders!$A:$E,5,FALSE)</f>
        <v>10</v>
      </c>
      <c r="E1164" s="4">
        <v>437</v>
      </c>
      <c r="F1164" s="4">
        <v>11</v>
      </c>
      <c r="G1164" s="10">
        <f t="shared" si="18"/>
        <v>39.727272727272727</v>
      </c>
      <c r="H1164" s="4">
        <v>2</v>
      </c>
    </row>
    <row r="1165" spans="1:8" x14ac:dyDescent="0.2">
      <c r="A1165" s="4">
        <v>5429</v>
      </c>
      <c r="B1165" s="4" t="s">
        <v>41</v>
      </c>
      <c r="C1165" s="4" t="s">
        <v>45</v>
      </c>
      <c r="D1165" s="4">
        <f>VLOOKUP(A1165,Orders!$A:$E,5,FALSE)</f>
        <v>6</v>
      </c>
      <c r="E1165" s="4">
        <v>598</v>
      </c>
      <c r="F1165" s="4">
        <v>21</v>
      </c>
      <c r="G1165" s="10">
        <f t="shared" si="18"/>
        <v>28.476190476190474</v>
      </c>
      <c r="H1165" s="4">
        <v>1</v>
      </c>
    </row>
    <row r="1166" spans="1:8" x14ac:dyDescent="0.2">
      <c r="A1166" s="4">
        <v>5436</v>
      </c>
      <c r="B1166" s="4" t="s">
        <v>41</v>
      </c>
      <c r="C1166" s="4" t="s">
        <v>45</v>
      </c>
      <c r="D1166" s="4">
        <f>VLOOKUP(A1166,Orders!$A:$E,5,FALSE)</f>
        <v>5</v>
      </c>
      <c r="E1166" s="4">
        <v>1010</v>
      </c>
      <c r="F1166" s="4">
        <v>13</v>
      </c>
      <c r="G1166" s="10">
        <f t="shared" si="18"/>
        <v>77.692307692307693</v>
      </c>
      <c r="H1166" s="4">
        <v>1</v>
      </c>
    </row>
    <row r="1167" spans="1:8" x14ac:dyDescent="0.2">
      <c r="A1167" s="4">
        <v>5466</v>
      </c>
      <c r="B1167" s="4" t="s">
        <v>41</v>
      </c>
      <c r="C1167" s="4" t="s">
        <v>45</v>
      </c>
      <c r="D1167" s="4">
        <f>VLOOKUP(A1167,Orders!$A:$E,5,FALSE)</f>
        <v>4</v>
      </c>
      <c r="E1167" s="4">
        <v>334</v>
      </c>
      <c r="F1167" s="4">
        <v>4</v>
      </c>
      <c r="G1167" s="10">
        <f t="shared" si="18"/>
        <v>83.5</v>
      </c>
      <c r="H1167" s="4">
        <v>3</v>
      </c>
    </row>
    <row r="1168" spans="1:8" x14ac:dyDescent="0.2">
      <c r="A1168" s="4">
        <v>5492</v>
      </c>
      <c r="B1168" s="4" t="s">
        <v>41</v>
      </c>
      <c r="C1168" s="4" t="s">
        <v>45</v>
      </c>
      <c r="D1168" s="4">
        <f>VLOOKUP(A1168,Orders!$A:$E,5,FALSE)</f>
        <v>8</v>
      </c>
      <c r="E1168" s="4">
        <v>660</v>
      </c>
      <c r="F1168" s="4">
        <v>21</v>
      </c>
      <c r="G1168" s="10">
        <f t="shared" si="18"/>
        <v>31.428571428571427</v>
      </c>
      <c r="H1168" s="4">
        <v>2</v>
      </c>
    </row>
    <row r="1169" spans="1:8" x14ac:dyDescent="0.2">
      <c r="A1169" s="4">
        <v>5506</v>
      </c>
      <c r="B1169" s="4" t="s">
        <v>41</v>
      </c>
      <c r="C1169" s="4" t="s">
        <v>45</v>
      </c>
      <c r="D1169" s="4">
        <f>VLOOKUP(A1169,Orders!$A:$E,5,FALSE)</f>
        <v>7</v>
      </c>
      <c r="E1169" s="4">
        <v>1736</v>
      </c>
      <c r="F1169" s="4">
        <v>16</v>
      </c>
      <c r="G1169" s="10">
        <f t="shared" si="18"/>
        <v>108.5</v>
      </c>
      <c r="H1169" s="4">
        <v>2</v>
      </c>
    </row>
    <row r="1170" spans="1:8" x14ac:dyDescent="0.2">
      <c r="A1170" s="4">
        <v>5515</v>
      </c>
      <c r="B1170" s="4" t="s">
        <v>41</v>
      </c>
      <c r="C1170" s="4" t="s">
        <v>45</v>
      </c>
      <c r="D1170" s="4">
        <f>VLOOKUP(A1170,Orders!$A:$E,5,FALSE)</f>
        <v>4</v>
      </c>
      <c r="E1170" s="4">
        <v>1287</v>
      </c>
      <c r="F1170" s="4">
        <v>16</v>
      </c>
      <c r="G1170" s="10">
        <f t="shared" si="18"/>
        <v>80.4375</v>
      </c>
      <c r="H1170" s="4">
        <v>2</v>
      </c>
    </row>
    <row r="1171" spans="1:8" x14ac:dyDescent="0.2">
      <c r="A1171" s="4">
        <v>5526</v>
      </c>
      <c r="B1171" s="4" t="s">
        <v>41</v>
      </c>
      <c r="C1171" s="4" t="s">
        <v>45</v>
      </c>
      <c r="D1171" s="4">
        <f>VLOOKUP(A1171,Orders!$A:$E,5,FALSE)</f>
        <v>7</v>
      </c>
      <c r="E1171" s="4">
        <v>1515</v>
      </c>
      <c r="F1171" s="4">
        <v>7</v>
      </c>
      <c r="G1171" s="10">
        <f t="shared" si="18"/>
        <v>216.42857142857142</v>
      </c>
      <c r="H1171" s="4">
        <v>3</v>
      </c>
    </row>
    <row r="1172" spans="1:8" x14ac:dyDescent="0.2">
      <c r="A1172" s="4">
        <v>5528</v>
      </c>
      <c r="B1172" s="4" t="s">
        <v>41</v>
      </c>
      <c r="C1172" s="4" t="s">
        <v>45</v>
      </c>
      <c r="D1172" s="4">
        <f>VLOOKUP(A1172,Orders!$A:$E,5,FALSE)</f>
        <v>9</v>
      </c>
      <c r="E1172" s="4">
        <v>1512</v>
      </c>
      <c r="F1172" s="4">
        <v>5</v>
      </c>
      <c r="G1172" s="10">
        <f t="shared" si="18"/>
        <v>302.39999999999998</v>
      </c>
      <c r="H1172" s="4">
        <v>2</v>
      </c>
    </row>
    <row r="1173" spans="1:8" x14ac:dyDescent="0.2">
      <c r="A1173" s="4">
        <v>5556</v>
      </c>
      <c r="B1173" s="4" t="s">
        <v>41</v>
      </c>
      <c r="C1173" s="4" t="s">
        <v>45</v>
      </c>
      <c r="D1173" s="4">
        <f>VLOOKUP(A1173,Orders!$A:$E,5,FALSE)</f>
        <v>10</v>
      </c>
      <c r="E1173" s="4">
        <v>233</v>
      </c>
      <c r="F1173" s="4">
        <v>12</v>
      </c>
      <c r="G1173" s="10">
        <f t="shared" si="18"/>
        <v>19.416666666666668</v>
      </c>
      <c r="H1173" s="4">
        <v>3</v>
      </c>
    </row>
    <row r="1174" spans="1:8" x14ac:dyDescent="0.2">
      <c r="A1174" s="4">
        <v>5575</v>
      </c>
      <c r="B1174" s="4" t="s">
        <v>41</v>
      </c>
      <c r="C1174" s="4" t="s">
        <v>45</v>
      </c>
      <c r="D1174" s="4">
        <f>VLOOKUP(A1174,Orders!$A:$E,5,FALSE)</f>
        <v>2</v>
      </c>
      <c r="E1174" s="4">
        <v>283</v>
      </c>
      <c r="F1174" s="4">
        <v>23</v>
      </c>
      <c r="G1174" s="10">
        <f t="shared" si="18"/>
        <v>12.304347826086957</v>
      </c>
      <c r="H1174" s="4">
        <v>3</v>
      </c>
    </row>
    <row r="1175" spans="1:8" x14ac:dyDescent="0.2">
      <c r="A1175" s="4">
        <v>5598</v>
      </c>
      <c r="B1175" s="4" t="s">
        <v>41</v>
      </c>
      <c r="C1175" s="4" t="s">
        <v>45</v>
      </c>
      <c r="D1175" s="4">
        <f>VLOOKUP(A1175,Orders!$A:$E,5,FALSE)</f>
        <v>7</v>
      </c>
      <c r="E1175" s="4">
        <v>1594</v>
      </c>
      <c r="F1175" s="4">
        <v>20</v>
      </c>
      <c r="G1175" s="10">
        <f t="shared" si="18"/>
        <v>79.7</v>
      </c>
      <c r="H1175" s="4">
        <v>1</v>
      </c>
    </row>
    <row r="1176" spans="1:8" x14ac:dyDescent="0.2">
      <c r="A1176" s="4">
        <v>5600</v>
      </c>
      <c r="B1176" s="4" t="s">
        <v>41</v>
      </c>
      <c r="C1176" s="4" t="s">
        <v>45</v>
      </c>
      <c r="D1176" s="4">
        <f>VLOOKUP(A1176,Orders!$A:$E,5,FALSE)</f>
        <v>3</v>
      </c>
      <c r="E1176" s="4">
        <v>1939</v>
      </c>
      <c r="F1176" s="4">
        <v>20</v>
      </c>
      <c r="G1176" s="10">
        <f t="shared" si="18"/>
        <v>96.95</v>
      </c>
      <c r="H1176" s="4">
        <v>3</v>
      </c>
    </row>
    <row r="1177" spans="1:8" x14ac:dyDescent="0.2">
      <c r="A1177" s="4">
        <v>5616</v>
      </c>
      <c r="B1177" s="4" t="s">
        <v>41</v>
      </c>
      <c r="C1177" s="4" t="s">
        <v>45</v>
      </c>
      <c r="D1177" s="4">
        <f>VLOOKUP(A1177,Orders!$A:$E,5,FALSE)</f>
        <v>4</v>
      </c>
      <c r="E1177" s="4">
        <v>635</v>
      </c>
      <c r="F1177" s="4">
        <v>21</v>
      </c>
      <c r="G1177" s="10">
        <f t="shared" si="18"/>
        <v>30.238095238095237</v>
      </c>
      <c r="H1177" s="4">
        <v>2</v>
      </c>
    </row>
    <row r="1178" spans="1:8" x14ac:dyDescent="0.2">
      <c r="A1178" s="4">
        <v>5653</v>
      </c>
      <c r="B1178" s="4" t="s">
        <v>41</v>
      </c>
      <c r="C1178" s="4" t="s">
        <v>45</v>
      </c>
      <c r="D1178" s="4">
        <f>VLOOKUP(A1178,Orders!$A:$E,5,FALSE)</f>
        <v>8</v>
      </c>
      <c r="E1178" s="4">
        <v>1901</v>
      </c>
      <c r="F1178" s="4">
        <v>23</v>
      </c>
      <c r="G1178" s="10">
        <f t="shared" si="18"/>
        <v>82.652173913043484</v>
      </c>
      <c r="H1178" s="4">
        <v>1</v>
      </c>
    </row>
    <row r="1179" spans="1:8" x14ac:dyDescent="0.2">
      <c r="A1179" s="4">
        <v>5666</v>
      </c>
      <c r="B1179" s="4" t="s">
        <v>41</v>
      </c>
      <c r="C1179" s="4" t="s">
        <v>45</v>
      </c>
      <c r="D1179" s="4">
        <f>VLOOKUP(A1179,Orders!$A:$E,5,FALSE)</f>
        <v>10</v>
      </c>
      <c r="E1179" s="4">
        <v>398</v>
      </c>
      <c r="F1179" s="4">
        <v>18</v>
      </c>
      <c r="G1179" s="10">
        <f t="shared" si="18"/>
        <v>22.111111111111111</v>
      </c>
      <c r="H1179" s="4">
        <v>1</v>
      </c>
    </row>
    <row r="1180" spans="1:8" x14ac:dyDescent="0.2">
      <c r="A1180" s="4">
        <v>5700</v>
      </c>
      <c r="B1180" s="4" t="s">
        <v>41</v>
      </c>
      <c r="C1180" s="4" t="s">
        <v>45</v>
      </c>
      <c r="D1180" s="4">
        <f>VLOOKUP(A1180,Orders!$A:$E,5,FALSE)</f>
        <v>4</v>
      </c>
      <c r="E1180" s="4">
        <v>777</v>
      </c>
      <c r="F1180" s="4">
        <v>15</v>
      </c>
      <c r="G1180" s="10">
        <f t="shared" si="18"/>
        <v>51.8</v>
      </c>
      <c r="H1180" s="4">
        <v>1</v>
      </c>
    </row>
    <row r="1181" spans="1:8" x14ac:dyDescent="0.2">
      <c r="A1181" s="4">
        <v>5750</v>
      </c>
      <c r="B1181" s="4" t="s">
        <v>41</v>
      </c>
      <c r="C1181" s="4" t="s">
        <v>45</v>
      </c>
      <c r="D1181" s="4">
        <f>VLOOKUP(A1181,Orders!$A:$E,5,FALSE)</f>
        <v>5</v>
      </c>
      <c r="E1181" s="4">
        <v>1255</v>
      </c>
      <c r="F1181" s="4">
        <v>22</v>
      </c>
      <c r="G1181" s="10">
        <f t="shared" si="18"/>
        <v>57.045454545454547</v>
      </c>
      <c r="H1181" s="4">
        <v>3</v>
      </c>
    </row>
    <row r="1182" spans="1:8" x14ac:dyDescent="0.2">
      <c r="A1182" s="4">
        <v>5768</v>
      </c>
      <c r="B1182" s="4" t="s">
        <v>41</v>
      </c>
      <c r="C1182" s="4" t="s">
        <v>45</v>
      </c>
      <c r="D1182" s="4">
        <f>VLOOKUP(A1182,Orders!$A:$E,5,FALSE)</f>
        <v>10</v>
      </c>
      <c r="E1182" s="4">
        <v>377</v>
      </c>
      <c r="F1182" s="4">
        <v>2</v>
      </c>
      <c r="G1182" s="10">
        <f t="shared" si="18"/>
        <v>188.5</v>
      </c>
      <c r="H1182" s="4">
        <v>1</v>
      </c>
    </row>
    <row r="1183" spans="1:8" x14ac:dyDescent="0.2">
      <c r="A1183" s="4">
        <v>5803</v>
      </c>
      <c r="B1183" s="4" t="s">
        <v>41</v>
      </c>
      <c r="C1183" s="4" t="s">
        <v>45</v>
      </c>
      <c r="D1183" s="4">
        <f>VLOOKUP(A1183,Orders!$A:$E,5,FALSE)</f>
        <v>9</v>
      </c>
      <c r="E1183" s="4">
        <v>1955</v>
      </c>
      <c r="F1183" s="4">
        <v>13</v>
      </c>
      <c r="G1183" s="10">
        <f t="shared" si="18"/>
        <v>150.38461538461539</v>
      </c>
      <c r="H1183" s="4">
        <v>3</v>
      </c>
    </row>
    <row r="1184" spans="1:8" x14ac:dyDescent="0.2">
      <c r="A1184" s="4">
        <v>5807</v>
      </c>
      <c r="B1184" s="4" t="s">
        <v>41</v>
      </c>
      <c r="C1184" s="4" t="s">
        <v>45</v>
      </c>
      <c r="D1184" s="4">
        <f>VLOOKUP(A1184,Orders!$A:$E,5,FALSE)</f>
        <v>4</v>
      </c>
      <c r="E1184" s="4">
        <v>84</v>
      </c>
      <c r="F1184" s="4">
        <v>17</v>
      </c>
      <c r="G1184" s="10">
        <f t="shared" si="18"/>
        <v>4.9411764705882355</v>
      </c>
      <c r="H1184" s="4">
        <v>2</v>
      </c>
    </row>
    <row r="1185" spans="1:8" x14ac:dyDescent="0.2">
      <c r="A1185" s="4">
        <v>5813</v>
      </c>
      <c r="B1185" s="4" t="s">
        <v>41</v>
      </c>
      <c r="C1185" s="4" t="s">
        <v>45</v>
      </c>
      <c r="D1185" s="4">
        <f>VLOOKUP(A1185,Orders!$A:$E,5,FALSE)</f>
        <v>7</v>
      </c>
      <c r="E1185" s="4">
        <v>797</v>
      </c>
      <c r="F1185" s="4">
        <v>12</v>
      </c>
      <c r="G1185" s="10">
        <f t="shared" si="18"/>
        <v>66.416666666666671</v>
      </c>
      <c r="H1185" s="4">
        <v>1</v>
      </c>
    </row>
    <row r="1186" spans="1:8" x14ac:dyDescent="0.2">
      <c r="A1186" s="4">
        <v>5828</v>
      </c>
      <c r="B1186" s="4" t="s">
        <v>41</v>
      </c>
      <c r="C1186" s="4" t="s">
        <v>45</v>
      </c>
      <c r="D1186" s="4">
        <f>VLOOKUP(A1186,Orders!$A:$E,5,FALSE)</f>
        <v>7</v>
      </c>
      <c r="E1186" s="4">
        <v>1036</v>
      </c>
      <c r="F1186" s="4">
        <v>13</v>
      </c>
      <c r="G1186" s="10">
        <f t="shared" si="18"/>
        <v>79.692307692307693</v>
      </c>
      <c r="H1186" s="4">
        <v>3</v>
      </c>
    </row>
    <row r="1187" spans="1:8" x14ac:dyDescent="0.2">
      <c r="A1187" s="4">
        <v>5849</v>
      </c>
      <c r="B1187" s="4" t="s">
        <v>41</v>
      </c>
      <c r="C1187" s="4" t="s">
        <v>45</v>
      </c>
      <c r="D1187" s="4">
        <f>VLOOKUP(A1187,Orders!$A:$E,5,FALSE)</f>
        <v>9</v>
      </c>
      <c r="E1187" s="4">
        <v>107</v>
      </c>
      <c r="F1187" s="4">
        <v>12</v>
      </c>
      <c r="G1187" s="10">
        <f t="shared" si="18"/>
        <v>8.9166666666666661</v>
      </c>
      <c r="H1187" s="4">
        <v>2</v>
      </c>
    </row>
    <row r="1188" spans="1:8" x14ac:dyDescent="0.2">
      <c r="A1188" s="4">
        <v>5854</v>
      </c>
      <c r="B1188" s="4" t="s">
        <v>41</v>
      </c>
      <c r="C1188" s="4" t="s">
        <v>45</v>
      </c>
      <c r="D1188" s="4">
        <f>VLOOKUP(A1188,Orders!$A:$E,5,FALSE)</f>
        <v>7</v>
      </c>
      <c r="E1188" s="4">
        <v>155</v>
      </c>
      <c r="F1188" s="4">
        <v>19</v>
      </c>
      <c r="G1188" s="10">
        <f t="shared" si="18"/>
        <v>8.1578947368421044</v>
      </c>
      <c r="H1188" s="4">
        <v>1</v>
      </c>
    </row>
    <row r="1189" spans="1:8" x14ac:dyDescent="0.2">
      <c r="A1189" s="4">
        <v>5905</v>
      </c>
      <c r="B1189" s="4" t="s">
        <v>41</v>
      </c>
      <c r="C1189" s="4" t="s">
        <v>45</v>
      </c>
      <c r="D1189" s="4">
        <f>VLOOKUP(A1189,Orders!$A:$E,5,FALSE)</f>
        <v>4</v>
      </c>
      <c r="E1189" s="4">
        <v>1480</v>
      </c>
      <c r="F1189" s="4">
        <v>2</v>
      </c>
      <c r="G1189" s="10">
        <f t="shared" si="18"/>
        <v>740</v>
      </c>
      <c r="H1189" s="4">
        <v>2</v>
      </c>
    </row>
    <row r="1190" spans="1:8" x14ac:dyDescent="0.2">
      <c r="A1190" s="4">
        <v>5924</v>
      </c>
      <c r="B1190" s="4" t="s">
        <v>41</v>
      </c>
      <c r="C1190" s="4" t="s">
        <v>45</v>
      </c>
      <c r="D1190" s="4">
        <f>VLOOKUP(A1190,Orders!$A:$E,5,FALSE)</f>
        <v>8</v>
      </c>
      <c r="E1190" s="4">
        <v>339</v>
      </c>
      <c r="F1190" s="4">
        <v>6</v>
      </c>
      <c r="G1190" s="10">
        <f t="shared" si="18"/>
        <v>56.5</v>
      </c>
      <c r="H1190" s="4">
        <v>1</v>
      </c>
    </row>
    <row r="1191" spans="1:8" x14ac:dyDescent="0.2">
      <c r="A1191" s="4">
        <v>5952</v>
      </c>
      <c r="B1191" s="4" t="s">
        <v>41</v>
      </c>
      <c r="C1191" s="4" t="s">
        <v>45</v>
      </c>
      <c r="D1191" s="4">
        <f>VLOOKUP(A1191,Orders!$A:$E,5,FALSE)</f>
        <v>9</v>
      </c>
      <c r="E1191" s="4">
        <v>1573</v>
      </c>
      <c r="F1191" s="4">
        <v>17</v>
      </c>
      <c r="G1191" s="10">
        <f t="shared" si="18"/>
        <v>92.529411764705884</v>
      </c>
      <c r="H1191" s="4">
        <v>2</v>
      </c>
    </row>
    <row r="1192" spans="1:8" x14ac:dyDescent="0.2">
      <c r="A1192" s="4">
        <v>5955</v>
      </c>
      <c r="B1192" s="4" t="s">
        <v>41</v>
      </c>
      <c r="C1192" s="4" t="s">
        <v>45</v>
      </c>
      <c r="D1192" s="4">
        <f>VLOOKUP(A1192,Orders!$A:$E,5,FALSE)</f>
        <v>5</v>
      </c>
      <c r="E1192" s="4">
        <v>584</v>
      </c>
      <c r="F1192" s="4">
        <v>14</v>
      </c>
      <c r="G1192" s="10">
        <f t="shared" si="18"/>
        <v>41.714285714285715</v>
      </c>
      <c r="H1192" s="4">
        <v>1</v>
      </c>
    </row>
    <row r="1193" spans="1:8" x14ac:dyDescent="0.2">
      <c r="A1193" s="4">
        <v>6018</v>
      </c>
      <c r="B1193" s="4" t="s">
        <v>41</v>
      </c>
      <c r="C1193" s="4" t="s">
        <v>45</v>
      </c>
      <c r="D1193" s="4">
        <f>VLOOKUP(A1193,Orders!$A:$E,5,FALSE)</f>
        <v>3</v>
      </c>
      <c r="E1193" s="4">
        <v>1226</v>
      </c>
      <c r="F1193" s="4">
        <v>22</v>
      </c>
      <c r="G1193" s="10">
        <f t="shared" si="18"/>
        <v>55.727272727272727</v>
      </c>
      <c r="H1193" s="4">
        <v>1</v>
      </c>
    </row>
    <row r="1194" spans="1:8" x14ac:dyDescent="0.2">
      <c r="A1194" s="4">
        <v>6029</v>
      </c>
      <c r="B1194" s="4" t="s">
        <v>41</v>
      </c>
      <c r="C1194" s="4" t="s">
        <v>45</v>
      </c>
      <c r="D1194" s="4">
        <f>VLOOKUP(A1194,Orders!$A:$E,5,FALSE)</f>
        <v>2</v>
      </c>
      <c r="E1194" s="4">
        <v>183</v>
      </c>
      <c r="F1194" s="4">
        <v>12</v>
      </c>
      <c r="G1194" s="10">
        <f t="shared" si="18"/>
        <v>15.25</v>
      </c>
      <c r="H1194" s="4">
        <v>3</v>
      </c>
    </row>
    <row r="1195" spans="1:8" x14ac:dyDescent="0.2">
      <c r="A1195" s="4">
        <v>6036</v>
      </c>
      <c r="B1195" s="4" t="s">
        <v>41</v>
      </c>
      <c r="C1195" s="4" t="s">
        <v>45</v>
      </c>
      <c r="D1195" s="4">
        <f>VLOOKUP(A1195,Orders!$A:$E,5,FALSE)</f>
        <v>2</v>
      </c>
      <c r="E1195" s="4">
        <v>711</v>
      </c>
      <c r="F1195" s="4">
        <v>5</v>
      </c>
      <c r="G1195" s="10">
        <f t="shared" si="18"/>
        <v>142.19999999999999</v>
      </c>
      <c r="H1195" s="4">
        <v>3</v>
      </c>
    </row>
    <row r="1196" spans="1:8" x14ac:dyDescent="0.2">
      <c r="A1196" s="4">
        <v>6044</v>
      </c>
      <c r="B1196" s="4" t="s">
        <v>41</v>
      </c>
      <c r="C1196" s="4" t="s">
        <v>45</v>
      </c>
      <c r="D1196" s="4">
        <f>VLOOKUP(A1196,Orders!$A:$E,5,FALSE)</f>
        <v>9</v>
      </c>
      <c r="E1196" s="4">
        <v>454</v>
      </c>
      <c r="F1196" s="4">
        <v>7</v>
      </c>
      <c r="G1196" s="10">
        <f t="shared" si="18"/>
        <v>64.857142857142861</v>
      </c>
      <c r="H1196" s="4">
        <v>1</v>
      </c>
    </row>
    <row r="1197" spans="1:8" x14ac:dyDescent="0.2">
      <c r="A1197" s="4">
        <v>6076</v>
      </c>
      <c r="B1197" s="4" t="s">
        <v>41</v>
      </c>
      <c r="C1197" s="4" t="s">
        <v>45</v>
      </c>
      <c r="D1197" s="4">
        <f>VLOOKUP(A1197,Orders!$A:$E,5,FALSE)</f>
        <v>10</v>
      </c>
      <c r="E1197" s="4">
        <v>452</v>
      </c>
      <c r="F1197" s="4">
        <v>21</v>
      </c>
      <c r="G1197" s="10">
        <f t="shared" si="18"/>
        <v>21.523809523809526</v>
      </c>
      <c r="H1197" s="4">
        <v>3</v>
      </c>
    </row>
    <row r="1198" spans="1:8" x14ac:dyDescent="0.2">
      <c r="A1198" s="4">
        <v>6085</v>
      </c>
      <c r="B1198" s="4" t="s">
        <v>41</v>
      </c>
      <c r="C1198" s="4" t="s">
        <v>45</v>
      </c>
      <c r="D1198" s="4">
        <f>VLOOKUP(A1198,Orders!$A:$E,5,FALSE)</f>
        <v>4</v>
      </c>
      <c r="E1198" s="4">
        <v>292</v>
      </c>
      <c r="F1198" s="4">
        <v>8</v>
      </c>
      <c r="G1198" s="10">
        <f t="shared" si="18"/>
        <v>36.5</v>
      </c>
      <c r="H1198" s="4">
        <v>2</v>
      </c>
    </row>
    <row r="1199" spans="1:8" x14ac:dyDescent="0.2">
      <c r="A1199" s="4">
        <v>6134</v>
      </c>
      <c r="B1199" s="4" t="s">
        <v>41</v>
      </c>
      <c r="C1199" s="4" t="s">
        <v>45</v>
      </c>
      <c r="D1199" s="4">
        <f>VLOOKUP(A1199,Orders!$A:$E,5,FALSE)</f>
        <v>8</v>
      </c>
      <c r="E1199" s="4">
        <v>482</v>
      </c>
      <c r="F1199" s="4">
        <v>21</v>
      </c>
      <c r="G1199" s="10">
        <f t="shared" si="18"/>
        <v>22.952380952380953</v>
      </c>
      <c r="H1199" s="4">
        <v>1</v>
      </c>
    </row>
    <row r="1200" spans="1:8" x14ac:dyDescent="0.2">
      <c r="A1200" s="4">
        <v>6148</v>
      </c>
      <c r="B1200" s="4" t="s">
        <v>41</v>
      </c>
      <c r="C1200" s="4" t="s">
        <v>45</v>
      </c>
      <c r="D1200" s="4">
        <f>VLOOKUP(A1200,Orders!$A:$E,5,FALSE)</f>
        <v>2</v>
      </c>
      <c r="E1200" s="4">
        <v>828</v>
      </c>
      <c r="F1200" s="4">
        <v>22</v>
      </c>
      <c r="G1200" s="10">
        <f t="shared" si="18"/>
        <v>37.636363636363633</v>
      </c>
      <c r="H1200" s="4">
        <v>3</v>
      </c>
    </row>
    <row r="1201" spans="1:8" x14ac:dyDescent="0.2">
      <c r="A1201" s="4">
        <v>6161</v>
      </c>
      <c r="B1201" s="4" t="s">
        <v>41</v>
      </c>
      <c r="C1201" s="4" t="s">
        <v>45</v>
      </c>
      <c r="D1201" s="4">
        <f>VLOOKUP(A1201,Orders!$A:$E,5,FALSE)</f>
        <v>9</v>
      </c>
      <c r="E1201" s="4">
        <v>1624</v>
      </c>
      <c r="F1201" s="4">
        <v>19</v>
      </c>
      <c r="G1201" s="10">
        <f t="shared" si="18"/>
        <v>85.473684210526315</v>
      </c>
      <c r="H1201" s="4">
        <v>3</v>
      </c>
    </row>
    <row r="1202" spans="1:8" x14ac:dyDescent="0.2">
      <c r="A1202" s="4">
        <v>6184</v>
      </c>
      <c r="B1202" s="4" t="s">
        <v>41</v>
      </c>
      <c r="C1202" s="4" t="s">
        <v>45</v>
      </c>
      <c r="D1202" s="4">
        <f>VLOOKUP(A1202,Orders!$A:$E,5,FALSE)</f>
        <v>8</v>
      </c>
      <c r="E1202" s="4">
        <v>568</v>
      </c>
      <c r="F1202" s="4">
        <v>9</v>
      </c>
      <c r="G1202" s="10">
        <f t="shared" si="18"/>
        <v>63.111111111111114</v>
      </c>
      <c r="H1202" s="4">
        <v>1</v>
      </c>
    </row>
    <row r="1203" spans="1:8" x14ac:dyDescent="0.2">
      <c r="A1203" s="4">
        <v>6195</v>
      </c>
      <c r="B1203" s="4" t="s">
        <v>41</v>
      </c>
      <c r="C1203" s="4" t="s">
        <v>45</v>
      </c>
      <c r="D1203" s="4">
        <f>VLOOKUP(A1203,Orders!$A:$E,5,FALSE)</f>
        <v>10</v>
      </c>
      <c r="E1203" s="4">
        <v>792</v>
      </c>
      <c r="F1203" s="4">
        <v>11</v>
      </c>
      <c r="G1203" s="10">
        <f t="shared" si="18"/>
        <v>72</v>
      </c>
      <c r="H1203" s="4">
        <v>2</v>
      </c>
    </row>
    <row r="1204" spans="1:8" x14ac:dyDescent="0.2">
      <c r="A1204" s="4">
        <v>6216</v>
      </c>
      <c r="B1204" s="4" t="s">
        <v>41</v>
      </c>
      <c r="C1204" s="4" t="s">
        <v>45</v>
      </c>
      <c r="D1204" s="4">
        <f>VLOOKUP(A1204,Orders!$A:$E,5,FALSE)</f>
        <v>7</v>
      </c>
      <c r="E1204" s="4">
        <v>1897</v>
      </c>
      <c r="F1204" s="4">
        <v>2</v>
      </c>
      <c r="G1204" s="10">
        <f t="shared" si="18"/>
        <v>948.5</v>
      </c>
      <c r="H1204" s="4">
        <v>3</v>
      </c>
    </row>
    <row r="1205" spans="1:8" x14ac:dyDescent="0.2">
      <c r="A1205" s="4">
        <v>6236</v>
      </c>
      <c r="B1205" s="4" t="s">
        <v>41</v>
      </c>
      <c r="C1205" s="4" t="s">
        <v>45</v>
      </c>
      <c r="D1205" s="4">
        <f>VLOOKUP(A1205,Orders!$A:$E,5,FALSE)</f>
        <v>5</v>
      </c>
      <c r="E1205" s="4">
        <v>1062</v>
      </c>
      <c r="F1205" s="4">
        <v>19</v>
      </c>
      <c r="G1205" s="10">
        <f t="shared" si="18"/>
        <v>55.89473684210526</v>
      </c>
      <c r="H1205" s="4">
        <v>1</v>
      </c>
    </row>
    <row r="1206" spans="1:8" x14ac:dyDescent="0.2">
      <c r="A1206" s="4">
        <v>6247</v>
      </c>
      <c r="B1206" s="4" t="s">
        <v>41</v>
      </c>
      <c r="C1206" s="4" t="s">
        <v>45</v>
      </c>
      <c r="D1206" s="4">
        <f>VLOOKUP(A1206,Orders!$A:$E,5,FALSE)</f>
        <v>9</v>
      </c>
      <c r="E1206" s="4">
        <v>542</v>
      </c>
      <c r="F1206" s="4">
        <v>20</v>
      </c>
      <c r="G1206" s="10">
        <f t="shared" si="18"/>
        <v>27.1</v>
      </c>
      <c r="H1206" s="4">
        <v>1</v>
      </c>
    </row>
    <row r="1207" spans="1:8" x14ac:dyDescent="0.2">
      <c r="A1207" s="4">
        <v>6257</v>
      </c>
      <c r="B1207" s="4" t="s">
        <v>41</v>
      </c>
      <c r="C1207" s="4" t="s">
        <v>45</v>
      </c>
      <c r="D1207" s="4">
        <f>VLOOKUP(A1207,Orders!$A:$E,5,FALSE)</f>
        <v>7</v>
      </c>
      <c r="E1207" s="4">
        <v>337</v>
      </c>
      <c r="F1207" s="4">
        <v>14</v>
      </c>
      <c r="G1207" s="10">
        <f t="shared" si="18"/>
        <v>24.071428571428573</v>
      </c>
      <c r="H1207" s="4">
        <v>3</v>
      </c>
    </row>
    <row r="1208" spans="1:8" x14ac:dyDescent="0.2">
      <c r="A1208" s="4">
        <v>6258</v>
      </c>
      <c r="B1208" s="4" t="s">
        <v>41</v>
      </c>
      <c r="C1208" s="4" t="s">
        <v>45</v>
      </c>
      <c r="D1208" s="4">
        <f>VLOOKUP(A1208,Orders!$A:$E,5,FALSE)</f>
        <v>8</v>
      </c>
      <c r="E1208" s="4">
        <v>1584</v>
      </c>
      <c r="F1208" s="4">
        <v>15</v>
      </c>
      <c r="G1208" s="10">
        <f t="shared" si="18"/>
        <v>105.6</v>
      </c>
      <c r="H1208" s="4">
        <v>1</v>
      </c>
    </row>
    <row r="1209" spans="1:8" x14ac:dyDescent="0.2">
      <c r="A1209" s="4">
        <v>6287</v>
      </c>
      <c r="B1209" s="4" t="s">
        <v>41</v>
      </c>
      <c r="C1209" s="4" t="s">
        <v>45</v>
      </c>
      <c r="D1209" s="4">
        <f>VLOOKUP(A1209,Orders!$A:$E,5,FALSE)</f>
        <v>7</v>
      </c>
      <c r="E1209" s="4">
        <v>1504</v>
      </c>
      <c r="F1209" s="4">
        <v>22</v>
      </c>
      <c r="G1209" s="10">
        <f t="shared" si="18"/>
        <v>68.36363636363636</v>
      </c>
      <c r="H1209" s="4">
        <v>2</v>
      </c>
    </row>
    <row r="1210" spans="1:8" x14ac:dyDescent="0.2">
      <c r="A1210" s="4">
        <v>6293</v>
      </c>
      <c r="B1210" s="4" t="s">
        <v>41</v>
      </c>
      <c r="C1210" s="4" t="s">
        <v>45</v>
      </c>
      <c r="D1210" s="4">
        <f>VLOOKUP(A1210,Orders!$A:$E,5,FALSE)</f>
        <v>8</v>
      </c>
      <c r="E1210" s="4">
        <v>1135</v>
      </c>
      <c r="F1210" s="4">
        <v>4</v>
      </c>
      <c r="G1210" s="10">
        <f t="shared" si="18"/>
        <v>283.75</v>
      </c>
      <c r="H1210" s="4">
        <v>2</v>
      </c>
    </row>
    <row r="1211" spans="1:8" x14ac:dyDescent="0.2">
      <c r="A1211" s="4">
        <v>6317</v>
      </c>
      <c r="B1211" s="4" t="s">
        <v>41</v>
      </c>
      <c r="C1211" s="4" t="s">
        <v>45</v>
      </c>
      <c r="D1211" s="4">
        <f>VLOOKUP(A1211,Orders!$A:$E,5,FALSE)</f>
        <v>7</v>
      </c>
      <c r="E1211" s="4">
        <v>1127</v>
      </c>
      <c r="F1211" s="4">
        <v>6</v>
      </c>
      <c r="G1211" s="10">
        <f t="shared" si="18"/>
        <v>187.83333333333334</v>
      </c>
      <c r="H1211" s="4">
        <v>1</v>
      </c>
    </row>
    <row r="1212" spans="1:8" x14ac:dyDescent="0.2">
      <c r="A1212" s="4">
        <v>6337</v>
      </c>
      <c r="B1212" s="4" t="s">
        <v>41</v>
      </c>
      <c r="C1212" s="4" t="s">
        <v>45</v>
      </c>
      <c r="D1212" s="4">
        <f>VLOOKUP(A1212,Orders!$A:$E,5,FALSE)</f>
        <v>3</v>
      </c>
      <c r="E1212" s="4">
        <v>1033</v>
      </c>
      <c r="F1212" s="4">
        <v>21</v>
      </c>
      <c r="G1212" s="10">
        <f t="shared" si="18"/>
        <v>49.19047619047619</v>
      </c>
      <c r="H1212" s="4">
        <v>3</v>
      </c>
    </row>
    <row r="1213" spans="1:8" x14ac:dyDescent="0.2">
      <c r="A1213" s="4">
        <v>6373</v>
      </c>
      <c r="B1213" s="4" t="s">
        <v>41</v>
      </c>
      <c r="C1213" s="4" t="s">
        <v>45</v>
      </c>
      <c r="D1213" s="4">
        <f>VLOOKUP(A1213,Orders!$A:$E,5,FALSE)</f>
        <v>4</v>
      </c>
      <c r="E1213" s="4">
        <v>1169</v>
      </c>
      <c r="F1213" s="4">
        <v>3</v>
      </c>
      <c r="G1213" s="10">
        <f t="shared" si="18"/>
        <v>389.66666666666669</v>
      </c>
      <c r="H1213" s="4">
        <v>3</v>
      </c>
    </row>
    <row r="1214" spans="1:8" x14ac:dyDescent="0.2">
      <c r="A1214" s="4">
        <v>6408</v>
      </c>
      <c r="B1214" s="4" t="s">
        <v>41</v>
      </c>
      <c r="C1214" s="4" t="s">
        <v>45</v>
      </c>
      <c r="D1214" s="4">
        <f>VLOOKUP(A1214,Orders!$A:$E,5,FALSE)</f>
        <v>5</v>
      </c>
      <c r="E1214" s="4">
        <v>803</v>
      </c>
      <c r="F1214" s="4">
        <v>23</v>
      </c>
      <c r="G1214" s="10">
        <f t="shared" si="18"/>
        <v>34.913043478260867</v>
      </c>
      <c r="H1214" s="4">
        <v>3</v>
      </c>
    </row>
    <row r="1215" spans="1:8" x14ac:dyDescent="0.2">
      <c r="A1215" s="4">
        <v>6451</v>
      </c>
      <c r="B1215" s="4" t="s">
        <v>41</v>
      </c>
      <c r="C1215" s="4" t="s">
        <v>45</v>
      </c>
      <c r="D1215" s="4">
        <f>VLOOKUP(A1215,Orders!$A:$E,5,FALSE)</f>
        <v>4</v>
      </c>
      <c r="E1215" s="4">
        <v>298</v>
      </c>
      <c r="F1215" s="4">
        <v>12</v>
      </c>
      <c r="G1215" s="10">
        <f t="shared" si="18"/>
        <v>24.833333333333332</v>
      </c>
      <c r="H1215" s="4">
        <v>3</v>
      </c>
    </row>
    <row r="1216" spans="1:8" x14ac:dyDescent="0.2">
      <c r="A1216" s="4">
        <v>6474</v>
      </c>
      <c r="B1216" s="4" t="s">
        <v>41</v>
      </c>
      <c r="C1216" s="4" t="s">
        <v>45</v>
      </c>
      <c r="D1216" s="4">
        <f>VLOOKUP(A1216,Orders!$A:$E,5,FALSE)</f>
        <v>7</v>
      </c>
      <c r="E1216" s="4">
        <v>487</v>
      </c>
      <c r="F1216" s="4">
        <v>6</v>
      </c>
      <c r="G1216" s="10">
        <f t="shared" si="18"/>
        <v>81.166666666666671</v>
      </c>
      <c r="H1216" s="4">
        <v>1</v>
      </c>
    </row>
    <row r="1217" spans="1:8" x14ac:dyDescent="0.2">
      <c r="A1217" s="4">
        <v>5007</v>
      </c>
      <c r="B1217" s="4" t="s">
        <v>47</v>
      </c>
      <c r="C1217" s="4" t="s">
        <v>45</v>
      </c>
      <c r="D1217" s="4">
        <f>VLOOKUP(A1217,Orders!$A:$E,5,FALSE)</f>
        <v>3</v>
      </c>
      <c r="E1217" s="4">
        <v>139</v>
      </c>
      <c r="F1217" s="4">
        <v>20</v>
      </c>
      <c r="G1217" s="10">
        <f t="shared" si="18"/>
        <v>6.95</v>
      </c>
      <c r="H1217" s="4">
        <v>1</v>
      </c>
    </row>
    <row r="1218" spans="1:8" x14ac:dyDescent="0.2">
      <c r="A1218" s="4">
        <v>5025</v>
      </c>
      <c r="B1218" s="4" t="s">
        <v>47</v>
      </c>
      <c r="C1218" s="4" t="s">
        <v>45</v>
      </c>
      <c r="D1218" s="4">
        <f>VLOOKUP(A1218,Orders!$A:$E,5,FALSE)</f>
        <v>2</v>
      </c>
      <c r="E1218" s="4">
        <v>1581</v>
      </c>
      <c r="F1218" s="4">
        <v>22</v>
      </c>
      <c r="G1218" s="10">
        <f t="shared" ref="G1218:G1281" si="19">E1218/F1218</f>
        <v>71.86363636363636</v>
      </c>
      <c r="H1218" s="4">
        <v>1</v>
      </c>
    </row>
    <row r="1219" spans="1:8" x14ac:dyDescent="0.2">
      <c r="A1219" s="4">
        <v>5030</v>
      </c>
      <c r="B1219" s="4" t="s">
        <v>47</v>
      </c>
      <c r="C1219" s="4" t="s">
        <v>45</v>
      </c>
      <c r="D1219" s="4">
        <f>VLOOKUP(A1219,Orders!$A:$E,5,FALSE)</f>
        <v>10</v>
      </c>
      <c r="E1219" s="4">
        <v>664</v>
      </c>
      <c r="F1219" s="4">
        <v>5</v>
      </c>
      <c r="G1219" s="10">
        <f t="shared" si="19"/>
        <v>132.80000000000001</v>
      </c>
      <c r="H1219" s="4">
        <v>3</v>
      </c>
    </row>
    <row r="1220" spans="1:8" x14ac:dyDescent="0.2">
      <c r="A1220" s="4">
        <v>5031</v>
      </c>
      <c r="B1220" s="4" t="s">
        <v>47</v>
      </c>
      <c r="C1220" s="4" t="s">
        <v>45</v>
      </c>
      <c r="D1220" s="4">
        <f>VLOOKUP(A1220,Orders!$A:$E,5,FALSE)</f>
        <v>3</v>
      </c>
      <c r="E1220" s="4">
        <v>1520</v>
      </c>
      <c r="F1220" s="4">
        <v>15</v>
      </c>
      <c r="G1220" s="10">
        <f t="shared" si="19"/>
        <v>101.33333333333333</v>
      </c>
      <c r="H1220" s="4">
        <v>2</v>
      </c>
    </row>
    <row r="1221" spans="1:8" x14ac:dyDescent="0.2">
      <c r="A1221" s="4">
        <v>5035</v>
      </c>
      <c r="B1221" s="4" t="s">
        <v>47</v>
      </c>
      <c r="C1221" s="4" t="s">
        <v>45</v>
      </c>
      <c r="D1221" s="4">
        <f>VLOOKUP(A1221,Orders!$A:$E,5,FALSE)</f>
        <v>9</v>
      </c>
      <c r="E1221" s="4">
        <v>1400</v>
      </c>
      <c r="F1221" s="4">
        <v>20</v>
      </c>
      <c r="G1221" s="10">
        <f t="shared" si="19"/>
        <v>70</v>
      </c>
      <c r="H1221" s="4">
        <v>3</v>
      </c>
    </row>
    <row r="1222" spans="1:8" x14ac:dyDescent="0.2">
      <c r="A1222" s="4">
        <v>5038</v>
      </c>
      <c r="B1222" s="4" t="s">
        <v>47</v>
      </c>
      <c r="C1222" s="4" t="s">
        <v>45</v>
      </c>
      <c r="D1222" s="4">
        <f>VLOOKUP(A1222,Orders!$A:$E,5,FALSE)</f>
        <v>3</v>
      </c>
      <c r="E1222" s="4">
        <v>1315</v>
      </c>
      <c r="F1222" s="4">
        <v>8</v>
      </c>
      <c r="G1222" s="10">
        <f t="shared" si="19"/>
        <v>164.375</v>
      </c>
      <c r="H1222" s="4">
        <v>1</v>
      </c>
    </row>
    <row r="1223" spans="1:8" x14ac:dyDescent="0.2">
      <c r="A1223" s="4">
        <v>5082</v>
      </c>
      <c r="B1223" s="4" t="s">
        <v>47</v>
      </c>
      <c r="C1223" s="4" t="s">
        <v>45</v>
      </c>
      <c r="D1223" s="4">
        <f>VLOOKUP(A1223,Orders!$A:$E,5,FALSE)</f>
        <v>6</v>
      </c>
      <c r="E1223" s="4">
        <v>257</v>
      </c>
      <c r="F1223" s="4">
        <v>7</v>
      </c>
      <c r="G1223" s="10">
        <f t="shared" si="19"/>
        <v>36.714285714285715</v>
      </c>
      <c r="H1223" s="4">
        <v>2</v>
      </c>
    </row>
    <row r="1224" spans="1:8" x14ac:dyDescent="0.2">
      <c r="A1224" s="4">
        <v>5084</v>
      </c>
      <c r="B1224" s="4" t="s">
        <v>47</v>
      </c>
      <c r="C1224" s="4" t="s">
        <v>45</v>
      </c>
      <c r="D1224" s="4">
        <f>VLOOKUP(A1224,Orders!$A:$E,5,FALSE)</f>
        <v>10</v>
      </c>
      <c r="E1224" s="4">
        <v>1740</v>
      </c>
      <c r="F1224" s="4">
        <v>17</v>
      </c>
      <c r="G1224" s="10">
        <f t="shared" si="19"/>
        <v>102.35294117647059</v>
      </c>
      <c r="H1224" s="4">
        <v>3</v>
      </c>
    </row>
    <row r="1225" spans="1:8" x14ac:dyDescent="0.2">
      <c r="A1225" s="4">
        <v>5086</v>
      </c>
      <c r="B1225" s="4" t="s">
        <v>47</v>
      </c>
      <c r="C1225" s="4" t="s">
        <v>45</v>
      </c>
      <c r="D1225" s="4">
        <f>VLOOKUP(A1225,Orders!$A:$E,5,FALSE)</f>
        <v>2</v>
      </c>
      <c r="E1225" s="4">
        <v>144</v>
      </c>
      <c r="F1225" s="4">
        <v>19</v>
      </c>
      <c r="G1225" s="10">
        <f t="shared" si="19"/>
        <v>7.5789473684210522</v>
      </c>
      <c r="H1225" s="4">
        <v>2</v>
      </c>
    </row>
    <row r="1226" spans="1:8" x14ac:dyDescent="0.2">
      <c r="A1226" s="4">
        <v>5111</v>
      </c>
      <c r="B1226" s="4" t="s">
        <v>47</v>
      </c>
      <c r="C1226" s="4" t="s">
        <v>45</v>
      </c>
      <c r="D1226" s="4">
        <f>VLOOKUP(A1226,Orders!$A:$E,5,FALSE)</f>
        <v>10</v>
      </c>
      <c r="E1226" s="4">
        <v>55</v>
      </c>
      <c r="F1226" s="4">
        <v>17</v>
      </c>
      <c r="G1226" s="10">
        <f t="shared" si="19"/>
        <v>3.2352941176470589</v>
      </c>
      <c r="H1226" s="4">
        <v>3</v>
      </c>
    </row>
    <row r="1227" spans="1:8" x14ac:dyDescent="0.2">
      <c r="A1227" s="4">
        <v>5160</v>
      </c>
      <c r="B1227" s="4" t="s">
        <v>47</v>
      </c>
      <c r="C1227" s="4" t="s">
        <v>45</v>
      </c>
      <c r="D1227" s="4">
        <f>VLOOKUP(A1227,Orders!$A:$E,5,FALSE)</f>
        <v>10</v>
      </c>
      <c r="E1227" s="4">
        <v>786</v>
      </c>
      <c r="F1227" s="4">
        <v>7</v>
      </c>
      <c r="G1227" s="10">
        <f t="shared" si="19"/>
        <v>112.28571428571429</v>
      </c>
      <c r="H1227" s="4">
        <v>3</v>
      </c>
    </row>
    <row r="1228" spans="1:8" x14ac:dyDescent="0.2">
      <c r="A1228" s="4">
        <v>5195</v>
      </c>
      <c r="B1228" s="4" t="s">
        <v>47</v>
      </c>
      <c r="C1228" s="4" t="s">
        <v>45</v>
      </c>
      <c r="D1228" s="4">
        <f>VLOOKUP(A1228,Orders!$A:$E,5,FALSE)</f>
        <v>6</v>
      </c>
      <c r="E1228" s="4">
        <v>554</v>
      </c>
      <c r="F1228" s="4">
        <v>3</v>
      </c>
      <c r="G1228" s="10">
        <f t="shared" si="19"/>
        <v>184.66666666666666</v>
      </c>
      <c r="H1228" s="4">
        <v>1</v>
      </c>
    </row>
    <row r="1229" spans="1:8" x14ac:dyDescent="0.2">
      <c r="A1229" s="4">
        <v>5196</v>
      </c>
      <c r="B1229" s="4" t="s">
        <v>47</v>
      </c>
      <c r="C1229" s="4" t="s">
        <v>45</v>
      </c>
      <c r="D1229" s="4">
        <f>VLOOKUP(A1229,Orders!$A:$E,5,FALSE)</f>
        <v>4</v>
      </c>
      <c r="E1229" s="4">
        <v>306</v>
      </c>
      <c r="F1229" s="4">
        <v>16</v>
      </c>
      <c r="G1229" s="10">
        <f t="shared" si="19"/>
        <v>19.125</v>
      </c>
      <c r="H1229" s="4">
        <v>3</v>
      </c>
    </row>
    <row r="1230" spans="1:8" x14ac:dyDescent="0.2">
      <c r="A1230" s="4">
        <v>5217</v>
      </c>
      <c r="B1230" s="4" t="s">
        <v>47</v>
      </c>
      <c r="C1230" s="4" t="s">
        <v>45</v>
      </c>
      <c r="D1230" s="4">
        <f>VLOOKUP(A1230,Orders!$A:$E,5,FALSE)</f>
        <v>9</v>
      </c>
      <c r="E1230" s="4">
        <v>1388</v>
      </c>
      <c r="F1230" s="4">
        <v>14</v>
      </c>
      <c r="G1230" s="10">
        <f t="shared" si="19"/>
        <v>99.142857142857139</v>
      </c>
      <c r="H1230" s="4">
        <v>2</v>
      </c>
    </row>
    <row r="1231" spans="1:8" x14ac:dyDescent="0.2">
      <c r="A1231" s="4">
        <v>5219</v>
      </c>
      <c r="B1231" s="4" t="s">
        <v>47</v>
      </c>
      <c r="C1231" s="4" t="s">
        <v>45</v>
      </c>
      <c r="D1231" s="4">
        <f>VLOOKUP(A1231,Orders!$A:$E,5,FALSE)</f>
        <v>4</v>
      </c>
      <c r="E1231" s="4">
        <v>1603</v>
      </c>
      <c r="F1231" s="4">
        <v>12</v>
      </c>
      <c r="G1231" s="10">
        <f t="shared" si="19"/>
        <v>133.58333333333334</v>
      </c>
      <c r="H1231" s="4">
        <v>2</v>
      </c>
    </row>
    <row r="1232" spans="1:8" x14ac:dyDescent="0.2">
      <c r="A1232" s="4">
        <v>5258</v>
      </c>
      <c r="B1232" s="4" t="s">
        <v>47</v>
      </c>
      <c r="C1232" s="4" t="s">
        <v>45</v>
      </c>
      <c r="D1232" s="4">
        <f>VLOOKUP(A1232,Orders!$A:$E,5,FALSE)</f>
        <v>3</v>
      </c>
      <c r="E1232" s="4">
        <v>582</v>
      </c>
      <c r="F1232" s="4">
        <v>24</v>
      </c>
      <c r="G1232" s="10">
        <f t="shared" si="19"/>
        <v>24.25</v>
      </c>
      <c r="H1232" s="4">
        <v>1</v>
      </c>
    </row>
    <row r="1233" spans="1:8" x14ac:dyDescent="0.2">
      <c r="A1233" s="4">
        <v>5268</v>
      </c>
      <c r="B1233" s="4" t="s">
        <v>47</v>
      </c>
      <c r="C1233" s="4" t="s">
        <v>45</v>
      </c>
      <c r="D1233" s="4">
        <f>VLOOKUP(A1233,Orders!$A:$E,5,FALSE)</f>
        <v>3</v>
      </c>
      <c r="E1233" s="4">
        <v>1769</v>
      </c>
      <c r="F1233" s="4">
        <v>17</v>
      </c>
      <c r="G1233" s="10">
        <f t="shared" si="19"/>
        <v>104.05882352941177</v>
      </c>
      <c r="H1233" s="4">
        <v>1</v>
      </c>
    </row>
    <row r="1234" spans="1:8" x14ac:dyDescent="0.2">
      <c r="A1234" s="4">
        <v>5269</v>
      </c>
      <c r="B1234" s="4" t="s">
        <v>47</v>
      </c>
      <c r="C1234" s="4" t="s">
        <v>45</v>
      </c>
      <c r="D1234" s="4">
        <f>VLOOKUP(A1234,Orders!$A:$E,5,FALSE)</f>
        <v>8</v>
      </c>
      <c r="E1234" s="4">
        <v>543</v>
      </c>
      <c r="F1234" s="4">
        <v>14</v>
      </c>
      <c r="G1234" s="10">
        <f t="shared" si="19"/>
        <v>38.785714285714285</v>
      </c>
      <c r="H1234" s="4">
        <v>1</v>
      </c>
    </row>
    <row r="1235" spans="1:8" x14ac:dyDescent="0.2">
      <c r="A1235" s="4">
        <v>5283</v>
      </c>
      <c r="B1235" s="4" t="s">
        <v>47</v>
      </c>
      <c r="C1235" s="4" t="s">
        <v>45</v>
      </c>
      <c r="D1235" s="4">
        <f>VLOOKUP(A1235,Orders!$A:$E,5,FALSE)</f>
        <v>7</v>
      </c>
      <c r="E1235" s="4">
        <v>610</v>
      </c>
      <c r="F1235" s="4">
        <v>2</v>
      </c>
      <c r="G1235" s="10">
        <f t="shared" si="19"/>
        <v>305</v>
      </c>
      <c r="H1235" s="4">
        <v>3</v>
      </c>
    </row>
    <row r="1236" spans="1:8" x14ac:dyDescent="0.2">
      <c r="A1236" s="4">
        <v>5295</v>
      </c>
      <c r="B1236" s="4" t="s">
        <v>47</v>
      </c>
      <c r="C1236" s="4" t="s">
        <v>45</v>
      </c>
      <c r="D1236" s="4">
        <f>VLOOKUP(A1236,Orders!$A:$E,5,FALSE)</f>
        <v>3</v>
      </c>
      <c r="E1236" s="4">
        <v>515</v>
      </c>
      <c r="F1236" s="4">
        <v>7</v>
      </c>
      <c r="G1236" s="10">
        <f t="shared" si="19"/>
        <v>73.571428571428569</v>
      </c>
      <c r="H1236" s="4">
        <v>2</v>
      </c>
    </row>
    <row r="1237" spans="1:8" x14ac:dyDescent="0.2">
      <c r="A1237" s="4">
        <v>5322</v>
      </c>
      <c r="B1237" s="4" t="s">
        <v>47</v>
      </c>
      <c r="C1237" s="4" t="s">
        <v>45</v>
      </c>
      <c r="D1237" s="4">
        <f>VLOOKUP(A1237,Orders!$A:$E,5,FALSE)</f>
        <v>9</v>
      </c>
      <c r="E1237" s="4">
        <v>379</v>
      </c>
      <c r="F1237" s="4">
        <v>17</v>
      </c>
      <c r="G1237" s="10">
        <f t="shared" si="19"/>
        <v>22.294117647058822</v>
      </c>
      <c r="H1237" s="4">
        <v>2</v>
      </c>
    </row>
    <row r="1238" spans="1:8" x14ac:dyDescent="0.2">
      <c r="A1238" s="4">
        <v>5339</v>
      </c>
      <c r="B1238" s="4" t="s">
        <v>47</v>
      </c>
      <c r="C1238" s="4" t="s">
        <v>45</v>
      </c>
      <c r="D1238" s="4">
        <f>VLOOKUP(A1238,Orders!$A:$E,5,FALSE)</f>
        <v>8</v>
      </c>
      <c r="E1238" s="4">
        <v>634</v>
      </c>
      <c r="F1238" s="4">
        <v>20</v>
      </c>
      <c r="G1238" s="10">
        <f t="shared" si="19"/>
        <v>31.7</v>
      </c>
      <c r="H1238" s="4">
        <v>1</v>
      </c>
    </row>
    <row r="1239" spans="1:8" x14ac:dyDescent="0.2">
      <c r="A1239" s="4">
        <v>5341</v>
      </c>
      <c r="B1239" s="4" t="s">
        <v>47</v>
      </c>
      <c r="C1239" s="4" t="s">
        <v>45</v>
      </c>
      <c r="D1239" s="4">
        <f>VLOOKUP(A1239,Orders!$A:$E,5,FALSE)</f>
        <v>7</v>
      </c>
      <c r="E1239" s="4">
        <v>21</v>
      </c>
      <c r="F1239" s="4">
        <v>10</v>
      </c>
      <c r="G1239" s="10">
        <f t="shared" si="19"/>
        <v>2.1</v>
      </c>
      <c r="H1239" s="4">
        <v>2</v>
      </c>
    </row>
    <row r="1240" spans="1:8" x14ac:dyDescent="0.2">
      <c r="A1240" s="4">
        <v>5402</v>
      </c>
      <c r="B1240" s="4" t="s">
        <v>47</v>
      </c>
      <c r="C1240" s="4" t="s">
        <v>45</v>
      </c>
      <c r="D1240" s="4">
        <f>VLOOKUP(A1240,Orders!$A:$E,5,FALSE)</f>
        <v>5</v>
      </c>
      <c r="E1240" s="4">
        <v>1228</v>
      </c>
      <c r="F1240" s="4">
        <v>5</v>
      </c>
      <c r="G1240" s="10">
        <f t="shared" si="19"/>
        <v>245.6</v>
      </c>
      <c r="H1240" s="4">
        <v>1</v>
      </c>
    </row>
    <row r="1241" spans="1:8" x14ac:dyDescent="0.2">
      <c r="A1241" s="4">
        <v>5420</v>
      </c>
      <c r="B1241" s="4" t="s">
        <v>47</v>
      </c>
      <c r="C1241" s="4" t="s">
        <v>45</v>
      </c>
      <c r="D1241" s="4">
        <f>VLOOKUP(A1241,Orders!$A:$E,5,FALSE)</f>
        <v>5</v>
      </c>
      <c r="E1241" s="4">
        <v>115</v>
      </c>
      <c r="F1241" s="4">
        <v>19</v>
      </c>
      <c r="G1241" s="10">
        <f t="shared" si="19"/>
        <v>6.0526315789473681</v>
      </c>
      <c r="H1241" s="4">
        <v>2</v>
      </c>
    </row>
    <row r="1242" spans="1:8" x14ac:dyDescent="0.2">
      <c r="A1242" s="4">
        <v>5446</v>
      </c>
      <c r="B1242" s="4" t="s">
        <v>47</v>
      </c>
      <c r="C1242" s="4" t="s">
        <v>45</v>
      </c>
      <c r="D1242" s="4">
        <f>VLOOKUP(A1242,Orders!$A:$E,5,FALSE)</f>
        <v>7</v>
      </c>
      <c r="E1242" s="4">
        <v>1699</v>
      </c>
      <c r="F1242" s="4">
        <v>18</v>
      </c>
      <c r="G1242" s="10">
        <f t="shared" si="19"/>
        <v>94.388888888888886</v>
      </c>
      <c r="H1242" s="4">
        <v>1</v>
      </c>
    </row>
    <row r="1243" spans="1:8" x14ac:dyDescent="0.2">
      <c r="A1243" s="4">
        <v>5458</v>
      </c>
      <c r="B1243" s="4" t="s">
        <v>47</v>
      </c>
      <c r="C1243" s="4" t="s">
        <v>45</v>
      </c>
      <c r="D1243" s="4">
        <f>VLOOKUP(A1243,Orders!$A:$E,5,FALSE)</f>
        <v>7</v>
      </c>
      <c r="E1243" s="4">
        <v>1704</v>
      </c>
      <c r="F1243" s="4">
        <v>7</v>
      </c>
      <c r="G1243" s="10">
        <f t="shared" si="19"/>
        <v>243.42857142857142</v>
      </c>
      <c r="H1243" s="4">
        <v>1</v>
      </c>
    </row>
    <row r="1244" spans="1:8" x14ac:dyDescent="0.2">
      <c r="A1244" s="4">
        <v>5469</v>
      </c>
      <c r="B1244" s="4" t="s">
        <v>47</v>
      </c>
      <c r="C1244" s="4" t="s">
        <v>45</v>
      </c>
      <c r="D1244" s="4">
        <f>VLOOKUP(A1244,Orders!$A:$E,5,FALSE)</f>
        <v>9</v>
      </c>
      <c r="E1244" s="4">
        <v>1573</v>
      </c>
      <c r="F1244" s="4">
        <v>11</v>
      </c>
      <c r="G1244" s="10">
        <f t="shared" si="19"/>
        <v>143</v>
      </c>
      <c r="H1244" s="4">
        <v>1</v>
      </c>
    </row>
    <row r="1245" spans="1:8" x14ac:dyDescent="0.2">
      <c r="A1245" s="4">
        <v>5476</v>
      </c>
      <c r="B1245" s="4" t="s">
        <v>47</v>
      </c>
      <c r="C1245" s="4" t="s">
        <v>45</v>
      </c>
      <c r="D1245" s="4">
        <f>VLOOKUP(A1245,Orders!$A:$E,5,FALSE)</f>
        <v>5</v>
      </c>
      <c r="E1245" s="4">
        <v>473</v>
      </c>
      <c r="F1245" s="4">
        <v>20</v>
      </c>
      <c r="G1245" s="10">
        <f t="shared" si="19"/>
        <v>23.65</v>
      </c>
      <c r="H1245" s="4">
        <v>2</v>
      </c>
    </row>
    <row r="1246" spans="1:8" x14ac:dyDescent="0.2">
      <c r="A1246" s="4">
        <v>5493</v>
      </c>
      <c r="B1246" s="4" t="s">
        <v>47</v>
      </c>
      <c r="C1246" s="4" t="s">
        <v>45</v>
      </c>
      <c r="D1246" s="4">
        <f>VLOOKUP(A1246,Orders!$A:$E,5,FALSE)</f>
        <v>6</v>
      </c>
      <c r="E1246" s="4">
        <v>434</v>
      </c>
      <c r="F1246" s="4">
        <v>10</v>
      </c>
      <c r="G1246" s="10">
        <f t="shared" si="19"/>
        <v>43.4</v>
      </c>
      <c r="H1246" s="4">
        <v>3</v>
      </c>
    </row>
    <row r="1247" spans="1:8" x14ac:dyDescent="0.2">
      <c r="A1247" s="4">
        <v>5507</v>
      </c>
      <c r="B1247" s="4" t="s">
        <v>47</v>
      </c>
      <c r="C1247" s="4" t="s">
        <v>45</v>
      </c>
      <c r="D1247" s="4">
        <f>VLOOKUP(A1247,Orders!$A:$E,5,FALSE)</f>
        <v>6</v>
      </c>
      <c r="E1247" s="4">
        <v>401</v>
      </c>
      <c r="F1247" s="4">
        <v>18</v>
      </c>
      <c r="G1247" s="10">
        <f t="shared" si="19"/>
        <v>22.277777777777779</v>
      </c>
      <c r="H1247" s="4">
        <v>3</v>
      </c>
    </row>
    <row r="1248" spans="1:8" x14ac:dyDescent="0.2">
      <c r="A1248" s="4">
        <v>5521</v>
      </c>
      <c r="B1248" s="4" t="s">
        <v>47</v>
      </c>
      <c r="C1248" s="4" t="s">
        <v>45</v>
      </c>
      <c r="D1248" s="4">
        <f>VLOOKUP(A1248,Orders!$A:$E,5,FALSE)</f>
        <v>4</v>
      </c>
      <c r="E1248" s="4">
        <v>654</v>
      </c>
      <c r="F1248" s="4">
        <v>19</v>
      </c>
      <c r="G1248" s="10">
        <f t="shared" si="19"/>
        <v>34.421052631578945</v>
      </c>
      <c r="H1248" s="4">
        <v>3</v>
      </c>
    </row>
    <row r="1249" spans="1:8" x14ac:dyDescent="0.2">
      <c r="A1249" s="4">
        <v>5540</v>
      </c>
      <c r="B1249" s="4" t="s">
        <v>47</v>
      </c>
      <c r="C1249" s="4" t="s">
        <v>45</v>
      </c>
      <c r="D1249" s="4">
        <f>VLOOKUP(A1249,Orders!$A:$E,5,FALSE)</f>
        <v>9</v>
      </c>
      <c r="E1249" s="4">
        <v>392</v>
      </c>
      <c r="F1249" s="4">
        <v>19</v>
      </c>
      <c r="G1249" s="10">
        <f t="shared" si="19"/>
        <v>20.631578947368421</v>
      </c>
      <c r="H1249" s="4">
        <v>1</v>
      </c>
    </row>
    <row r="1250" spans="1:8" x14ac:dyDescent="0.2">
      <c r="A1250" s="4">
        <v>5550</v>
      </c>
      <c r="B1250" s="4" t="s">
        <v>47</v>
      </c>
      <c r="C1250" s="4" t="s">
        <v>45</v>
      </c>
      <c r="D1250" s="4">
        <f>VLOOKUP(A1250,Orders!$A:$E,5,FALSE)</f>
        <v>9</v>
      </c>
      <c r="E1250" s="4">
        <v>405</v>
      </c>
      <c r="F1250" s="4">
        <v>14</v>
      </c>
      <c r="G1250" s="10">
        <f t="shared" si="19"/>
        <v>28.928571428571427</v>
      </c>
      <c r="H1250" s="4">
        <v>1</v>
      </c>
    </row>
    <row r="1251" spans="1:8" x14ac:dyDescent="0.2">
      <c r="A1251" s="4">
        <v>5577</v>
      </c>
      <c r="B1251" s="4" t="s">
        <v>47</v>
      </c>
      <c r="C1251" s="4" t="s">
        <v>45</v>
      </c>
      <c r="D1251" s="4">
        <f>VLOOKUP(A1251,Orders!$A:$E,5,FALSE)</f>
        <v>4</v>
      </c>
      <c r="E1251" s="4">
        <v>156</v>
      </c>
      <c r="F1251" s="4">
        <v>7</v>
      </c>
      <c r="G1251" s="10">
        <f t="shared" si="19"/>
        <v>22.285714285714285</v>
      </c>
      <c r="H1251" s="4">
        <v>3</v>
      </c>
    </row>
    <row r="1252" spans="1:8" x14ac:dyDescent="0.2">
      <c r="A1252" s="4">
        <v>5604</v>
      </c>
      <c r="B1252" s="4" t="s">
        <v>47</v>
      </c>
      <c r="C1252" s="4" t="s">
        <v>45</v>
      </c>
      <c r="D1252" s="4">
        <f>VLOOKUP(A1252,Orders!$A:$E,5,FALSE)</f>
        <v>4</v>
      </c>
      <c r="E1252" s="4">
        <v>1118</v>
      </c>
      <c r="F1252" s="4">
        <v>13</v>
      </c>
      <c r="G1252" s="10">
        <f t="shared" si="19"/>
        <v>86</v>
      </c>
      <c r="H1252" s="4">
        <v>1</v>
      </c>
    </row>
    <row r="1253" spans="1:8" x14ac:dyDescent="0.2">
      <c r="A1253" s="4">
        <v>5608</v>
      </c>
      <c r="B1253" s="4" t="s">
        <v>47</v>
      </c>
      <c r="C1253" s="4" t="s">
        <v>45</v>
      </c>
      <c r="D1253" s="4">
        <f>VLOOKUP(A1253,Orders!$A:$E,5,FALSE)</f>
        <v>5</v>
      </c>
      <c r="E1253" s="4">
        <v>276</v>
      </c>
      <c r="F1253" s="4">
        <v>22</v>
      </c>
      <c r="G1253" s="10">
        <f t="shared" si="19"/>
        <v>12.545454545454545</v>
      </c>
      <c r="H1253" s="4">
        <v>2</v>
      </c>
    </row>
    <row r="1254" spans="1:8" x14ac:dyDescent="0.2">
      <c r="A1254" s="4">
        <v>5609</v>
      </c>
      <c r="B1254" s="4" t="s">
        <v>47</v>
      </c>
      <c r="C1254" s="4" t="s">
        <v>45</v>
      </c>
      <c r="D1254" s="4">
        <f>VLOOKUP(A1254,Orders!$A:$E,5,FALSE)</f>
        <v>5</v>
      </c>
      <c r="E1254" s="4">
        <v>882</v>
      </c>
      <c r="F1254" s="4">
        <v>15</v>
      </c>
      <c r="G1254" s="10">
        <f t="shared" si="19"/>
        <v>58.8</v>
      </c>
      <c r="H1254" s="4">
        <v>2</v>
      </c>
    </row>
    <row r="1255" spans="1:8" x14ac:dyDescent="0.2">
      <c r="A1255" s="4">
        <v>5618</v>
      </c>
      <c r="B1255" s="4" t="s">
        <v>47</v>
      </c>
      <c r="C1255" s="4" t="s">
        <v>45</v>
      </c>
      <c r="D1255" s="4">
        <f>VLOOKUP(A1255,Orders!$A:$E,5,FALSE)</f>
        <v>9</v>
      </c>
      <c r="E1255" s="4">
        <v>1939</v>
      </c>
      <c r="F1255" s="4">
        <v>18</v>
      </c>
      <c r="G1255" s="10">
        <f t="shared" si="19"/>
        <v>107.72222222222223</v>
      </c>
      <c r="H1255" s="4">
        <v>2</v>
      </c>
    </row>
    <row r="1256" spans="1:8" x14ac:dyDescent="0.2">
      <c r="A1256" s="4">
        <v>5619</v>
      </c>
      <c r="B1256" s="4" t="s">
        <v>47</v>
      </c>
      <c r="C1256" s="4" t="s">
        <v>45</v>
      </c>
      <c r="D1256" s="4">
        <f>VLOOKUP(A1256,Orders!$A:$E,5,FALSE)</f>
        <v>2</v>
      </c>
      <c r="E1256" s="4">
        <v>68</v>
      </c>
      <c r="F1256" s="4">
        <v>24</v>
      </c>
      <c r="G1256" s="10">
        <f t="shared" si="19"/>
        <v>2.8333333333333335</v>
      </c>
      <c r="H1256" s="4">
        <v>1</v>
      </c>
    </row>
    <row r="1257" spans="1:8" x14ac:dyDescent="0.2">
      <c r="A1257" s="4">
        <v>5621</v>
      </c>
      <c r="B1257" s="4" t="s">
        <v>47</v>
      </c>
      <c r="C1257" s="4" t="s">
        <v>45</v>
      </c>
      <c r="D1257" s="4">
        <f>VLOOKUP(A1257,Orders!$A:$E,5,FALSE)</f>
        <v>4</v>
      </c>
      <c r="E1257" s="4">
        <v>1197</v>
      </c>
      <c r="F1257" s="4">
        <v>8</v>
      </c>
      <c r="G1257" s="10">
        <f t="shared" si="19"/>
        <v>149.625</v>
      </c>
      <c r="H1257" s="4">
        <v>1</v>
      </c>
    </row>
    <row r="1258" spans="1:8" x14ac:dyDescent="0.2">
      <c r="A1258" s="4">
        <v>5623</v>
      </c>
      <c r="B1258" s="4" t="s">
        <v>47</v>
      </c>
      <c r="C1258" s="4" t="s">
        <v>45</v>
      </c>
      <c r="D1258" s="4">
        <f>VLOOKUP(A1258,Orders!$A:$E,5,FALSE)</f>
        <v>5</v>
      </c>
      <c r="E1258" s="4">
        <v>667</v>
      </c>
      <c r="F1258" s="4">
        <v>21</v>
      </c>
      <c r="G1258" s="10">
        <f t="shared" si="19"/>
        <v>31.761904761904763</v>
      </c>
      <c r="H1258" s="4">
        <v>3</v>
      </c>
    </row>
    <row r="1259" spans="1:8" x14ac:dyDescent="0.2">
      <c r="A1259" s="4">
        <v>5633</v>
      </c>
      <c r="B1259" s="4" t="s">
        <v>47</v>
      </c>
      <c r="C1259" s="4" t="s">
        <v>45</v>
      </c>
      <c r="D1259" s="4">
        <f>VLOOKUP(A1259,Orders!$A:$E,5,FALSE)</f>
        <v>3</v>
      </c>
      <c r="E1259" s="4">
        <v>218</v>
      </c>
      <c r="F1259" s="4">
        <v>3</v>
      </c>
      <c r="G1259" s="10">
        <f t="shared" si="19"/>
        <v>72.666666666666671</v>
      </c>
      <c r="H1259" s="4">
        <v>1</v>
      </c>
    </row>
    <row r="1260" spans="1:8" x14ac:dyDescent="0.2">
      <c r="A1260" s="4">
        <v>5636</v>
      </c>
      <c r="B1260" s="4" t="s">
        <v>47</v>
      </c>
      <c r="C1260" s="4" t="s">
        <v>45</v>
      </c>
      <c r="D1260" s="4">
        <f>VLOOKUP(A1260,Orders!$A:$E,5,FALSE)</f>
        <v>6</v>
      </c>
      <c r="E1260" s="4">
        <v>1850</v>
      </c>
      <c r="F1260" s="4">
        <v>2</v>
      </c>
      <c r="G1260" s="10">
        <f t="shared" si="19"/>
        <v>925</v>
      </c>
      <c r="H1260" s="4">
        <v>2</v>
      </c>
    </row>
    <row r="1261" spans="1:8" x14ac:dyDescent="0.2">
      <c r="A1261" s="4">
        <v>5665</v>
      </c>
      <c r="B1261" s="4" t="s">
        <v>47</v>
      </c>
      <c r="C1261" s="4" t="s">
        <v>45</v>
      </c>
      <c r="D1261" s="4">
        <f>VLOOKUP(A1261,Orders!$A:$E,5,FALSE)</f>
        <v>6</v>
      </c>
      <c r="E1261" s="4">
        <v>609</v>
      </c>
      <c r="F1261" s="4">
        <v>23</v>
      </c>
      <c r="G1261" s="10">
        <f t="shared" si="19"/>
        <v>26.478260869565219</v>
      </c>
      <c r="H1261" s="4">
        <v>3</v>
      </c>
    </row>
    <row r="1262" spans="1:8" x14ac:dyDescent="0.2">
      <c r="A1262" s="4">
        <v>5694</v>
      </c>
      <c r="B1262" s="4" t="s">
        <v>47</v>
      </c>
      <c r="C1262" s="4" t="s">
        <v>45</v>
      </c>
      <c r="D1262" s="4">
        <f>VLOOKUP(A1262,Orders!$A:$E,5,FALSE)</f>
        <v>4</v>
      </c>
      <c r="E1262" s="4">
        <v>1665</v>
      </c>
      <c r="F1262" s="4">
        <v>8</v>
      </c>
      <c r="G1262" s="10">
        <f t="shared" si="19"/>
        <v>208.125</v>
      </c>
      <c r="H1262" s="4">
        <v>2</v>
      </c>
    </row>
    <row r="1263" spans="1:8" x14ac:dyDescent="0.2">
      <c r="A1263" s="4">
        <v>5729</v>
      </c>
      <c r="B1263" s="4" t="s">
        <v>47</v>
      </c>
      <c r="C1263" s="4" t="s">
        <v>45</v>
      </c>
      <c r="D1263" s="4">
        <f>VLOOKUP(A1263,Orders!$A:$E,5,FALSE)</f>
        <v>8</v>
      </c>
      <c r="E1263" s="4">
        <v>150</v>
      </c>
      <c r="F1263" s="4">
        <v>4</v>
      </c>
      <c r="G1263" s="10">
        <f t="shared" si="19"/>
        <v>37.5</v>
      </c>
      <c r="H1263" s="4">
        <v>1</v>
      </c>
    </row>
    <row r="1264" spans="1:8" x14ac:dyDescent="0.2">
      <c r="A1264" s="4">
        <v>5757</v>
      </c>
      <c r="B1264" s="4" t="s">
        <v>47</v>
      </c>
      <c r="C1264" s="4" t="s">
        <v>45</v>
      </c>
      <c r="D1264" s="4">
        <f>VLOOKUP(A1264,Orders!$A:$E,5,FALSE)</f>
        <v>3</v>
      </c>
      <c r="E1264" s="4">
        <v>1959</v>
      </c>
      <c r="F1264" s="4">
        <v>14</v>
      </c>
      <c r="G1264" s="10">
        <f t="shared" si="19"/>
        <v>139.92857142857142</v>
      </c>
      <c r="H1264" s="4">
        <v>3</v>
      </c>
    </row>
    <row r="1265" spans="1:8" x14ac:dyDescent="0.2">
      <c r="A1265" s="4">
        <v>5764</v>
      </c>
      <c r="B1265" s="4" t="s">
        <v>47</v>
      </c>
      <c r="C1265" s="4" t="s">
        <v>45</v>
      </c>
      <c r="D1265" s="4">
        <f>VLOOKUP(A1265,Orders!$A:$E,5,FALSE)</f>
        <v>5</v>
      </c>
      <c r="E1265" s="4">
        <v>1539</v>
      </c>
      <c r="F1265" s="4">
        <v>13</v>
      </c>
      <c r="G1265" s="10">
        <f t="shared" si="19"/>
        <v>118.38461538461539</v>
      </c>
      <c r="H1265" s="4">
        <v>1</v>
      </c>
    </row>
    <row r="1266" spans="1:8" x14ac:dyDescent="0.2">
      <c r="A1266" s="4">
        <v>5823</v>
      </c>
      <c r="B1266" s="4" t="s">
        <v>47</v>
      </c>
      <c r="C1266" s="4" t="s">
        <v>45</v>
      </c>
      <c r="D1266" s="4">
        <f>VLOOKUP(A1266,Orders!$A:$E,5,FALSE)</f>
        <v>6</v>
      </c>
      <c r="E1266" s="4">
        <v>1015</v>
      </c>
      <c r="F1266" s="4">
        <v>9</v>
      </c>
      <c r="G1266" s="10">
        <f t="shared" si="19"/>
        <v>112.77777777777777</v>
      </c>
      <c r="H1266" s="4">
        <v>1</v>
      </c>
    </row>
    <row r="1267" spans="1:8" x14ac:dyDescent="0.2">
      <c r="A1267" s="4">
        <v>5837</v>
      </c>
      <c r="B1267" s="4" t="s">
        <v>47</v>
      </c>
      <c r="C1267" s="4" t="s">
        <v>45</v>
      </c>
      <c r="D1267" s="4">
        <f>VLOOKUP(A1267,Orders!$A:$E,5,FALSE)</f>
        <v>2</v>
      </c>
      <c r="E1267" s="4">
        <v>257</v>
      </c>
      <c r="F1267" s="4">
        <v>19</v>
      </c>
      <c r="G1267" s="10">
        <f t="shared" si="19"/>
        <v>13.526315789473685</v>
      </c>
      <c r="H1267" s="4">
        <v>1</v>
      </c>
    </row>
    <row r="1268" spans="1:8" x14ac:dyDescent="0.2">
      <c r="A1268" s="4">
        <v>5842</v>
      </c>
      <c r="B1268" s="4" t="s">
        <v>47</v>
      </c>
      <c r="C1268" s="4" t="s">
        <v>45</v>
      </c>
      <c r="D1268" s="4">
        <f>VLOOKUP(A1268,Orders!$A:$E,5,FALSE)</f>
        <v>9</v>
      </c>
      <c r="E1268" s="4">
        <v>1660</v>
      </c>
      <c r="F1268" s="4">
        <v>8</v>
      </c>
      <c r="G1268" s="10">
        <f t="shared" si="19"/>
        <v>207.5</v>
      </c>
      <c r="H1268" s="4">
        <v>1</v>
      </c>
    </row>
    <row r="1269" spans="1:8" x14ac:dyDescent="0.2">
      <c r="A1269" s="4">
        <v>5844</v>
      </c>
      <c r="B1269" s="4" t="s">
        <v>47</v>
      </c>
      <c r="C1269" s="4" t="s">
        <v>45</v>
      </c>
      <c r="D1269" s="4">
        <f>VLOOKUP(A1269,Orders!$A:$E,5,FALSE)</f>
        <v>4</v>
      </c>
      <c r="E1269" s="4">
        <v>1152</v>
      </c>
      <c r="F1269" s="4">
        <v>22</v>
      </c>
      <c r="G1269" s="10">
        <f t="shared" si="19"/>
        <v>52.363636363636367</v>
      </c>
      <c r="H1269" s="4">
        <v>3</v>
      </c>
    </row>
    <row r="1270" spans="1:8" x14ac:dyDescent="0.2">
      <c r="A1270" s="4">
        <v>5859</v>
      </c>
      <c r="B1270" s="4" t="s">
        <v>47</v>
      </c>
      <c r="C1270" s="4" t="s">
        <v>45</v>
      </c>
      <c r="D1270" s="4">
        <f>VLOOKUP(A1270,Orders!$A:$E,5,FALSE)</f>
        <v>3</v>
      </c>
      <c r="E1270" s="4">
        <v>710</v>
      </c>
      <c r="F1270" s="4">
        <v>4</v>
      </c>
      <c r="G1270" s="10">
        <f t="shared" si="19"/>
        <v>177.5</v>
      </c>
      <c r="H1270" s="4">
        <v>3</v>
      </c>
    </row>
    <row r="1271" spans="1:8" x14ac:dyDescent="0.2">
      <c r="A1271" s="4">
        <v>5870</v>
      </c>
      <c r="B1271" s="4" t="s">
        <v>47</v>
      </c>
      <c r="C1271" s="4" t="s">
        <v>45</v>
      </c>
      <c r="D1271" s="4">
        <f>VLOOKUP(A1271,Orders!$A:$E,5,FALSE)</f>
        <v>6</v>
      </c>
      <c r="E1271" s="4">
        <v>787</v>
      </c>
      <c r="F1271" s="4">
        <v>9</v>
      </c>
      <c r="G1271" s="10">
        <f t="shared" si="19"/>
        <v>87.444444444444443</v>
      </c>
      <c r="H1271" s="4">
        <v>2</v>
      </c>
    </row>
    <row r="1272" spans="1:8" x14ac:dyDescent="0.2">
      <c r="A1272" s="4">
        <v>5957</v>
      </c>
      <c r="B1272" s="4" t="s">
        <v>47</v>
      </c>
      <c r="C1272" s="4" t="s">
        <v>45</v>
      </c>
      <c r="D1272" s="4">
        <f>VLOOKUP(A1272,Orders!$A:$E,5,FALSE)</f>
        <v>3</v>
      </c>
      <c r="E1272" s="4">
        <v>1185</v>
      </c>
      <c r="F1272" s="4">
        <v>8</v>
      </c>
      <c r="G1272" s="10">
        <f t="shared" si="19"/>
        <v>148.125</v>
      </c>
      <c r="H1272" s="4">
        <v>2</v>
      </c>
    </row>
    <row r="1273" spans="1:8" x14ac:dyDescent="0.2">
      <c r="A1273" s="4">
        <v>5958</v>
      </c>
      <c r="B1273" s="4" t="s">
        <v>47</v>
      </c>
      <c r="C1273" s="4" t="s">
        <v>45</v>
      </c>
      <c r="D1273" s="4">
        <f>VLOOKUP(A1273,Orders!$A:$E,5,FALSE)</f>
        <v>5</v>
      </c>
      <c r="E1273" s="4">
        <v>1140</v>
      </c>
      <c r="F1273" s="4">
        <v>20</v>
      </c>
      <c r="G1273" s="10">
        <f t="shared" si="19"/>
        <v>57</v>
      </c>
      <c r="H1273" s="4">
        <v>2</v>
      </c>
    </row>
    <row r="1274" spans="1:8" x14ac:dyDescent="0.2">
      <c r="A1274" s="4">
        <v>5992</v>
      </c>
      <c r="B1274" s="4" t="s">
        <v>47</v>
      </c>
      <c r="C1274" s="4" t="s">
        <v>45</v>
      </c>
      <c r="D1274" s="4">
        <f>VLOOKUP(A1274,Orders!$A:$E,5,FALSE)</f>
        <v>3</v>
      </c>
      <c r="E1274" s="4">
        <v>1679</v>
      </c>
      <c r="F1274" s="4">
        <v>16</v>
      </c>
      <c r="G1274" s="10">
        <f t="shared" si="19"/>
        <v>104.9375</v>
      </c>
      <c r="H1274" s="4">
        <v>2</v>
      </c>
    </row>
    <row r="1275" spans="1:8" x14ac:dyDescent="0.2">
      <c r="A1275" s="4">
        <v>6011</v>
      </c>
      <c r="B1275" s="4" t="s">
        <v>47</v>
      </c>
      <c r="C1275" s="4" t="s">
        <v>45</v>
      </c>
      <c r="D1275" s="4">
        <f>VLOOKUP(A1275,Orders!$A:$E,5,FALSE)</f>
        <v>5</v>
      </c>
      <c r="E1275" s="4">
        <v>98</v>
      </c>
      <c r="F1275" s="4">
        <v>2</v>
      </c>
      <c r="G1275" s="10">
        <f t="shared" si="19"/>
        <v>49</v>
      </c>
      <c r="H1275" s="4">
        <v>3</v>
      </c>
    </row>
    <row r="1276" spans="1:8" x14ac:dyDescent="0.2">
      <c r="A1276" s="4">
        <v>6016</v>
      </c>
      <c r="B1276" s="4" t="s">
        <v>47</v>
      </c>
      <c r="C1276" s="4" t="s">
        <v>45</v>
      </c>
      <c r="D1276" s="4">
        <f>VLOOKUP(A1276,Orders!$A:$E,5,FALSE)</f>
        <v>8</v>
      </c>
      <c r="E1276" s="4">
        <v>1596</v>
      </c>
      <c r="F1276" s="4">
        <v>3</v>
      </c>
      <c r="G1276" s="10">
        <f t="shared" si="19"/>
        <v>532</v>
      </c>
      <c r="H1276" s="4">
        <v>2</v>
      </c>
    </row>
    <row r="1277" spans="1:8" x14ac:dyDescent="0.2">
      <c r="A1277" s="4">
        <v>6030</v>
      </c>
      <c r="B1277" s="4" t="s">
        <v>47</v>
      </c>
      <c r="C1277" s="4" t="s">
        <v>45</v>
      </c>
      <c r="D1277" s="4">
        <f>VLOOKUP(A1277,Orders!$A:$E,5,FALSE)</f>
        <v>5</v>
      </c>
      <c r="E1277" s="4">
        <v>62</v>
      </c>
      <c r="F1277" s="4">
        <v>5</v>
      </c>
      <c r="G1277" s="10">
        <f t="shared" si="19"/>
        <v>12.4</v>
      </c>
      <c r="H1277" s="4">
        <v>1</v>
      </c>
    </row>
    <row r="1278" spans="1:8" x14ac:dyDescent="0.2">
      <c r="A1278" s="4">
        <v>6039</v>
      </c>
      <c r="B1278" s="4" t="s">
        <v>47</v>
      </c>
      <c r="C1278" s="4" t="s">
        <v>45</v>
      </c>
      <c r="D1278" s="4">
        <f>VLOOKUP(A1278,Orders!$A:$E,5,FALSE)</f>
        <v>8</v>
      </c>
      <c r="E1278" s="4">
        <v>1671</v>
      </c>
      <c r="F1278" s="4">
        <v>8</v>
      </c>
      <c r="G1278" s="10">
        <f t="shared" si="19"/>
        <v>208.875</v>
      </c>
      <c r="H1278" s="4">
        <v>3</v>
      </c>
    </row>
    <row r="1279" spans="1:8" x14ac:dyDescent="0.2">
      <c r="A1279" s="4">
        <v>6042</v>
      </c>
      <c r="B1279" s="4" t="s">
        <v>47</v>
      </c>
      <c r="C1279" s="4" t="s">
        <v>45</v>
      </c>
      <c r="D1279" s="4">
        <f>VLOOKUP(A1279,Orders!$A:$E,5,FALSE)</f>
        <v>7</v>
      </c>
      <c r="E1279" s="4">
        <v>1913</v>
      </c>
      <c r="F1279" s="4">
        <v>22</v>
      </c>
      <c r="G1279" s="10">
        <f t="shared" si="19"/>
        <v>86.954545454545453</v>
      </c>
      <c r="H1279" s="4">
        <v>2</v>
      </c>
    </row>
    <row r="1280" spans="1:8" x14ac:dyDescent="0.2">
      <c r="A1280" s="4">
        <v>6074</v>
      </c>
      <c r="B1280" s="4" t="s">
        <v>47</v>
      </c>
      <c r="C1280" s="4" t="s">
        <v>45</v>
      </c>
      <c r="D1280" s="4">
        <f>VLOOKUP(A1280,Orders!$A:$E,5,FALSE)</f>
        <v>2</v>
      </c>
      <c r="E1280" s="4">
        <v>30</v>
      </c>
      <c r="F1280" s="4">
        <v>23</v>
      </c>
      <c r="G1280" s="10">
        <f t="shared" si="19"/>
        <v>1.3043478260869565</v>
      </c>
      <c r="H1280" s="4">
        <v>3</v>
      </c>
    </row>
    <row r="1281" spans="1:8" x14ac:dyDescent="0.2">
      <c r="A1281" s="4">
        <v>6088</v>
      </c>
      <c r="B1281" s="4" t="s">
        <v>47</v>
      </c>
      <c r="C1281" s="4" t="s">
        <v>45</v>
      </c>
      <c r="D1281" s="4">
        <f>VLOOKUP(A1281,Orders!$A:$E,5,FALSE)</f>
        <v>6</v>
      </c>
      <c r="E1281" s="4">
        <v>315</v>
      </c>
      <c r="F1281" s="4">
        <v>6</v>
      </c>
      <c r="G1281" s="10">
        <f t="shared" si="19"/>
        <v>52.5</v>
      </c>
      <c r="H1281" s="4">
        <v>3</v>
      </c>
    </row>
    <row r="1282" spans="1:8" x14ac:dyDescent="0.2">
      <c r="A1282" s="4">
        <v>6092</v>
      </c>
      <c r="B1282" s="4" t="s">
        <v>47</v>
      </c>
      <c r="C1282" s="4" t="s">
        <v>45</v>
      </c>
      <c r="D1282" s="4">
        <f>VLOOKUP(A1282,Orders!$A:$E,5,FALSE)</f>
        <v>3</v>
      </c>
      <c r="E1282" s="4">
        <v>1021</v>
      </c>
      <c r="F1282" s="4">
        <v>10</v>
      </c>
      <c r="G1282" s="10">
        <f t="shared" ref="G1282:G1345" si="20">E1282/F1282</f>
        <v>102.1</v>
      </c>
      <c r="H1282" s="4">
        <v>2</v>
      </c>
    </row>
    <row r="1283" spans="1:8" x14ac:dyDescent="0.2">
      <c r="A1283" s="4">
        <v>6112</v>
      </c>
      <c r="B1283" s="4" t="s">
        <v>47</v>
      </c>
      <c r="C1283" s="4" t="s">
        <v>45</v>
      </c>
      <c r="D1283" s="4">
        <f>VLOOKUP(A1283,Orders!$A:$E,5,FALSE)</f>
        <v>7</v>
      </c>
      <c r="E1283" s="4">
        <v>1391</v>
      </c>
      <c r="F1283" s="4">
        <v>21</v>
      </c>
      <c r="G1283" s="10">
        <f t="shared" si="20"/>
        <v>66.238095238095241</v>
      </c>
      <c r="H1283" s="4">
        <v>3</v>
      </c>
    </row>
    <row r="1284" spans="1:8" x14ac:dyDescent="0.2">
      <c r="A1284" s="4">
        <v>6118</v>
      </c>
      <c r="B1284" s="4" t="s">
        <v>47</v>
      </c>
      <c r="C1284" s="4" t="s">
        <v>45</v>
      </c>
      <c r="D1284" s="4">
        <f>VLOOKUP(A1284,Orders!$A:$E,5,FALSE)</f>
        <v>5</v>
      </c>
      <c r="E1284" s="4">
        <v>1794</v>
      </c>
      <c r="F1284" s="4">
        <v>3</v>
      </c>
      <c r="G1284" s="10">
        <f t="shared" si="20"/>
        <v>598</v>
      </c>
      <c r="H1284" s="4">
        <v>1</v>
      </c>
    </row>
    <row r="1285" spans="1:8" x14ac:dyDescent="0.2">
      <c r="A1285" s="4">
        <v>6137</v>
      </c>
      <c r="B1285" s="4" t="s">
        <v>47</v>
      </c>
      <c r="C1285" s="4" t="s">
        <v>45</v>
      </c>
      <c r="D1285" s="4">
        <f>VLOOKUP(A1285,Orders!$A:$E,5,FALSE)</f>
        <v>3</v>
      </c>
      <c r="E1285" s="4">
        <v>794</v>
      </c>
      <c r="F1285" s="4">
        <v>2</v>
      </c>
      <c r="G1285" s="10">
        <f t="shared" si="20"/>
        <v>397</v>
      </c>
      <c r="H1285" s="4">
        <v>1</v>
      </c>
    </row>
    <row r="1286" spans="1:8" x14ac:dyDescent="0.2">
      <c r="A1286" s="4">
        <v>6143</v>
      </c>
      <c r="B1286" s="4" t="s">
        <v>47</v>
      </c>
      <c r="C1286" s="4" t="s">
        <v>45</v>
      </c>
      <c r="D1286" s="4">
        <f>VLOOKUP(A1286,Orders!$A:$E,5,FALSE)</f>
        <v>10</v>
      </c>
      <c r="E1286" s="4">
        <v>890</v>
      </c>
      <c r="F1286" s="4">
        <v>7</v>
      </c>
      <c r="G1286" s="10">
        <f t="shared" si="20"/>
        <v>127.14285714285714</v>
      </c>
      <c r="H1286" s="4">
        <v>3</v>
      </c>
    </row>
    <row r="1287" spans="1:8" x14ac:dyDescent="0.2">
      <c r="A1287" s="4">
        <v>6188</v>
      </c>
      <c r="B1287" s="4" t="s">
        <v>47</v>
      </c>
      <c r="C1287" s="4" t="s">
        <v>45</v>
      </c>
      <c r="D1287" s="4">
        <f>VLOOKUP(A1287,Orders!$A:$E,5,FALSE)</f>
        <v>3</v>
      </c>
      <c r="E1287" s="4">
        <v>1569</v>
      </c>
      <c r="F1287" s="4">
        <v>24</v>
      </c>
      <c r="G1287" s="10">
        <f t="shared" si="20"/>
        <v>65.375</v>
      </c>
      <c r="H1287" s="4">
        <v>1</v>
      </c>
    </row>
    <row r="1288" spans="1:8" x14ac:dyDescent="0.2">
      <c r="A1288" s="4">
        <v>6199</v>
      </c>
      <c r="B1288" s="4" t="s">
        <v>47</v>
      </c>
      <c r="C1288" s="4" t="s">
        <v>45</v>
      </c>
      <c r="D1288" s="4">
        <f>VLOOKUP(A1288,Orders!$A:$E,5,FALSE)</f>
        <v>2</v>
      </c>
      <c r="E1288" s="4">
        <v>1269</v>
      </c>
      <c r="F1288" s="4">
        <v>24</v>
      </c>
      <c r="G1288" s="10">
        <f t="shared" si="20"/>
        <v>52.875</v>
      </c>
      <c r="H1288" s="4">
        <v>1</v>
      </c>
    </row>
    <row r="1289" spans="1:8" x14ac:dyDescent="0.2">
      <c r="A1289" s="4">
        <v>6207</v>
      </c>
      <c r="B1289" s="4" t="s">
        <v>47</v>
      </c>
      <c r="C1289" s="4" t="s">
        <v>45</v>
      </c>
      <c r="D1289" s="4">
        <f>VLOOKUP(A1289,Orders!$A:$E,5,FALSE)</f>
        <v>7</v>
      </c>
      <c r="E1289" s="4">
        <v>463</v>
      </c>
      <c r="F1289" s="4">
        <v>6</v>
      </c>
      <c r="G1289" s="10">
        <f t="shared" si="20"/>
        <v>77.166666666666671</v>
      </c>
      <c r="H1289" s="4">
        <v>2</v>
      </c>
    </row>
    <row r="1290" spans="1:8" x14ac:dyDescent="0.2">
      <c r="A1290" s="4">
        <v>6217</v>
      </c>
      <c r="B1290" s="4" t="s">
        <v>47</v>
      </c>
      <c r="C1290" s="4" t="s">
        <v>45</v>
      </c>
      <c r="D1290" s="4">
        <f>VLOOKUP(A1290,Orders!$A:$E,5,FALSE)</f>
        <v>6</v>
      </c>
      <c r="E1290" s="4">
        <v>773</v>
      </c>
      <c r="F1290" s="4">
        <v>21</v>
      </c>
      <c r="G1290" s="10">
        <f t="shared" si="20"/>
        <v>36.80952380952381</v>
      </c>
      <c r="H1290" s="4">
        <v>2</v>
      </c>
    </row>
    <row r="1291" spans="1:8" x14ac:dyDescent="0.2">
      <c r="A1291" s="4">
        <v>6221</v>
      </c>
      <c r="B1291" s="4" t="s">
        <v>47</v>
      </c>
      <c r="C1291" s="4" t="s">
        <v>45</v>
      </c>
      <c r="D1291" s="4">
        <f>VLOOKUP(A1291,Orders!$A:$E,5,FALSE)</f>
        <v>7</v>
      </c>
      <c r="E1291" s="4">
        <v>1105</v>
      </c>
      <c r="F1291" s="4">
        <v>17</v>
      </c>
      <c r="G1291" s="10">
        <f t="shared" si="20"/>
        <v>65</v>
      </c>
      <c r="H1291" s="4">
        <v>2</v>
      </c>
    </row>
    <row r="1292" spans="1:8" x14ac:dyDescent="0.2">
      <c r="A1292" s="4">
        <v>6328</v>
      </c>
      <c r="B1292" s="4" t="s">
        <v>47</v>
      </c>
      <c r="C1292" s="4" t="s">
        <v>45</v>
      </c>
      <c r="D1292" s="4">
        <f>VLOOKUP(A1292,Orders!$A:$E,5,FALSE)</f>
        <v>9</v>
      </c>
      <c r="E1292" s="4">
        <v>1492</v>
      </c>
      <c r="F1292" s="4">
        <v>21</v>
      </c>
      <c r="G1292" s="10">
        <f t="shared" si="20"/>
        <v>71.047619047619051</v>
      </c>
      <c r="H1292" s="4">
        <v>3</v>
      </c>
    </row>
    <row r="1293" spans="1:8" x14ac:dyDescent="0.2">
      <c r="A1293" s="4">
        <v>6374</v>
      </c>
      <c r="B1293" s="4" t="s">
        <v>47</v>
      </c>
      <c r="C1293" s="4" t="s">
        <v>45</v>
      </c>
      <c r="D1293" s="4">
        <f>VLOOKUP(A1293,Orders!$A:$E,5,FALSE)</f>
        <v>4</v>
      </c>
      <c r="E1293" s="4">
        <v>33</v>
      </c>
      <c r="F1293" s="4">
        <v>10</v>
      </c>
      <c r="G1293" s="10">
        <f t="shared" si="20"/>
        <v>3.3</v>
      </c>
      <c r="H1293" s="4">
        <v>2</v>
      </c>
    </row>
    <row r="1294" spans="1:8" x14ac:dyDescent="0.2">
      <c r="A1294" s="4">
        <v>6410</v>
      </c>
      <c r="B1294" s="4" t="s">
        <v>47</v>
      </c>
      <c r="C1294" s="4" t="s">
        <v>45</v>
      </c>
      <c r="D1294" s="4">
        <f>VLOOKUP(A1294,Orders!$A:$E,5,FALSE)</f>
        <v>5</v>
      </c>
      <c r="E1294" s="4">
        <v>1986</v>
      </c>
      <c r="F1294" s="4">
        <v>5</v>
      </c>
      <c r="G1294" s="10">
        <f t="shared" si="20"/>
        <v>397.2</v>
      </c>
      <c r="H1294" s="4">
        <v>3</v>
      </c>
    </row>
    <row r="1295" spans="1:8" x14ac:dyDescent="0.2">
      <c r="A1295" s="4">
        <v>6415</v>
      </c>
      <c r="B1295" s="4" t="s">
        <v>47</v>
      </c>
      <c r="C1295" s="4" t="s">
        <v>45</v>
      </c>
      <c r="D1295" s="4">
        <f>VLOOKUP(A1295,Orders!$A:$E,5,FALSE)</f>
        <v>3</v>
      </c>
      <c r="E1295" s="4">
        <v>1825</v>
      </c>
      <c r="F1295" s="4">
        <v>7</v>
      </c>
      <c r="G1295" s="10">
        <f t="shared" si="20"/>
        <v>260.71428571428572</v>
      </c>
      <c r="H1295" s="4">
        <v>1</v>
      </c>
    </row>
    <row r="1296" spans="1:8" x14ac:dyDescent="0.2">
      <c r="A1296" s="4">
        <v>6427</v>
      </c>
      <c r="B1296" s="4" t="s">
        <v>47</v>
      </c>
      <c r="C1296" s="4" t="s">
        <v>45</v>
      </c>
      <c r="D1296" s="4">
        <f>VLOOKUP(A1296,Orders!$A:$E,5,FALSE)</f>
        <v>2</v>
      </c>
      <c r="E1296" s="4">
        <v>1575</v>
      </c>
      <c r="F1296" s="4">
        <v>18</v>
      </c>
      <c r="G1296" s="10">
        <f t="shared" si="20"/>
        <v>87.5</v>
      </c>
      <c r="H1296" s="4">
        <v>2</v>
      </c>
    </row>
    <row r="1297" spans="1:8" x14ac:dyDescent="0.2">
      <c r="A1297" s="4">
        <v>5001</v>
      </c>
      <c r="B1297" s="4" t="s">
        <v>49</v>
      </c>
      <c r="C1297" s="4" t="s">
        <v>45</v>
      </c>
      <c r="D1297" s="4">
        <f>VLOOKUP(A1297,Orders!$A:$E,5,FALSE)</f>
        <v>5</v>
      </c>
      <c r="E1297" s="4">
        <v>99</v>
      </c>
      <c r="F1297" s="4">
        <v>21</v>
      </c>
      <c r="G1297" s="10">
        <f t="shared" si="20"/>
        <v>4.7142857142857144</v>
      </c>
      <c r="H1297" s="4">
        <v>2</v>
      </c>
    </row>
    <row r="1298" spans="1:8" x14ac:dyDescent="0.2">
      <c r="A1298" s="4">
        <v>5018</v>
      </c>
      <c r="B1298" s="4" t="s">
        <v>49</v>
      </c>
      <c r="C1298" s="4" t="s">
        <v>45</v>
      </c>
      <c r="D1298" s="4">
        <f>VLOOKUP(A1298,Orders!$A:$E,5,FALSE)</f>
        <v>4</v>
      </c>
      <c r="E1298" s="4">
        <v>166</v>
      </c>
      <c r="F1298" s="4">
        <v>22</v>
      </c>
      <c r="G1298" s="10">
        <f t="shared" si="20"/>
        <v>7.5454545454545459</v>
      </c>
      <c r="H1298" s="4">
        <v>2</v>
      </c>
    </row>
    <row r="1299" spans="1:8" x14ac:dyDescent="0.2">
      <c r="A1299" s="4">
        <v>5033</v>
      </c>
      <c r="B1299" s="4" t="s">
        <v>49</v>
      </c>
      <c r="C1299" s="4" t="s">
        <v>45</v>
      </c>
      <c r="D1299" s="4">
        <f>VLOOKUP(A1299,Orders!$A:$E,5,FALSE)</f>
        <v>7</v>
      </c>
      <c r="E1299" s="4">
        <v>1259</v>
      </c>
      <c r="F1299" s="4">
        <v>9</v>
      </c>
      <c r="G1299" s="10">
        <f t="shared" si="20"/>
        <v>139.88888888888889</v>
      </c>
      <c r="H1299" s="4">
        <v>2</v>
      </c>
    </row>
    <row r="1300" spans="1:8" x14ac:dyDescent="0.2">
      <c r="A1300" s="4">
        <v>5040</v>
      </c>
      <c r="B1300" s="4" t="s">
        <v>49</v>
      </c>
      <c r="C1300" s="4" t="s">
        <v>45</v>
      </c>
      <c r="D1300" s="4">
        <f>VLOOKUP(A1300,Orders!$A:$E,5,FALSE)</f>
        <v>7</v>
      </c>
      <c r="E1300" s="4">
        <v>1541</v>
      </c>
      <c r="F1300" s="4">
        <v>5</v>
      </c>
      <c r="G1300" s="10">
        <f t="shared" si="20"/>
        <v>308.2</v>
      </c>
      <c r="H1300" s="4">
        <v>1</v>
      </c>
    </row>
    <row r="1301" spans="1:8" x14ac:dyDescent="0.2">
      <c r="A1301" s="4">
        <v>5049</v>
      </c>
      <c r="B1301" s="4" t="s">
        <v>49</v>
      </c>
      <c r="C1301" s="4" t="s">
        <v>45</v>
      </c>
      <c r="D1301" s="4">
        <f>VLOOKUP(A1301,Orders!$A:$E,5,FALSE)</f>
        <v>8</v>
      </c>
      <c r="E1301" s="4">
        <v>796</v>
      </c>
      <c r="F1301" s="4">
        <v>12</v>
      </c>
      <c r="G1301" s="10">
        <f t="shared" si="20"/>
        <v>66.333333333333329</v>
      </c>
      <c r="H1301" s="4">
        <v>2</v>
      </c>
    </row>
    <row r="1302" spans="1:8" x14ac:dyDescent="0.2">
      <c r="A1302" s="4">
        <v>5051</v>
      </c>
      <c r="B1302" s="4" t="s">
        <v>49</v>
      </c>
      <c r="C1302" s="4" t="s">
        <v>45</v>
      </c>
      <c r="D1302" s="4">
        <f>VLOOKUP(A1302,Orders!$A:$E,5,FALSE)</f>
        <v>9</v>
      </c>
      <c r="E1302" s="4">
        <v>718</v>
      </c>
      <c r="F1302" s="4">
        <v>3</v>
      </c>
      <c r="G1302" s="10">
        <f t="shared" si="20"/>
        <v>239.33333333333334</v>
      </c>
      <c r="H1302" s="4">
        <v>3</v>
      </c>
    </row>
    <row r="1303" spans="1:8" x14ac:dyDescent="0.2">
      <c r="A1303" s="4">
        <v>5080</v>
      </c>
      <c r="B1303" s="4" t="s">
        <v>49</v>
      </c>
      <c r="C1303" s="4" t="s">
        <v>45</v>
      </c>
      <c r="D1303" s="4">
        <f>VLOOKUP(A1303,Orders!$A:$E,5,FALSE)</f>
        <v>7</v>
      </c>
      <c r="E1303" s="4">
        <v>625</v>
      </c>
      <c r="F1303" s="4">
        <v>5</v>
      </c>
      <c r="G1303" s="10">
        <f t="shared" si="20"/>
        <v>125</v>
      </c>
      <c r="H1303" s="4">
        <v>1</v>
      </c>
    </row>
    <row r="1304" spans="1:8" x14ac:dyDescent="0.2">
      <c r="A1304" s="4">
        <v>5090</v>
      </c>
      <c r="B1304" s="4" t="s">
        <v>49</v>
      </c>
      <c r="C1304" s="4" t="s">
        <v>45</v>
      </c>
      <c r="D1304" s="4">
        <f>VLOOKUP(A1304,Orders!$A:$E,5,FALSE)</f>
        <v>10</v>
      </c>
      <c r="E1304" s="4">
        <v>859</v>
      </c>
      <c r="F1304" s="4">
        <v>9</v>
      </c>
      <c r="G1304" s="10">
        <f t="shared" si="20"/>
        <v>95.444444444444443</v>
      </c>
      <c r="H1304" s="4">
        <v>3</v>
      </c>
    </row>
    <row r="1305" spans="1:8" x14ac:dyDescent="0.2">
      <c r="A1305" s="4">
        <v>5097</v>
      </c>
      <c r="B1305" s="4" t="s">
        <v>49</v>
      </c>
      <c r="C1305" s="4" t="s">
        <v>45</v>
      </c>
      <c r="D1305" s="4">
        <f>VLOOKUP(A1305,Orders!$A:$E,5,FALSE)</f>
        <v>9</v>
      </c>
      <c r="E1305" s="4">
        <v>461</v>
      </c>
      <c r="F1305" s="4">
        <v>19</v>
      </c>
      <c r="G1305" s="10">
        <f t="shared" si="20"/>
        <v>24.263157894736842</v>
      </c>
      <c r="H1305" s="4">
        <v>3</v>
      </c>
    </row>
    <row r="1306" spans="1:8" x14ac:dyDescent="0.2">
      <c r="A1306" s="4">
        <v>5123</v>
      </c>
      <c r="B1306" s="4" t="s">
        <v>49</v>
      </c>
      <c r="C1306" s="4" t="s">
        <v>45</v>
      </c>
      <c r="D1306" s="4">
        <f>VLOOKUP(A1306,Orders!$A:$E,5,FALSE)</f>
        <v>6</v>
      </c>
      <c r="E1306" s="4">
        <v>1471</v>
      </c>
      <c r="F1306" s="4">
        <v>17</v>
      </c>
      <c r="G1306" s="10">
        <f t="shared" si="20"/>
        <v>86.529411764705884</v>
      </c>
      <c r="H1306" s="4">
        <v>3</v>
      </c>
    </row>
    <row r="1307" spans="1:8" x14ac:dyDescent="0.2">
      <c r="A1307" s="4">
        <v>5147</v>
      </c>
      <c r="B1307" s="4" t="s">
        <v>49</v>
      </c>
      <c r="C1307" s="4" t="s">
        <v>45</v>
      </c>
      <c r="D1307" s="4">
        <f>VLOOKUP(A1307,Orders!$A:$E,5,FALSE)</f>
        <v>8</v>
      </c>
      <c r="E1307" s="4">
        <v>448</v>
      </c>
      <c r="F1307" s="4">
        <v>7</v>
      </c>
      <c r="G1307" s="10">
        <f t="shared" si="20"/>
        <v>64</v>
      </c>
      <c r="H1307" s="4">
        <v>1</v>
      </c>
    </row>
    <row r="1308" spans="1:8" x14ac:dyDescent="0.2">
      <c r="A1308" s="4">
        <v>5159</v>
      </c>
      <c r="B1308" s="4" t="s">
        <v>49</v>
      </c>
      <c r="C1308" s="4" t="s">
        <v>45</v>
      </c>
      <c r="D1308" s="4">
        <f>VLOOKUP(A1308,Orders!$A:$E,5,FALSE)</f>
        <v>5</v>
      </c>
      <c r="E1308" s="4">
        <v>457</v>
      </c>
      <c r="F1308" s="4">
        <v>21</v>
      </c>
      <c r="G1308" s="10">
        <f t="shared" si="20"/>
        <v>21.761904761904763</v>
      </c>
      <c r="H1308" s="4">
        <v>3</v>
      </c>
    </row>
    <row r="1309" spans="1:8" x14ac:dyDescent="0.2">
      <c r="A1309" s="4">
        <v>5184</v>
      </c>
      <c r="B1309" s="4" t="s">
        <v>49</v>
      </c>
      <c r="C1309" s="4" t="s">
        <v>45</v>
      </c>
      <c r="D1309" s="4">
        <f>VLOOKUP(A1309,Orders!$A:$E,5,FALSE)</f>
        <v>9</v>
      </c>
      <c r="E1309" s="4">
        <v>186</v>
      </c>
      <c r="F1309" s="4">
        <v>9</v>
      </c>
      <c r="G1309" s="10">
        <f t="shared" si="20"/>
        <v>20.666666666666668</v>
      </c>
      <c r="H1309" s="4">
        <v>2</v>
      </c>
    </row>
    <row r="1310" spans="1:8" x14ac:dyDescent="0.2">
      <c r="A1310" s="4">
        <v>5187</v>
      </c>
      <c r="B1310" s="4" t="s">
        <v>49</v>
      </c>
      <c r="C1310" s="4" t="s">
        <v>45</v>
      </c>
      <c r="D1310" s="4">
        <f>VLOOKUP(A1310,Orders!$A:$E,5,FALSE)</f>
        <v>2</v>
      </c>
      <c r="E1310" s="4">
        <v>482</v>
      </c>
      <c r="F1310" s="4">
        <v>8</v>
      </c>
      <c r="G1310" s="10">
        <f t="shared" si="20"/>
        <v>60.25</v>
      </c>
      <c r="H1310" s="4">
        <v>2</v>
      </c>
    </row>
    <row r="1311" spans="1:8" x14ac:dyDescent="0.2">
      <c r="A1311" s="4">
        <v>5227</v>
      </c>
      <c r="B1311" s="4" t="s">
        <v>49</v>
      </c>
      <c r="C1311" s="4" t="s">
        <v>45</v>
      </c>
      <c r="D1311" s="4">
        <f>VLOOKUP(A1311,Orders!$A:$E,5,FALSE)</f>
        <v>4</v>
      </c>
      <c r="E1311" s="4">
        <v>1402</v>
      </c>
      <c r="F1311" s="4">
        <v>17</v>
      </c>
      <c r="G1311" s="10">
        <f t="shared" si="20"/>
        <v>82.470588235294116</v>
      </c>
      <c r="H1311" s="4">
        <v>1</v>
      </c>
    </row>
    <row r="1312" spans="1:8" x14ac:dyDescent="0.2">
      <c r="A1312" s="4">
        <v>5228</v>
      </c>
      <c r="B1312" s="4" t="s">
        <v>49</v>
      </c>
      <c r="C1312" s="4" t="s">
        <v>45</v>
      </c>
      <c r="D1312" s="4">
        <f>VLOOKUP(A1312,Orders!$A:$E,5,FALSE)</f>
        <v>8</v>
      </c>
      <c r="E1312" s="4">
        <v>387</v>
      </c>
      <c r="F1312" s="4">
        <v>7</v>
      </c>
      <c r="G1312" s="10">
        <f t="shared" si="20"/>
        <v>55.285714285714285</v>
      </c>
      <c r="H1312" s="4">
        <v>2</v>
      </c>
    </row>
    <row r="1313" spans="1:8" x14ac:dyDescent="0.2">
      <c r="A1313" s="4">
        <v>5254</v>
      </c>
      <c r="B1313" s="4" t="s">
        <v>49</v>
      </c>
      <c r="C1313" s="4" t="s">
        <v>45</v>
      </c>
      <c r="D1313" s="4">
        <f>VLOOKUP(A1313,Orders!$A:$E,5,FALSE)</f>
        <v>8</v>
      </c>
      <c r="E1313" s="4">
        <v>840</v>
      </c>
      <c r="F1313" s="4">
        <v>2</v>
      </c>
      <c r="G1313" s="10">
        <f t="shared" si="20"/>
        <v>420</v>
      </c>
      <c r="H1313" s="4">
        <v>1</v>
      </c>
    </row>
    <row r="1314" spans="1:8" x14ac:dyDescent="0.2">
      <c r="A1314" s="4">
        <v>5262</v>
      </c>
      <c r="B1314" s="4" t="s">
        <v>49</v>
      </c>
      <c r="C1314" s="4" t="s">
        <v>45</v>
      </c>
      <c r="D1314" s="4">
        <f>VLOOKUP(A1314,Orders!$A:$E,5,FALSE)</f>
        <v>9</v>
      </c>
      <c r="E1314" s="4">
        <v>1246</v>
      </c>
      <c r="F1314" s="4">
        <v>22</v>
      </c>
      <c r="G1314" s="10">
        <f t="shared" si="20"/>
        <v>56.636363636363633</v>
      </c>
      <c r="H1314" s="4">
        <v>2</v>
      </c>
    </row>
    <row r="1315" spans="1:8" x14ac:dyDescent="0.2">
      <c r="A1315" s="4">
        <v>5284</v>
      </c>
      <c r="B1315" s="4" t="s">
        <v>49</v>
      </c>
      <c r="C1315" s="4" t="s">
        <v>45</v>
      </c>
      <c r="D1315" s="4">
        <f>VLOOKUP(A1315,Orders!$A:$E,5,FALSE)</f>
        <v>5</v>
      </c>
      <c r="E1315" s="4">
        <v>1363</v>
      </c>
      <c r="F1315" s="4">
        <v>7</v>
      </c>
      <c r="G1315" s="10">
        <f t="shared" si="20"/>
        <v>194.71428571428572</v>
      </c>
      <c r="H1315" s="4">
        <v>3</v>
      </c>
    </row>
    <row r="1316" spans="1:8" x14ac:dyDescent="0.2">
      <c r="A1316" s="4">
        <v>5314</v>
      </c>
      <c r="B1316" s="4" t="s">
        <v>49</v>
      </c>
      <c r="C1316" s="4" t="s">
        <v>45</v>
      </c>
      <c r="D1316" s="4">
        <f>VLOOKUP(A1316,Orders!$A:$E,5,FALSE)</f>
        <v>9</v>
      </c>
      <c r="E1316" s="4">
        <v>1480</v>
      </c>
      <c r="F1316" s="4">
        <v>16</v>
      </c>
      <c r="G1316" s="10">
        <f t="shared" si="20"/>
        <v>92.5</v>
      </c>
      <c r="H1316" s="4">
        <v>3</v>
      </c>
    </row>
    <row r="1317" spans="1:8" x14ac:dyDescent="0.2">
      <c r="A1317" s="4">
        <v>5319</v>
      </c>
      <c r="B1317" s="4" t="s">
        <v>49</v>
      </c>
      <c r="C1317" s="4" t="s">
        <v>45</v>
      </c>
      <c r="D1317" s="4">
        <f>VLOOKUP(A1317,Orders!$A:$E,5,FALSE)</f>
        <v>2</v>
      </c>
      <c r="E1317" s="4">
        <v>996</v>
      </c>
      <c r="F1317" s="4">
        <v>21</v>
      </c>
      <c r="G1317" s="10">
        <f t="shared" si="20"/>
        <v>47.428571428571431</v>
      </c>
      <c r="H1317" s="4">
        <v>1</v>
      </c>
    </row>
    <row r="1318" spans="1:8" x14ac:dyDescent="0.2">
      <c r="A1318" s="4">
        <v>5321</v>
      </c>
      <c r="B1318" s="4" t="s">
        <v>49</v>
      </c>
      <c r="C1318" s="4" t="s">
        <v>45</v>
      </c>
      <c r="D1318" s="4">
        <f>VLOOKUP(A1318,Orders!$A:$E,5,FALSE)</f>
        <v>4</v>
      </c>
      <c r="E1318" s="4">
        <v>1792</v>
      </c>
      <c r="F1318" s="4">
        <v>17</v>
      </c>
      <c r="G1318" s="10">
        <f t="shared" si="20"/>
        <v>105.41176470588235</v>
      </c>
      <c r="H1318" s="4">
        <v>3</v>
      </c>
    </row>
    <row r="1319" spans="1:8" x14ac:dyDescent="0.2">
      <c r="A1319" s="4">
        <v>5342</v>
      </c>
      <c r="B1319" s="4" t="s">
        <v>49</v>
      </c>
      <c r="C1319" s="4" t="s">
        <v>45</v>
      </c>
      <c r="D1319" s="4">
        <f>VLOOKUP(A1319,Orders!$A:$E,5,FALSE)</f>
        <v>8</v>
      </c>
      <c r="E1319" s="4">
        <v>1312</v>
      </c>
      <c r="F1319" s="4">
        <v>7</v>
      </c>
      <c r="G1319" s="10">
        <f t="shared" si="20"/>
        <v>187.42857142857142</v>
      </c>
      <c r="H1319" s="4">
        <v>2</v>
      </c>
    </row>
    <row r="1320" spans="1:8" x14ac:dyDescent="0.2">
      <c r="A1320" s="4">
        <v>5345</v>
      </c>
      <c r="B1320" s="4" t="s">
        <v>49</v>
      </c>
      <c r="C1320" s="4" t="s">
        <v>45</v>
      </c>
      <c r="D1320" s="4">
        <f>VLOOKUP(A1320,Orders!$A:$E,5,FALSE)</f>
        <v>2</v>
      </c>
      <c r="E1320" s="4">
        <v>248</v>
      </c>
      <c r="F1320" s="4">
        <v>7</v>
      </c>
      <c r="G1320" s="10">
        <f t="shared" si="20"/>
        <v>35.428571428571431</v>
      </c>
      <c r="H1320" s="4">
        <v>2</v>
      </c>
    </row>
    <row r="1321" spans="1:8" x14ac:dyDescent="0.2">
      <c r="A1321" s="4">
        <v>5362</v>
      </c>
      <c r="B1321" s="4" t="s">
        <v>49</v>
      </c>
      <c r="C1321" s="4" t="s">
        <v>45</v>
      </c>
      <c r="D1321" s="4">
        <f>VLOOKUP(A1321,Orders!$A:$E,5,FALSE)</f>
        <v>6</v>
      </c>
      <c r="E1321" s="4">
        <v>1639</v>
      </c>
      <c r="F1321" s="4">
        <v>14</v>
      </c>
      <c r="G1321" s="10">
        <f t="shared" si="20"/>
        <v>117.07142857142857</v>
      </c>
      <c r="H1321" s="4">
        <v>2</v>
      </c>
    </row>
    <row r="1322" spans="1:8" x14ac:dyDescent="0.2">
      <c r="A1322" s="4">
        <v>5365</v>
      </c>
      <c r="B1322" s="4" t="s">
        <v>49</v>
      </c>
      <c r="C1322" s="4" t="s">
        <v>45</v>
      </c>
      <c r="D1322" s="4">
        <f>VLOOKUP(A1322,Orders!$A:$E,5,FALSE)</f>
        <v>5</v>
      </c>
      <c r="E1322" s="4">
        <v>1948</v>
      </c>
      <c r="F1322" s="4">
        <v>20</v>
      </c>
      <c r="G1322" s="10">
        <f t="shared" si="20"/>
        <v>97.4</v>
      </c>
      <c r="H1322" s="4">
        <v>2</v>
      </c>
    </row>
    <row r="1323" spans="1:8" x14ac:dyDescent="0.2">
      <c r="A1323" s="4">
        <v>5388</v>
      </c>
      <c r="B1323" s="4" t="s">
        <v>49</v>
      </c>
      <c r="C1323" s="4" t="s">
        <v>45</v>
      </c>
      <c r="D1323" s="4">
        <f>VLOOKUP(A1323,Orders!$A:$E,5,FALSE)</f>
        <v>5</v>
      </c>
      <c r="E1323" s="4">
        <v>1100</v>
      </c>
      <c r="F1323" s="4">
        <v>24</v>
      </c>
      <c r="G1323" s="10">
        <f t="shared" si="20"/>
        <v>45.833333333333336</v>
      </c>
      <c r="H1323" s="4">
        <v>3</v>
      </c>
    </row>
    <row r="1324" spans="1:8" x14ac:dyDescent="0.2">
      <c r="A1324" s="4">
        <v>5391</v>
      </c>
      <c r="B1324" s="4" t="s">
        <v>49</v>
      </c>
      <c r="C1324" s="4" t="s">
        <v>45</v>
      </c>
      <c r="D1324" s="4">
        <f>VLOOKUP(A1324,Orders!$A:$E,5,FALSE)</f>
        <v>9</v>
      </c>
      <c r="E1324" s="4">
        <v>328</v>
      </c>
      <c r="F1324" s="4">
        <v>10</v>
      </c>
      <c r="G1324" s="10">
        <f t="shared" si="20"/>
        <v>32.799999999999997</v>
      </c>
      <c r="H1324" s="4">
        <v>1</v>
      </c>
    </row>
    <row r="1325" spans="1:8" x14ac:dyDescent="0.2">
      <c r="A1325" s="4">
        <v>5392</v>
      </c>
      <c r="B1325" s="4" t="s">
        <v>49</v>
      </c>
      <c r="C1325" s="4" t="s">
        <v>45</v>
      </c>
      <c r="D1325" s="4">
        <f>VLOOKUP(A1325,Orders!$A:$E,5,FALSE)</f>
        <v>5</v>
      </c>
      <c r="E1325" s="4">
        <v>1358</v>
      </c>
      <c r="F1325" s="4">
        <v>23</v>
      </c>
      <c r="G1325" s="10">
        <f t="shared" si="20"/>
        <v>59.043478260869563</v>
      </c>
      <c r="H1325" s="4">
        <v>1</v>
      </c>
    </row>
    <row r="1326" spans="1:8" x14ac:dyDescent="0.2">
      <c r="A1326" s="4">
        <v>5438</v>
      </c>
      <c r="B1326" s="4" t="s">
        <v>49</v>
      </c>
      <c r="C1326" s="4" t="s">
        <v>45</v>
      </c>
      <c r="D1326" s="4">
        <f>VLOOKUP(A1326,Orders!$A:$E,5,FALSE)</f>
        <v>7</v>
      </c>
      <c r="E1326" s="4">
        <v>261</v>
      </c>
      <c r="F1326" s="4">
        <v>10</v>
      </c>
      <c r="G1326" s="10">
        <f t="shared" si="20"/>
        <v>26.1</v>
      </c>
      <c r="H1326" s="4">
        <v>3</v>
      </c>
    </row>
    <row r="1327" spans="1:8" x14ac:dyDescent="0.2">
      <c r="A1327" s="4">
        <v>5440</v>
      </c>
      <c r="B1327" s="4" t="s">
        <v>49</v>
      </c>
      <c r="C1327" s="4" t="s">
        <v>45</v>
      </c>
      <c r="D1327" s="4">
        <f>VLOOKUP(A1327,Orders!$A:$E,5,FALSE)</f>
        <v>7</v>
      </c>
      <c r="E1327" s="4">
        <v>1601</v>
      </c>
      <c r="F1327" s="4">
        <v>19</v>
      </c>
      <c r="G1327" s="10">
        <f t="shared" si="20"/>
        <v>84.263157894736835</v>
      </c>
      <c r="H1327" s="4">
        <v>2</v>
      </c>
    </row>
    <row r="1328" spans="1:8" x14ac:dyDescent="0.2">
      <c r="A1328" s="4">
        <v>5453</v>
      </c>
      <c r="B1328" s="4" t="s">
        <v>49</v>
      </c>
      <c r="C1328" s="4" t="s">
        <v>45</v>
      </c>
      <c r="D1328" s="4">
        <f>VLOOKUP(A1328,Orders!$A:$E,5,FALSE)</f>
        <v>2</v>
      </c>
      <c r="E1328" s="4">
        <v>1865</v>
      </c>
      <c r="F1328" s="4">
        <v>18</v>
      </c>
      <c r="G1328" s="10">
        <f t="shared" si="20"/>
        <v>103.61111111111111</v>
      </c>
      <c r="H1328" s="4">
        <v>2</v>
      </c>
    </row>
    <row r="1329" spans="1:8" x14ac:dyDescent="0.2">
      <c r="A1329" s="4">
        <v>5474</v>
      </c>
      <c r="B1329" s="4" t="s">
        <v>49</v>
      </c>
      <c r="C1329" s="4" t="s">
        <v>45</v>
      </c>
      <c r="D1329" s="4">
        <f>VLOOKUP(A1329,Orders!$A:$E,5,FALSE)</f>
        <v>6</v>
      </c>
      <c r="E1329" s="4">
        <v>1385</v>
      </c>
      <c r="F1329" s="4">
        <v>10</v>
      </c>
      <c r="G1329" s="10">
        <f t="shared" si="20"/>
        <v>138.5</v>
      </c>
      <c r="H1329" s="4">
        <v>2</v>
      </c>
    </row>
    <row r="1330" spans="1:8" x14ac:dyDescent="0.2">
      <c r="A1330" s="4">
        <v>5484</v>
      </c>
      <c r="B1330" s="4" t="s">
        <v>49</v>
      </c>
      <c r="C1330" s="4" t="s">
        <v>45</v>
      </c>
      <c r="D1330" s="4">
        <f>VLOOKUP(A1330,Orders!$A:$E,5,FALSE)</f>
        <v>10</v>
      </c>
      <c r="E1330" s="4">
        <v>1662</v>
      </c>
      <c r="F1330" s="4">
        <v>2</v>
      </c>
      <c r="G1330" s="10">
        <f t="shared" si="20"/>
        <v>831</v>
      </c>
      <c r="H1330" s="4">
        <v>3</v>
      </c>
    </row>
    <row r="1331" spans="1:8" x14ac:dyDescent="0.2">
      <c r="A1331" s="4">
        <v>5487</v>
      </c>
      <c r="B1331" s="4" t="s">
        <v>49</v>
      </c>
      <c r="C1331" s="4" t="s">
        <v>45</v>
      </c>
      <c r="D1331" s="4">
        <f>VLOOKUP(A1331,Orders!$A:$E,5,FALSE)</f>
        <v>4</v>
      </c>
      <c r="E1331" s="4">
        <v>1451</v>
      </c>
      <c r="F1331" s="4">
        <v>22</v>
      </c>
      <c r="G1331" s="10">
        <f t="shared" si="20"/>
        <v>65.954545454545453</v>
      </c>
      <c r="H1331" s="4">
        <v>2</v>
      </c>
    </row>
    <row r="1332" spans="1:8" x14ac:dyDescent="0.2">
      <c r="A1332" s="4">
        <v>5489</v>
      </c>
      <c r="B1332" s="4" t="s">
        <v>49</v>
      </c>
      <c r="C1332" s="4" t="s">
        <v>45</v>
      </c>
      <c r="D1332" s="4">
        <f>VLOOKUP(A1332,Orders!$A:$E,5,FALSE)</f>
        <v>10</v>
      </c>
      <c r="E1332" s="4">
        <v>1562</v>
      </c>
      <c r="F1332" s="4">
        <v>13</v>
      </c>
      <c r="G1332" s="10">
        <f t="shared" si="20"/>
        <v>120.15384615384616</v>
      </c>
      <c r="H1332" s="4">
        <v>1</v>
      </c>
    </row>
    <row r="1333" spans="1:8" x14ac:dyDescent="0.2">
      <c r="A1333" s="4">
        <v>5500</v>
      </c>
      <c r="B1333" s="4" t="s">
        <v>49</v>
      </c>
      <c r="C1333" s="4" t="s">
        <v>45</v>
      </c>
      <c r="D1333" s="4">
        <f>VLOOKUP(A1333,Orders!$A:$E,5,FALSE)</f>
        <v>5</v>
      </c>
      <c r="E1333" s="4">
        <v>292</v>
      </c>
      <c r="F1333" s="4">
        <v>14</v>
      </c>
      <c r="G1333" s="10">
        <f t="shared" si="20"/>
        <v>20.857142857142858</v>
      </c>
      <c r="H1333" s="4">
        <v>1</v>
      </c>
    </row>
    <row r="1334" spans="1:8" x14ac:dyDescent="0.2">
      <c r="A1334" s="4">
        <v>5572</v>
      </c>
      <c r="B1334" s="4" t="s">
        <v>49</v>
      </c>
      <c r="C1334" s="4" t="s">
        <v>45</v>
      </c>
      <c r="D1334" s="4">
        <f>VLOOKUP(A1334,Orders!$A:$E,5,FALSE)</f>
        <v>8</v>
      </c>
      <c r="E1334" s="4">
        <v>1433</v>
      </c>
      <c r="F1334" s="4">
        <v>2</v>
      </c>
      <c r="G1334" s="10">
        <f t="shared" si="20"/>
        <v>716.5</v>
      </c>
      <c r="H1334" s="4">
        <v>2</v>
      </c>
    </row>
    <row r="1335" spans="1:8" x14ac:dyDescent="0.2">
      <c r="A1335" s="4">
        <v>5585</v>
      </c>
      <c r="B1335" s="4" t="s">
        <v>49</v>
      </c>
      <c r="C1335" s="4" t="s">
        <v>45</v>
      </c>
      <c r="D1335" s="4">
        <f>VLOOKUP(A1335,Orders!$A:$E,5,FALSE)</f>
        <v>4</v>
      </c>
      <c r="E1335" s="4">
        <v>1532</v>
      </c>
      <c r="F1335" s="4">
        <v>6</v>
      </c>
      <c r="G1335" s="10">
        <f t="shared" si="20"/>
        <v>255.33333333333334</v>
      </c>
      <c r="H1335" s="4">
        <v>2</v>
      </c>
    </row>
    <row r="1336" spans="1:8" x14ac:dyDescent="0.2">
      <c r="A1336" s="4">
        <v>5592</v>
      </c>
      <c r="B1336" s="4" t="s">
        <v>49</v>
      </c>
      <c r="C1336" s="4" t="s">
        <v>45</v>
      </c>
      <c r="D1336" s="4">
        <f>VLOOKUP(A1336,Orders!$A:$E,5,FALSE)</f>
        <v>10</v>
      </c>
      <c r="E1336" s="4">
        <v>71</v>
      </c>
      <c r="F1336" s="4">
        <v>16</v>
      </c>
      <c r="G1336" s="10">
        <f t="shared" si="20"/>
        <v>4.4375</v>
      </c>
      <c r="H1336" s="4">
        <v>1</v>
      </c>
    </row>
    <row r="1337" spans="1:8" x14ac:dyDescent="0.2">
      <c r="A1337" s="4">
        <v>5614</v>
      </c>
      <c r="B1337" s="4" t="s">
        <v>49</v>
      </c>
      <c r="C1337" s="4" t="s">
        <v>45</v>
      </c>
      <c r="D1337" s="4">
        <f>VLOOKUP(A1337,Orders!$A:$E,5,FALSE)</f>
        <v>6</v>
      </c>
      <c r="E1337" s="4">
        <v>1142</v>
      </c>
      <c r="F1337" s="4">
        <v>15</v>
      </c>
      <c r="G1337" s="10">
        <f t="shared" si="20"/>
        <v>76.13333333333334</v>
      </c>
      <c r="H1337" s="4">
        <v>2</v>
      </c>
    </row>
    <row r="1338" spans="1:8" x14ac:dyDescent="0.2">
      <c r="A1338" s="4">
        <v>5628</v>
      </c>
      <c r="B1338" s="4" t="s">
        <v>49</v>
      </c>
      <c r="C1338" s="4" t="s">
        <v>45</v>
      </c>
      <c r="D1338" s="4">
        <f>VLOOKUP(A1338,Orders!$A:$E,5,FALSE)</f>
        <v>9</v>
      </c>
      <c r="E1338" s="4">
        <v>992</v>
      </c>
      <c r="F1338" s="4">
        <v>12</v>
      </c>
      <c r="G1338" s="10">
        <f t="shared" si="20"/>
        <v>82.666666666666671</v>
      </c>
      <c r="H1338" s="4">
        <v>3</v>
      </c>
    </row>
    <row r="1339" spans="1:8" x14ac:dyDescent="0.2">
      <c r="A1339" s="4">
        <v>5648</v>
      </c>
      <c r="B1339" s="4" t="s">
        <v>49</v>
      </c>
      <c r="C1339" s="4" t="s">
        <v>45</v>
      </c>
      <c r="D1339" s="4">
        <f>VLOOKUP(A1339,Orders!$A:$E,5,FALSE)</f>
        <v>9</v>
      </c>
      <c r="E1339" s="4">
        <v>428</v>
      </c>
      <c r="F1339" s="4">
        <v>17</v>
      </c>
      <c r="G1339" s="10">
        <f t="shared" si="20"/>
        <v>25.176470588235293</v>
      </c>
      <c r="H1339" s="4">
        <v>2</v>
      </c>
    </row>
    <row r="1340" spans="1:8" x14ac:dyDescent="0.2">
      <c r="A1340" s="4">
        <v>5678</v>
      </c>
      <c r="B1340" s="4" t="s">
        <v>49</v>
      </c>
      <c r="C1340" s="4" t="s">
        <v>45</v>
      </c>
      <c r="D1340" s="4">
        <f>VLOOKUP(A1340,Orders!$A:$E,5,FALSE)</f>
        <v>3</v>
      </c>
      <c r="E1340" s="4">
        <v>778</v>
      </c>
      <c r="F1340" s="4">
        <v>17</v>
      </c>
      <c r="G1340" s="10">
        <f t="shared" si="20"/>
        <v>45.764705882352942</v>
      </c>
      <c r="H1340" s="4">
        <v>2</v>
      </c>
    </row>
    <row r="1341" spans="1:8" x14ac:dyDescent="0.2">
      <c r="A1341" s="4">
        <v>5684</v>
      </c>
      <c r="B1341" s="4" t="s">
        <v>49</v>
      </c>
      <c r="C1341" s="4" t="s">
        <v>45</v>
      </c>
      <c r="D1341" s="4">
        <f>VLOOKUP(A1341,Orders!$A:$E,5,FALSE)</f>
        <v>9</v>
      </c>
      <c r="E1341" s="4">
        <v>1802</v>
      </c>
      <c r="F1341" s="4">
        <v>22</v>
      </c>
      <c r="G1341" s="10">
        <f t="shared" si="20"/>
        <v>81.909090909090907</v>
      </c>
      <c r="H1341" s="4">
        <v>1</v>
      </c>
    </row>
    <row r="1342" spans="1:8" x14ac:dyDescent="0.2">
      <c r="A1342" s="4">
        <v>5693</v>
      </c>
      <c r="B1342" s="4" t="s">
        <v>49</v>
      </c>
      <c r="C1342" s="4" t="s">
        <v>45</v>
      </c>
      <c r="D1342" s="4">
        <f>VLOOKUP(A1342,Orders!$A:$E,5,FALSE)</f>
        <v>9</v>
      </c>
      <c r="E1342" s="4">
        <v>1264</v>
      </c>
      <c r="F1342" s="4">
        <v>11</v>
      </c>
      <c r="G1342" s="10">
        <f t="shared" si="20"/>
        <v>114.90909090909091</v>
      </c>
      <c r="H1342" s="4">
        <v>1</v>
      </c>
    </row>
    <row r="1343" spans="1:8" x14ac:dyDescent="0.2">
      <c r="A1343" s="4">
        <v>5711</v>
      </c>
      <c r="B1343" s="4" t="s">
        <v>49</v>
      </c>
      <c r="C1343" s="4" t="s">
        <v>45</v>
      </c>
      <c r="D1343" s="4">
        <f>VLOOKUP(A1343,Orders!$A:$E,5,FALSE)</f>
        <v>5</v>
      </c>
      <c r="E1343" s="4">
        <v>1170</v>
      </c>
      <c r="F1343" s="4">
        <v>6</v>
      </c>
      <c r="G1343" s="10">
        <f t="shared" si="20"/>
        <v>195</v>
      </c>
      <c r="H1343" s="4">
        <v>2</v>
      </c>
    </row>
    <row r="1344" spans="1:8" x14ac:dyDescent="0.2">
      <c r="A1344" s="4">
        <v>5712</v>
      </c>
      <c r="B1344" s="4" t="s">
        <v>49</v>
      </c>
      <c r="C1344" s="4" t="s">
        <v>45</v>
      </c>
      <c r="D1344" s="4">
        <f>VLOOKUP(A1344,Orders!$A:$E,5,FALSE)</f>
        <v>2</v>
      </c>
      <c r="E1344" s="4">
        <v>663</v>
      </c>
      <c r="F1344" s="4">
        <v>21</v>
      </c>
      <c r="G1344" s="10">
        <f t="shared" si="20"/>
        <v>31.571428571428573</v>
      </c>
      <c r="H1344" s="4">
        <v>3</v>
      </c>
    </row>
    <row r="1345" spans="1:8" x14ac:dyDescent="0.2">
      <c r="A1345" s="4">
        <v>5726</v>
      </c>
      <c r="B1345" s="4" t="s">
        <v>49</v>
      </c>
      <c r="C1345" s="4" t="s">
        <v>45</v>
      </c>
      <c r="D1345" s="4">
        <f>VLOOKUP(A1345,Orders!$A:$E,5,FALSE)</f>
        <v>4</v>
      </c>
      <c r="E1345" s="4">
        <v>384</v>
      </c>
      <c r="F1345" s="4">
        <v>12</v>
      </c>
      <c r="G1345" s="10">
        <f t="shared" si="20"/>
        <v>32</v>
      </c>
      <c r="H1345" s="4">
        <v>3</v>
      </c>
    </row>
    <row r="1346" spans="1:8" x14ac:dyDescent="0.2">
      <c r="A1346" s="4">
        <v>5754</v>
      </c>
      <c r="B1346" s="4" t="s">
        <v>49</v>
      </c>
      <c r="C1346" s="4" t="s">
        <v>45</v>
      </c>
      <c r="D1346" s="4">
        <f>VLOOKUP(A1346,Orders!$A:$E,5,FALSE)</f>
        <v>9</v>
      </c>
      <c r="E1346" s="4">
        <v>131</v>
      </c>
      <c r="F1346" s="4">
        <v>22</v>
      </c>
      <c r="G1346" s="10">
        <f t="shared" ref="G1346:G1409" si="21">E1346/F1346</f>
        <v>5.9545454545454541</v>
      </c>
      <c r="H1346" s="4">
        <v>3</v>
      </c>
    </row>
    <row r="1347" spans="1:8" x14ac:dyDescent="0.2">
      <c r="A1347" s="4">
        <v>5758</v>
      </c>
      <c r="B1347" s="4" t="s">
        <v>49</v>
      </c>
      <c r="C1347" s="4" t="s">
        <v>45</v>
      </c>
      <c r="D1347" s="4">
        <f>VLOOKUP(A1347,Orders!$A:$E,5,FALSE)</f>
        <v>5</v>
      </c>
      <c r="E1347" s="4">
        <v>820</v>
      </c>
      <c r="F1347" s="4">
        <v>21</v>
      </c>
      <c r="G1347" s="10">
        <f t="shared" si="21"/>
        <v>39.047619047619051</v>
      </c>
      <c r="H1347" s="4">
        <v>1</v>
      </c>
    </row>
    <row r="1348" spans="1:8" x14ac:dyDescent="0.2">
      <c r="A1348" s="4">
        <v>5765</v>
      </c>
      <c r="B1348" s="4" t="s">
        <v>49</v>
      </c>
      <c r="C1348" s="4" t="s">
        <v>45</v>
      </c>
      <c r="D1348" s="4">
        <f>VLOOKUP(A1348,Orders!$A:$E,5,FALSE)</f>
        <v>8</v>
      </c>
      <c r="E1348" s="4">
        <v>1358</v>
      </c>
      <c r="F1348" s="4">
        <v>2</v>
      </c>
      <c r="G1348" s="10">
        <f t="shared" si="21"/>
        <v>679</v>
      </c>
      <c r="H1348" s="4">
        <v>2</v>
      </c>
    </row>
    <row r="1349" spans="1:8" x14ac:dyDescent="0.2">
      <c r="A1349" s="4">
        <v>5805</v>
      </c>
      <c r="B1349" s="4" t="s">
        <v>49</v>
      </c>
      <c r="C1349" s="4" t="s">
        <v>45</v>
      </c>
      <c r="D1349" s="4">
        <f>VLOOKUP(A1349,Orders!$A:$E,5,FALSE)</f>
        <v>8</v>
      </c>
      <c r="E1349" s="4">
        <v>787</v>
      </c>
      <c r="F1349" s="4">
        <v>8</v>
      </c>
      <c r="G1349" s="10">
        <f t="shared" si="21"/>
        <v>98.375</v>
      </c>
      <c r="H1349" s="4">
        <v>2</v>
      </c>
    </row>
    <row r="1350" spans="1:8" x14ac:dyDescent="0.2">
      <c r="A1350" s="4">
        <v>5810</v>
      </c>
      <c r="B1350" s="4" t="s">
        <v>49</v>
      </c>
      <c r="C1350" s="4" t="s">
        <v>45</v>
      </c>
      <c r="D1350" s="4">
        <f>VLOOKUP(A1350,Orders!$A:$E,5,FALSE)</f>
        <v>4</v>
      </c>
      <c r="E1350" s="4">
        <v>75</v>
      </c>
      <c r="F1350" s="4">
        <v>14</v>
      </c>
      <c r="G1350" s="10">
        <f t="shared" si="21"/>
        <v>5.3571428571428568</v>
      </c>
      <c r="H1350" s="4">
        <v>1</v>
      </c>
    </row>
    <row r="1351" spans="1:8" x14ac:dyDescent="0.2">
      <c r="A1351" s="4">
        <v>5818</v>
      </c>
      <c r="B1351" s="4" t="s">
        <v>49</v>
      </c>
      <c r="C1351" s="4" t="s">
        <v>45</v>
      </c>
      <c r="D1351" s="4">
        <f>VLOOKUP(A1351,Orders!$A:$E,5,FALSE)</f>
        <v>6</v>
      </c>
      <c r="E1351" s="4">
        <v>1661</v>
      </c>
      <c r="F1351" s="4">
        <v>19</v>
      </c>
      <c r="G1351" s="10">
        <f t="shared" si="21"/>
        <v>87.421052631578945</v>
      </c>
      <c r="H1351" s="4">
        <v>3</v>
      </c>
    </row>
    <row r="1352" spans="1:8" x14ac:dyDescent="0.2">
      <c r="A1352" s="4">
        <v>5831</v>
      </c>
      <c r="B1352" s="4" t="s">
        <v>49</v>
      </c>
      <c r="C1352" s="4" t="s">
        <v>45</v>
      </c>
      <c r="D1352" s="4">
        <f>VLOOKUP(A1352,Orders!$A:$E,5,FALSE)</f>
        <v>4</v>
      </c>
      <c r="E1352" s="4">
        <v>1161</v>
      </c>
      <c r="F1352" s="4">
        <v>24</v>
      </c>
      <c r="G1352" s="10">
        <f t="shared" si="21"/>
        <v>48.375</v>
      </c>
      <c r="H1352" s="4">
        <v>2</v>
      </c>
    </row>
    <row r="1353" spans="1:8" x14ac:dyDescent="0.2">
      <c r="A1353" s="4">
        <v>5833</v>
      </c>
      <c r="B1353" s="4" t="s">
        <v>49</v>
      </c>
      <c r="C1353" s="4" t="s">
        <v>45</v>
      </c>
      <c r="D1353" s="4">
        <f>VLOOKUP(A1353,Orders!$A:$E,5,FALSE)</f>
        <v>9</v>
      </c>
      <c r="E1353" s="4">
        <v>841</v>
      </c>
      <c r="F1353" s="4">
        <v>18</v>
      </c>
      <c r="G1353" s="10">
        <f t="shared" si="21"/>
        <v>46.722222222222221</v>
      </c>
      <c r="H1353" s="4">
        <v>1</v>
      </c>
    </row>
    <row r="1354" spans="1:8" x14ac:dyDescent="0.2">
      <c r="A1354" s="4">
        <v>5853</v>
      </c>
      <c r="B1354" s="4" t="s">
        <v>49</v>
      </c>
      <c r="C1354" s="4" t="s">
        <v>45</v>
      </c>
      <c r="D1354" s="4">
        <f>VLOOKUP(A1354,Orders!$A:$E,5,FALSE)</f>
        <v>7</v>
      </c>
      <c r="E1354" s="4">
        <v>1603</v>
      </c>
      <c r="F1354" s="4">
        <v>4</v>
      </c>
      <c r="G1354" s="10">
        <f t="shared" si="21"/>
        <v>400.75</v>
      </c>
      <c r="H1354" s="4">
        <v>2</v>
      </c>
    </row>
    <row r="1355" spans="1:8" x14ac:dyDescent="0.2">
      <c r="A1355" s="4">
        <v>5856</v>
      </c>
      <c r="B1355" s="4" t="s">
        <v>49</v>
      </c>
      <c r="C1355" s="4" t="s">
        <v>45</v>
      </c>
      <c r="D1355" s="4">
        <f>VLOOKUP(A1355,Orders!$A:$E,5,FALSE)</f>
        <v>4</v>
      </c>
      <c r="E1355" s="4">
        <v>1351</v>
      </c>
      <c r="F1355" s="4">
        <v>12</v>
      </c>
      <c r="G1355" s="10">
        <f t="shared" si="21"/>
        <v>112.58333333333333</v>
      </c>
      <c r="H1355" s="4">
        <v>2</v>
      </c>
    </row>
    <row r="1356" spans="1:8" x14ac:dyDescent="0.2">
      <c r="A1356" s="4">
        <v>5876</v>
      </c>
      <c r="B1356" s="4" t="s">
        <v>49</v>
      </c>
      <c r="C1356" s="4" t="s">
        <v>45</v>
      </c>
      <c r="D1356" s="4">
        <f>VLOOKUP(A1356,Orders!$A:$E,5,FALSE)</f>
        <v>4</v>
      </c>
      <c r="E1356" s="4">
        <v>427</v>
      </c>
      <c r="F1356" s="4">
        <v>10</v>
      </c>
      <c r="G1356" s="10">
        <f t="shared" si="21"/>
        <v>42.7</v>
      </c>
      <c r="H1356" s="4">
        <v>1</v>
      </c>
    </row>
    <row r="1357" spans="1:8" x14ac:dyDescent="0.2">
      <c r="A1357" s="4">
        <v>5889</v>
      </c>
      <c r="B1357" s="4" t="s">
        <v>49</v>
      </c>
      <c r="C1357" s="4" t="s">
        <v>45</v>
      </c>
      <c r="D1357" s="4">
        <f>VLOOKUP(A1357,Orders!$A:$E,5,FALSE)</f>
        <v>8</v>
      </c>
      <c r="E1357" s="4">
        <v>275</v>
      </c>
      <c r="F1357" s="4">
        <v>5</v>
      </c>
      <c r="G1357" s="10">
        <f t="shared" si="21"/>
        <v>55</v>
      </c>
      <c r="H1357" s="4">
        <v>1</v>
      </c>
    </row>
    <row r="1358" spans="1:8" x14ac:dyDescent="0.2">
      <c r="A1358" s="4">
        <v>5928</v>
      </c>
      <c r="B1358" s="4" t="s">
        <v>49</v>
      </c>
      <c r="C1358" s="4" t="s">
        <v>45</v>
      </c>
      <c r="D1358" s="4">
        <f>VLOOKUP(A1358,Orders!$A:$E,5,FALSE)</f>
        <v>9</v>
      </c>
      <c r="E1358" s="4">
        <v>1103</v>
      </c>
      <c r="F1358" s="4">
        <v>17</v>
      </c>
      <c r="G1358" s="10">
        <f t="shared" si="21"/>
        <v>64.882352941176464</v>
      </c>
      <c r="H1358" s="4">
        <v>3</v>
      </c>
    </row>
    <row r="1359" spans="1:8" x14ac:dyDescent="0.2">
      <c r="A1359" s="4">
        <v>5930</v>
      </c>
      <c r="B1359" s="4" t="s">
        <v>49</v>
      </c>
      <c r="C1359" s="4" t="s">
        <v>45</v>
      </c>
      <c r="D1359" s="4">
        <f>VLOOKUP(A1359,Orders!$A:$E,5,FALSE)</f>
        <v>10</v>
      </c>
      <c r="E1359" s="4">
        <v>1559</v>
      </c>
      <c r="F1359" s="4">
        <v>10</v>
      </c>
      <c r="G1359" s="10">
        <f t="shared" si="21"/>
        <v>155.9</v>
      </c>
      <c r="H1359" s="4">
        <v>3</v>
      </c>
    </row>
    <row r="1360" spans="1:8" x14ac:dyDescent="0.2">
      <c r="A1360" s="4">
        <v>5960</v>
      </c>
      <c r="B1360" s="4" t="s">
        <v>49</v>
      </c>
      <c r="C1360" s="4" t="s">
        <v>45</v>
      </c>
      <c r="D1360" s="4">
        <f>VLOOKUP(A1360,Orders!$A:$E,5,FALSE)</f>
        <v>5</v>
      </c>
      <c r="E1360" s="4">
        <v>1631</v>
      </c>
      <c r="F1360" s="4">
        <v>4</v>
      </c>
      <c r="G1360" s="10">
        <f t="shared" si="21"/>
        <v>407.75</v>
      </c>
      <c r="H1360" s="4">
        <v>1</v>
      </c>
    </row>
    <row r="1361" spans="1:8" x14ac:dyDescent="0.2">
      <c r="A1361" s="4">
        <v>5963</v>
      </c>
      <c r="B1361" s="4" t="s">
        <v>49</v>
      </c>
      <c r="C1361" s="4" t="s">
        <v>45</v>
      </c>
      <c r="D1361" s="4">
        <f>VLOOKUP(A1361,Orders!$A:$E,5,FALSE)</f>
        <v>8</v>
      </c>
      <c r="E1361" s="4">
        <v>1977</v>
      </c>
      <c r="F1361" s="4">
        <v>10</v>
      </c>
      <c r="G1361" s="10">
        <f t="shared" si="21"/>
        <v>197.7</v>
      </c>
      <c r="H1361" s="4">
        <v>3</v>
      </c>
    </row>
    <row r="1362" spans="1:8" x14ac:dyDescent="0.2">
      <c r="A1362" s="4">
        <v>5971</v>
      </c>
      <c r="B1362" s="4" t="s">
        <v>49</v>
      </c>
      <c r="C1362" s="4" t="s">
        <v>45</v>
      </c>
      <c r="D1362" s="4">
        <f>VLOOKUP(A1362,Orders!$A:$E,5,FALSE)</f>
        <v>7</v>
      </c>
      <c r="E1362" s="4">
        <v>1540</v>
      </c>
      <c r="F1362" s="4">
        <v>14</v>
      </c>
      <c r="G1362" s="10">
        <f t="shared" si="21"/>
        <v>110</v>
      </c>
      <c r="H1362" s="4">
        <v>2</v>
      </c>
    </row>
    <row r="1363" spans="1:8" x14ac:dyDescent="0.2">
      <c r="A1363" s="4">
        <v>6015</v>
      </c>
      <c r="B1363" s="4" t="s">
        <v>49</v>
      </c>
      <c r="C1363" s="4" t="s">
        <v>45</v>
      </c>
      <c r="D1363" s="4">
        <f>VLOOKUP(A1363,Orders!$A:$E,5,FALSE)</f>
        <v>10</v>
      </c>
      <c r="E1363" s="4">
        <v>1841</v>
      </c>
      <c r="F1363" s="4">
        <v>18</v>
      </c>
      <c r="G1363" s="10">
        <f t="shared" si="21"/>
        <v>102.27777777777777</v>
      </c>
      <c r="H1363" s="4">
        <v>3</v>
      </c>
    </row>
    <row r="1364" spans="1:8" x14ac:dyDescent="0.2">
      <c r="A1364" s="4">
        <v>6017</v>
      </c>
      <c r="B1364" s="4" t="s">
        <v>49</v>
      </c>
      <c r="C1364" s="4" t="s">
        <v>45</v>
      </c>
      <c r="D1364" s="4">
        <f>VLOOKUP(A1364,Orders!$A:$E,5,FALSE)</f>
        <v>9</v>
      </c>
      <c r="E1364" s="4">
        <v>111</v>
      </c>
      <c r="F1364" s="4">
        <v>11</v>
      </c>
      <c r="G1364" s="10">
        <f t="shared" si="21"/>
        <v>10.090909090909092</v>
      </c>
      <c r="H1364" s="4">
        <v>2</v>
      </c>
    </row>
    <row r="1365" spans="1:8" x14ac:dyDescent="0.2">
      <c r="A1365" s="4">
        <v>6025</v>
      </c>
      <c r="B1365" s="4" t="s">
        <v>49</v>
      </c>
      <c r="C1365" s="4" t="s">
        <v>45</v>
      </c>
      <c r="D1365" s="4">
        <f>VLOOKUP(A1365,Orders!$A:$E,5,FALSE)</f>
        <v>7</v>
      </c>
      <c r="E1365" s="4">
        <v>53</v>
      </c>
      <c r="F1365" s="4">
        <v>18</v>
      </c>
      <c r="G1365" s="10">
        <f t="shared" si="21"/>
        <v>2.9444444444444446</v>
      </c>
      <c r="H1365" s="4">
        <v>3</v>
      </c>
    </row>
    <row r="1366" spans="1:8" x14ac:dyDescent="0.2">
      <c r="A1366" s="4">
        <v>6032</v>
      </c>
      <c r="B1366" s="4" t="s">
        <v>49</v>
      </c>
      <c r="C1366" s="4" t="s">
        <v>45</v>
      </c>
      <c r="D1366" s="4">
        <f>VLOOKUP(A1366,Orders!$A:$E,5,FALSE)</f>
        <v>9</v>
      </c>
      <c r="E1366" s="4">
        <v>351</v>
      </c>
      <c r="F1366" s="4">
        <v>15</v>
      </c>
      <c r="G1366" s="10">
        <f t="shared" si="21"/>
        <v>23.4</v>
      </c>
      <c r="H1366" s="4">
        <v>1</v>
      </c>
    </row>
    <row r="1367" spans="1:8" x14ac:dyDescent="0.2">
      <c r="A1367" s="4">
        <v>6059</v>
      </c>
      <c r="B1367" s="4" t="s">
        <v>49</v>
      </c>
      <c r="C1367" s="4" t="s">
        <v>45</v>
      </c>
      <c r="D1367" s="4">
        <f>VLOOKUP(A1367,Orders!$A:$E,5,FALSE)</f>
        <v>9</v>
      </c>
      <c r="E1367" s="4">
        <v>66</v>
      </c>
      <c r="F1367" s="4">
        <v>2</v>
      </c>
      <c r="G1367" s="10">
        <f t="shared" si="21"/>
        <v>33</v>
      </c>
      <c r="H1367" s="4">
        <v>2</v>
      </c>
    </row>
    <row r="1368" spans="1:8" x14ac:dyDescent="0.2">
      <c r="A1368" s="4">
        <v>6066</v>
      </c>
      <c r="B1368" s="4" t="s">
        <v>49</v>
      </c>
      <c r="C1368" s="4" t="s">
        <v>45</v>
      </c>
      <c r="D1368" s="4">
        <f>VLOOKUP(A1368,Orders!$A:$E,5,FALSE)</f>
        <v>4</v>
      </c>
      <c r="E1368" s="4">
        <v>210</v>
      </c>
      <c r="F1368" s="4">
        <v>23</v>
      </c>
      <c r="G1368" s="10">
        <f t="shared" si="21"/>
        <v>9.1304347826086953</v>
      </c>
      <c r="H1368" s="4">
        <v>2</v>
      </c>
    </row>
    <row r="1369" spans="1:8" x14ac:dyDescent="0.2">
      <c r="A1369" s="4">
        <v>6090</v>
      </c>
      <c r="B1369" s="4" t="s">
        <v>49</v>
      </c>
      <c r="C1369" s="4" t="s">
        <v>45</v>
      </c>
      <c r="D1369" s="4">
        <f>VLOOKUP(A1369,Orders!$A:$E,5,FALSE)</f>
        <v>3</v>
      </c>
      <c r="E1369" s="4">
        <v>1378</v>
      </c>
      <c r="F1369" s="4">
        <v>8</v>
      </c>
      <c r="G1369" s="10">
        <f t="shared" si="21"/>
        <v>172.25</v>
      </c>
      <c r="H1369" s="4">
        <v>3</v>
      </c>
    </row>
    <row r="1370" spans="1:8" x14ac:dyDescent="0.2">
      <c r="A1370" s="4">
        <v>6105</v>
      </c>
      <c r="B1370" s="4" t="s">
        <v>49</v>
      </c>
      <c r="C1370" s="4" t="s">
        <v>45</v>
      </c>
      <c r="D1370" s="4">
        <f>VLOOKUP(A1370,Orders!$A:$E,5,FALSE)</f>
        <v>3</v>
      </c>
      <c r="E1370" s="4">
        <v>61</v>
      </c>
      <c r="F1370" s="4">
        <v>4</v>
      </c>
      <c r="G1370" s="10">
        <f t="shared" si="21"/>
        <v>15.25</v>
      </c>
      <c r="H1370" s="4">
        <v>3</v>
      </c>
    </row>
    <row r="1371" spans="1:8" x14ac:dyDescent="0.2">
      <c r="A1371" s="4">
        <v>6115</v>
      </c>
      <c r="B1371" s="4" t="s">
        <v>49</v>
      </c>
      <c r="C1371" s="4" t="s">
        <v>45</v>
      </c>
      <c r="D1371" s="4">
        <f>VLOOKUP(A1371,Orders!$A:$E,5,FALSE)</f>
        <v>6</v>
      </c>
      <c r="E1371" s="4">
        <v>1574</v>
      </c>
      <c r="F1371" s="4">
        <v>9</v>
      </c>
      <c r="G1371" s="10">
        <f t="shared" si="21"/>
        <v>174.88888888888889</v>
      </c>
      <c r="H1371" s="4">
        <v>3</v>
      </c>
    </row>
    <row r="1372" spans="1:8" x14ac:dyDescent="0.2">
      <c r="A1372" s="4">
        <v>6116</v>
      </c>
      <c r="B1372" s="4" t="s">
        <v>49</v>
      </c>
      <c r="C1372" s="4" t="s">
        <v>45</v>
      </c>
      <c r="D1372" s="4">
        <f>VLOOKUP(A1372,Orders!$A:$E,5,FALSE)</f>
        <v>9</v>
      </c>
      <c r="E1372" s="4">
        <v>486</v>
      </c>
      <c r="F1372" s="4">
        <v>15</v>
      </c>
      <c r="G1372" s="10">
        <f t="shared" si="21"/>
        <v>32.4</v>
      </c>
      <c r="H1372" s="4">
        <v>3</v>
      </c>
    </row>
    <row r="1373" spans="1:8" x14ac:dyDescent="0.2">
      <c r="A1373" s="4">
        <v>6136</v>
      </c>
      <c r="B1373" s="4" t="s">
        <v>49</v>
      </c>
      <c r="C1373" s="4" t="s">
        <v>45</v>
      </c>
      <c r="D1373" s="4">
        <f>VLOOKUP(A1373,Orders!$A:$E,5,FALSE)</f>
        <v>4</v>
      </c>
      <c r="E1373" s="4">
        <v>335</v>
      </c>
      <c r="F1373" s="4">
        <v>24</v>
      </c>
      <c r="G1373" s="10">
        <f t="shared" si="21"/>
        <v>13.958333333333334</v>
      </c>
      <c r="H1373" s="4">
        <v>1</v>
      </c>
    </row>
    <row r="1374" spans="1:8" x14ac:dyDescent="0.2">
      <c r="A1374" s="4">
        <v>6142</v>
      </c>
      <c r="B1374" s="4" t="s">
        <v>49</v>
      </c>
      <c r="C1374" s="4" t="s">
        <v>45</v>
      </c>
      <c r="D1374" s="4">
        <f>VLOOKUP(A1374,Orders!$A:$E,5,FALSE)</f>
        <v>4</v>
      </c>
      <c r="E1374" s="4">
        <v>342</v>
      </c>
      <c r="F1374" s="4">
        <v>21</v>
      </c>
      <c r="G1374" s="10">
        <f t="shared" si="21"/>
        <v>16.285714285714285</v>
      </c>
      <c r="H1374" s="4">
        <v>3</v>
      </c>
    </row>
    <row r="1375" spans="1:8" x14ac:dyDescent="0.2">
      <c r="A1375" s="4">
        <v>6187</v>
      </c>
      <c r="B1375" s="4" t="s">
        <v>49</v>
      </c>
      <c r="C1375" s="4" t="s">
        <v>45</v>
      </c>
      <c r="D1375" s="4">
        <f>VLOOKUP(A1375,Orders!$A:$E,5,FALSE)</f>
        <v>3</v>
      </c>
      <c r="E1375" s="4">
        <v>629</v>
      </c>
      <c r="F1375" s="4">
        <v>7</v>
      </c>
      <c r="G1375" s="10">
        <f t="shared" si="21"/>
        <v>89.857142857142861</v>
      </c>
      <c r="H1375" s="4">
        <v>1</v>
      </c>
    </row>
    <row r="1376" spans="1:8" x14ac:dyDescent="0.2">
      <c r="A1376" s="4">
        <v>6189</v>
      </c>
      <c r="B1376" s="4" t="s">
        <v>49</v>
      </c>
      <c r="C1376" s="4" t="s">
        <v>45</v>
      </c>
      <c r="D1376" s="4">
        <f>VLOOKUP(A1376,Orders!$A:$E,5,FALSE)</f>
        <v>10</v>
      </c>
      <c r="E1376" s="4">
        <v>458</v>
      </c>
      <c r="F1376" s="4">
        <v>5</v>
      </c>
      <c r="G1376" s="10">
        <f t="shared" si="21"/>
        <v>91.6</v>
      </c>
      <c r="H1376" s="4">
        <v>2</v>
      </c>
    </row>
    <row r="1377" spans="1:8" x14ac:dyDescent="0.2">
      <c r="A1377" s="4">
        <v>6191</v>
      </c>
      <c r="B1377" s="4" t="s">
        <v>49</v>
      </c>
      <c r="C1377" s="4" t="s">
        <v>45</v>
      </c>
      <c r="D1377" s="4">
        <f>VLOOKUP(A1377,Orders!$A:$E,5,FALSE)</f>
        <v>10</v>
      </c>
      <c r="E1377" s="4">
        <v>340</v>
      </c>
      <c r="F1377" s="4">
        <v>13</v>
      </c>
      <c r="G1377" s="10">
        <f t="shared" si="21"/>
        <v>26.153846153846153</v>
      </c>
      <c r="H1377" s="4">
        <v>2</v>
      </c>
    </row>
    <row r="1378" spans="1:8" x14ac:dyDescent="0.2">
      <c r="A1378" s="4">
        <v>6298</v>
      </c>
      <c r="B1378" s="4" t="s">
        <v>49</v>
      </c>
      <c r="C1378" s="4" t="s">
        <v>45</v>
      </c>
      <c r="D1378" s="4">
        <f>VLOOKUP(A1378,Orders!$A:$E,5,FALSE)</f>
        <v>3</v>
      </c>
      <c r="E1378" s="4">
        <v>268</v>
      </c>
      <c r="F1378" s="4">
        <v>8</v>
      </c>
      <c r="G1378" s="10">
        <f t="shared" si="21"/>
        <v>33.5</v>
      </c>
      <c r="H1378" s="4">
        <v>1</v>
      </c>
    </row>
    <row r="1379" spans="1:8" x14ac:dyDescent="0.2">
      <c r="A1379" s="4">
        <v>6312</v>
      </c>
      <c r="B1379" s="4" t="s">
        <v>49</v>
      </c>
      <c r="C1379" s="4" t="s">
        <v>45</v>
      </c>
      <c r="D1379" s="4">
        <f>VLOOKUP(A1379,Orders!$A:$E,5,FALSE)</f>
        <v>10</v>
      </c>
      <c r="E1379" s="4">
        <v>79</v>
      </c>
      <c r="F1379" s="4">
        <v>12</v>
      </c>
      <c r="G1379" s="10">
        <f t="shared" si="21"/>
        <v>6.583333333333333</v>
      </c>
      <c r="H1379" s="4">
        <v>1</v>
      </c>
    </row>
    <row r="1380" spans="1:8" x14ac:dyDescent="0.2">
      <c r="A1380" s="4">
        <v>6331</v>
      </c>
      <c r="B1380" s="4" t="s">
        <v>49</v>
      </c>
      <c r="C1380" s="4" t="s">
        <v>45</v>
      </c>
      <c r="D1380" s="4">
        <f>VLOOKUP(A1380,Orders!$A:$E,5,FALSE)</f>
        <v>10</v>
      </c>
      <c r="E1380" s="4">
        <v>1302</v>
      </c>
      <c r="F1380" s="4">
        <v>19</v>
      </c>
      <c r="G1380" s="10">
        <f t="shared" si="21"/>
        <v>68.526315789473685</v>
      </c>
      <c r="H1380" s="4">
        <v>3</v>
      </c>
    </row>
    <row r="1381" spans="1:8" x14ac:dyDescent="0.2">
      <c r="A1381" s="4">
        <v>6336</v>
      </c>
      <c r="B1381" s="4" t="s">
        <v>49</v>
      </c>
      <c r="C1381" s="4" t="s">
        <v>45</v>
      </c>
      <c r="D1381" s="4">
        <f>VLOOKUP(A1381,Orders!$A:$E,5,FALSE)</f>
        <v>2</v>
      </c>
      <c r="E1381" s="4">
        <v>1617</v>
      </c>
      <c r="F1381" s="4">
        <v>4</v>
      </c>
      <c r="G1381" s="10">
        <f t="shared" si="21"/>
        <v>404.25</v>
      </c>
      <c r="H1381" s="4">
        <v>3</v>
      </c>
    </row>
    <row r="1382" spans="1:8" x14ac:dyDescent="0.2">
      <c r="A1382" s="4">
        <v>6344</v>
      </c>
      <c r="B1382" s="4" t="s">
        <v>49</v>
      </c>
      <c r="C1382" s="4" t="s">
        <v>45</v>
      </c>
      <c r="D1382" s="4">
        <f>VLOOKUP(A1382,Orders!$A:$E,5,FALSE)</f>
        <v>7</v>
      </c>
      <c r="E1382" s="4">
        <v>1185</v>
      </c>
      <c r="F1382" s="4">
        <v>3</v>
      </c>
      <c r="G1382" s="10">
        <f t="shared" si="21"/>
        <v>395</v>
      </c>
      <c r="H1382" s="4">
        <v>1</v>
      </c>
    </row>
    <row r="1383" spans="1:8" x14ac:dyDescent="0.2">
      <c r="A1383" s="4">
        <v>6350</v>
      </c>
      <c r="B1383" s="4" t="s">
        <v>49</v>
      </c>
      <c r="C1383" s="4" t="s">
        <v>45</v>
      </c>
      <c r="D1383" s="4">
        <f>VLOOKUP(A1383,Orders!$A:$E,5,FALSE)</f>
        <v>4</v>
      </c>
      <c r="E1383" s="4">
        <v>1720</v>
      </c>
      <c r="F1383" s="4">
        <v>9</v>
      </c>
      <c r="G1383" s="10">
        <f t="shared" si="21"/>
        <v>191.11111111111111</v>
      </c>
      <c r="H1383" s="4">
        <v>1</v>
      </c>
    </row>
    <row r="1384" spans="1:8" x14ac:dyDescent="0.2">
      <c r="A1384" s="4">
        <v>6376</v>
      </c>
      <c r="B1384" s="4" t="s">
        <v>49</v>
      </c>
      <c r="C1384" s="4" t="s">
        <v>45</v>
      </c>
      <c r="D1384" s="4">
        <f>VLOOKUP(A1384,Orders!$A:$E,5,FALSE)</f>
        <v>6</v>
      </c>
      <c r="E1384" s="4">
        <v>353</v>
      </c>
      <c r="F1384" s="4">
        <v>6</v>
      </c>
      <c r="G1384" s="10">
        <f t="shared" si="21"/>
        <v>58.833333333333336</v>
      </c>
      <c r="H1384" s="4">
        <v>2</v>
      </c>
    </row>
    <row r="1385" spans="1:8" x14ac:dyDescent="0.2">
      <c r="A1385" s="4">
        <v>6381</v>
      </c>
      <c r="B1385" s="4" t="s">
        <v>49</v>
      </c>
      <c r="C1385" s="4" t="s">
        <v>45</v>
      </c>
      <c r="D1385" s="4">
        <f>VLOOKUP(A1385,Orders!$A:$E,5,FALSE)</f>
        <v>4</v>
      </c>
      <c r="E1385" s="4">
        <v>1995</v>
      </c>
      <c r="F1385" s="4">
        <v>13</v>
      </c>
      <c r="G1385" s="10">
        <f t="shared" si="21"/>
        <v>153.46153846153845</v>
      </c>
      <c r="H1385" s="4">
        <v>2</v>
      </c>
    </row>
    <row r="1386" spans="1:8" x14ac:dyDescent="0.2">
      <c r="A1386" s="4">
        <v>6394</v>
      </c>
      <c r="B1386" s="4" t="s">
        <v>49</v>
      </c>
      <c r="C1386" s="4" t="s">
        <v>45</v>
      </c>
      <c r="D1386" s="4">
        <f>VLOOKUP(A1386,Orders!$A:$E,5,FALSE)</f>
        <v>9</v>
      </c>
      <c r="E1386" s="4">
        <v>326</v>
      </c>
      <c r="F1386" s="4">
        <v>2</v>
      </c>
      <c r="G1386" s="10">
        <f t="shared" si="21"/>
        <v>163</v>
      </c>
      <c r="H1386" s="4">
        <v>1</v>
      </c>
    </row>
    <row r="1387" spans="1:8" x14ac:dyDescent="0.2">
      <c r="A1387" s="4">
        <v>6401</v>
      </c>
      <c r="B1387" s="4" t="s">
        <v>49</v>
      </c>
      <c r="C1387" s="4" t="s">
        <v>45</v>
      </c>
      <c r="D1387" s="4">
        <f>VLOOKUP(A1387,Orders!$A:$E,5,FALSE)</f>
        <v>8</v>
      </c>
      <c r="E1387" s="4">
        <v>347</v>
      </c>
      <c r="F1387" s="4">
        <v>8</v>
      </c>
      <c r="G1387" s="10">
        <f t="shared" si="21"/>
        <v>43.375</v>
      </c>
      <c r="H1387" s="4">
        <v>3</v>
      </c>
    </row>
    <row r="1388" spans="1:8" x14ac:dyDescent="0.2">
      <c r="A1388" s="4">
        <v>6420</v>
      </c>
      <c r="B1388" s="4" t="s">
        <v>49</v>
      </c>
      <c r="C1388" s="4" t="s">
        <v>45</v>
      </c>
      <c r="D1388" s="4">
        <f>VLOOKUP(A1388,Orders!$A:$E,5,FALSE)</f>
        <v>5</v>
      </c>
      <c r="E1388" s="4">
        <v>270</v>
      </c>
      <c r="F1388" s="4">
        <v>17</v>
      </c>
      <c r="G1388" s="10">
        <f t="shared" si="21"/>
        <v>15.882352941176471</v>
      </c>
      <c r="H1388" s="4">
        <v>3</v>
      </c>
    </row>
    <row r="1389" spans="1:8" x14ac:dyDescent="0.2">
      <c r="A1389" s="4">
        <v>6432</v>
      </c>
      <c r="B1389" s="4" t="s">
        <v>49</v>
      </c>
      <c r="C1389" s="4" t="s">
        <v>45</v>
      </c>
      <c r="D1389" s="4">
        <f>VLOOKUP(A1389,Orders!$A:$E,5,FALSE)</f>
        <v>8</v>
      </c>
      <c r="E1389" s="4">
        <v>1262</v>
      </c>
      <c r="F1389" s="4">
        <v>23</v>
      </c>
      <c r="G1389" s="10">
        <f t="shared" si="21"/>
        <v>54.869565217391305</v>
      </c>
      <c r="H1389" s="4">
        <v>2</v>
      </c>
    </row>
    <row r="1390" spans="1:8" x14ac:dyDescent="0.2">
      <c r="A1390" s="4">
        <v>6467</v>
      </c>
      <c r="B1390" s="4" t="s">
        <v>49</v>
      </c>
      <c r="C1390" s="4" t="s">
        <v>45</v>
      </c>
      <c r="D1390" s="4">
        <f>VLOOKUP(A1390,Orders!$A:$E,5,FALSE)</f>
        <v>5</v>
      </c>
      <c r="E1390" s="4">
        <v>648</v>
      </c>
      <c r="F1390" s="4">
        <v>6</v>
      </c>
      <c r="G1390" s="10">
        <f t="shared" si="21"/>
        <v>108</v>
      </c>
      <c r="H1390" s="4">
        <v>1</v>
      </c>
    </row>
    <row r="1391" spans="1:8" x14ac:dyDescent="0.2">
      <c r="A1391" s="4">
        <v>6483</v>
      </c>
      <c r="B1391" s="4" t="s">
        <v>49</v>
      </c>
      <c r="C1391" s="4" t="s">
        <v>45</v>
      </c>
      <c r="D1391" s="4">
        <f>VLOOKUP(A1391,Orders!$A:$E,5,FALSE)</f>
        <v>3</v>
      </c>
      <c r="E1391" s="4">
        <v>909</v>
      </c>
      <c r="F1391" s="4">
        <v>2</v>
      </c>
      <c r="G1391" s="10">
        <f t="shared" si="21"/>
        <v>454.5</v>
      </c>
      <c r="H1391" s="4">
        <v>1</v>
      </c>
    </row>
    <row r="1392" spans="1:8" x14ac:dyDescent="0.2">
      <c r="A1392" s="4">
        <v>6489</v>
      </c>
      <c r="B1392" s="4" t="s">
        <v>49</v>
      </c>
      <c r="C1392" s="4" t="s">
        <v>45</v>
      </c>
      <c r="D1392" s="4">
        <f>VLOOKUP(A1392,Orders!$A:$E,5,FALSE)</f>
        <v>6</v>
      </c>
      <c r="E1392" s="4">
        <v>239</v>
      </c>
      <c r="F1392" s="4">
        <v>6</v>
      </c>
      <c r="G1392" s="10">
        <f t="shared" si="21"/>
        <v>39.833333333333336</v>
      </c>
      <c r="H1392" s="4">
        <v>3</v>
      </c>
    </row>
    <row r="1393" spans="1:8" x14ac:dyDescent="0.2">
      <c r="A1393" s="4">
        <v>6498</v>
      </c>
      <c r="B1393" s="4" t="s">
        <v>49</v>
      </c>
      <c r="C1393" s="4" t="s">
        <v>45</v>
      </c>
      <c r="D1393" s="4">
        <f>VLOOKUP(A1393,Orders!$A:$E,5,FALSE)</f>
        <v>2</v>
      </c>
      <c r="E1393" s="4">
        <v>892</v>
      </c>
      <c r="F1393" s="4">
        <v>24</v>
      </c>
      <c r="G1393" s="10">
        <f t="shared" si="21"/>
        <v>37.166666666666664</v>
      </c>
      <c r="H1393" s="4">
        <v>2</v>
      </c>
    </row>
    <row r="1394" spans="1:8" x14ac:dyDescent="0.2">
      <c r="A1394" s="4">
        <v>6499</v>
      </c>
      <c r="B1394" s="4" t="s">
        <v>49</v>
      </c>
      <c r="C1394" s="4" t="s">
        <v>45</v>
      </c>
      <c r="D1394" s="4">
        <f>VLOOKUP(A1394,Orders!$A:$E,5,FALSE)</f>
        <v>10</v>
      </c>
      <c r="E1394" s="4">
        <v>80</v>
      </c>
      <c r="F1394" s="4">
        <v>8</v>
      </c>
      <c r="G1394" s="10">
        <f t="shared" si="21"/>
        <v>10</v>
      </c>
      <c r="H1394" s="4">
        <v>1</v>
      </c>
    </row>
    <row r="1395" spans="1:8" x14ac:dyDescent="0.2">
      <c r="A1395" s="4">
        <v>5028</v>
      </c>
      <c r="B1395" s="4" t="s">
        <v>51</v>
      </c>
      <c r="C1395" s="4" t="s">
        <v>45</v>
      </c>
      <c r="D1395" s="4">
        <f>VLOOKUP(A1395,Orders!$A:$E,5,FALSE)</f>
        <v>8</v>
      </c>
      <c r="E1395" s="4">
        <v>669</v>
      </c>
      <c r="F1395" s="4">
        <v>10</v>
      </c>
      <c r="G1395" s="10">
        <f t="shared" si="21"/>
        <v>66.900000000000006</v>
      </c>
      <c r="H1395" s="4">
        <v>1</v>
      </c>
    </row>
    <row r="1396" spans="1:8" x14ac:dyDescent="0.2">
      <c r="A1396" s="4">
        <v>5046</v>
      </c>
      <c r="B1396" s="4" t="s">
        <v>51</v>
      </c>
      <c r="C1396" s="4" t="s">
        <v>45</v>
      </c>
      <c r="D1396" s="4">
        <f>VLOOKUP(A1396,Orders!$A:$E,5,FALSE)</f>
        <v>7</v>
      </c>
      <c r="E1396" s="4">
        <v>1536</v>
      </c>
      <c r="F1396" s="4">
        <v>15</v>
      </c>
      <c r="G1396" s="10">
        <f t="shared" si="21"/>
        <v>102.4</v>
      </c>
      <c r="H1396" s="4">
        <v>2</v>
      </c>
    </row>
    <row r="1397" spans="1:8" x14ac:dyDescent="0.2">
      <c r="A1397" s="4">
        <v>5079</v>
      </c>
      <c r="B1397" s="4" t="s">
        <v>51</v>
      </c>
      <c r="C1397" s="4" t="s">
        <v>45</v>
      </c>
      <c r="D1397" s="4">
        <f>VLOOKUP(A1397,Orders!$A:$E,5,FALSE)</f>
        <v>7</v>
      </c>
      <c r="E1397" s="4">
        <v>1651</v>
      </c>
      <c r="F1397" s="4">
        <v>22</v>
      </c>
      <c r="G1397" s="10">
        <f t="shared" si="21"/>
        <v>75.045454545454547</v>
      </c>
      <c r="H1397" s="4">
        <v>2</v>
      </c>
    </row>
    <row r="1398" spans="1:8" x14ac:dyDescent="0.2">
      <c r="A1398" s="4">
        <v>5088</v>
      </c>
      <c r="B1398" s="4" t="s">
        <v>51</v>
      </c>
      <c r="C1398" s="4" t="s">
        <v>45</v>
      </c>
      <c r="D1398" s="4">
        <f>VLOOKUP(A1398,Orders!$A:$E,5,FALSE)</f>
        <v>3</v>
      </c>
      <c r="E1398" s="4">
        <v>553</v>
      </c>
      <c r="F1398" s="4">
        <v>3</v>
      </c>
      <c r="G1398" s="10">
        <f t="shared" si="21"/>
        <v>184.33333333333334</v>
      </c>
      <c r="H1398" s="4">
        <v>2</v>
      </c>
    </row>
    <row r="1399" spans="1:8" x14ac:dyDescent="0.2">
      <c r="A1399" s="4">
        <v>5122</v>
      </c>
      <c r="B1399" s="4" t="s">
        <v>51</v>
      </c>
      <c r="C1399" s="4" t="s">
        <v>45</v>
      </c>
      <c r="D1399" s="4">
        <f>VLOOKUP(A1399,Orders!$A:$E,5,FALSE)</f>
        <v>6</v>
      </c>
      <c r="E1399" s="4">
        <v>661</v>
      </c>
      <c r="F1399" s="4">
        <v>22</v>
      </c>
      <c r="G1399" s="10">
        <f t="shared" si="21"/>
        <v>30.045454545454547</v>
      </c>
      <c r="H1399" s="4">
        <v>1</v>
      </c>
    </row>
    <row r="1400" spans="1:8" x14ac:dyDescent="0.2">
      <c r="A1400" s="4">
        <v>5133</v>
      </c>
      <c r="B1400" s="4" t="s">
        <v>51</v>
      </c>
      <c r="C1400" s="4" t="s">
        <v>45</v>
      </c>
      <c r="D1400" s="4">
        <f>VLOOKUP(A1400,Orders!$A:$E,5,FALSE)</f>
        <v>6</v>
      </c>
      <c r="E1400" s="4">
        <v>451</v>
      </c>
      <c r="F1400" s="4">
        <v>12</v>
      </c>
      <c r="G1400" s="10">
        <f t="shared" si="21"/>
        <v>37.583333333333336</v>
      </c>
      <c r="H1400" s="4">
        <v>3</v>
      </c>
    </row>
    <row r="1401" spans="1:8" x14ac:dyDescent="0.2">
      <c r="A1401" s="4">
        <v>5151</v>
      </c>
      <c r="B1401" s="4" t="s">
        <v>51</v>
      </c>
      <c r="C1401" s="4" t="s">
        <v>45</v>
      </c>
      <c r="D1401" s="4">
        <f>VLOOKUP(A1401,Orders!$A:$E,5,FALSE)</f>
        <v>8</v>
      </c>
      <c r="E1401" s="4">
        <v>689</v>
      </c>
      <c r="F1401" s="4">
        <v>11</v>
      </c>
      <c r="G1401" s="10">
        <f t="shared" si="21"/>
        <v>62.636363636363633</v>
      </c>
      <c r="H1401" s="4">
        <v>3</v>
      </c>
    </row>
    <row r="1402" spans="1:8" x14ac:dyDescent="0.2">
      <c r="A1402" s="4">
        <v>5153</v>
      </c>
      <c r="B1402" s="4" t="s">
        <v>51</v>
      </c>
      <c r="C1402" s="4" t="s">
        <v>45</v>
      </c>
      <c r="D1402" s="4">
        <f>VLOOKUP(A1402,Orders!$A:$E,5,FALSE)</f>
        <v>2</v>
      </c>
      <c r="E1402" s="4">
        <v>747</v>
      </c>
      <c r="F1402" s="4">
        <v>11</v>
      </c>
      <c r="G1402" s="10">
        <f t="shared" si="21"/>
        <v>67.909090909090907</v>
      </c>
      <c r="H1402" s="4">
        <v>3</v>
      </c>
    </row>
    <row r="1403" spans="1:8" x14ac:dyDescent="0.2">
      <c r="A1403" s="4">
        <v>5156</v>
      </c>
      <c r="B1403" s="4" t="s">
        <v>51</v>
      </c>
      <c r="C1403" s="4" t="s">
        <v>45</v>
      </c>
      <c r="D1403" s="4">
        <f>VLOOKUP(A1403,Orders!$A:$E,5,FALSE)</f>
        <v>2</v>
      </c>
      <c r="E1403" s="4">
        <v>1443</v>
      </c>
      <c r="F1403" s="4">
        <v>10</v>
      </c>
      <c r="G1403" s="10">
        <f t="shared" si="21"/>
        <v>144.30000000000001</v>
      </c>
      <c r="H1403" s="4">
        <v>3</v>
      </c>
    </row>
    <row r="1404" spans="1:8" x14ac:dyDescent="0.2">
      <c r="A1404" s="4">
        <v>5165</v>
      </c>
      <c r="B1404" s="4" t="s">
        <v>51</v>
      </c>
      <c r="C1404" s="4" t="s">
        <v>45</v>
      </c>
      <c r="D1404" s="4">
        <f>VLOOKUP(A1404,Orders!$A:$E,5,FALSE)</f>
        <v>7</v>
      </c>
      <c r="E1404" s="4">
        <v>109</v>
      </c>
      <c r="F1404" s="4">
        <v>24</v>
      </c>
      <c r="G1404" s="10">
        <f t="shared" si="21"/>
        <v>4.541666666666667</v>
      </c>
      <c r="H1404" s="4">
        <v>3</v>
      </c>
    </row>
    <row r="1405" spans="1:8" x14ac:dyDescent="0.2">
      <c r="A1405" s="4">
        <v>5175</v>
      </c>
      <c r="B1405" s="4" t="s">
        <v>51</v>
      </c>
      <c r="C1405" s="4" t="s">
        <v>45</v>
      </c>
      <c r="D1405" s="4">
        <f>VLOOKUP(A1405,Orders!$A:$E,5,FALSE)</f>
        <v>4</v>
      </c>
      <c r="E1405" s="4">
        <v>1735</v>
      </c>
      <c r="F1405" s="4">
        <v>23</v>
      </c>
      <c r="G1405" s="10">
        <f t="shared" si="21"/>
        <v>75.434782608695656</v>
      </c>
      <c r="H1405" s="4">
        <v>3</v>
      </c>
    </row>
    <row r="1406" spans="1:8" x14ac:dyDescent="0.2">
      <c r="A1406" s="4">
        <v>5203</v>
      </c>
      <c r="B1406" s="4" t="s">
        <v>51</v>
      </c>
      <c r="C1406" s="4" t="s">
        <v>45</v>
      </c>
      <c r="D1406" s="4">
        <f>VLOOKUP(A1406,Orders!$A:$E,5,FALSE)</f>
        <v>8</v>
      </c>
      <c r="E1406" s="4">
        <v>989</v>
      </c>
      <c r="F1406" s="4">
        <v>9</v>
      </c>
      <c r="G1406" s="10">
        <f t="shared" si="21"/>
        <v>109.88888888888889</v>
      </c>
      <c r="H1406" s="4">
        <v>2</v>
      </c>
    </row>
    <row r="1407" spans="1:8" x14ac:dyDescent="0.2">
      <c r="A1407" s="4">
        <v>5220</v>
      </c>
      <c r="B1407" s="4" t="s">
        <v>51</v>
      </c>
      <c r="C1407" s="4" t="s">
        <v>45</v>
      </c>
      <c r="D1407" s="4">
        <f>VLOOKUP(A1407,Orders!$A:$E,5,FALSE)</f>
        <v>8</v>
      </c>
      <c r="E1407" s="4">
        <v>1113</v>
      </c>
      <c r="F1407" s="4">
        <v>4</v>
      </c>
      <c r="G1407" s="10">
        <f t="shared" si="21"/>
        <v>278.25</v>
      </c>
      <c r="H1407" s="4">
        <v>2</v>
      </c>
    </row>
    <row r="1408" spans="1:8" x14ac:dyDescent="0.2">
      <c r="A1408" s="4">
        <v>5233</v>
      </c>
      <c r="B1408" s="4" t="s">
        <v>51</v>
      </c>
      <c r="C1408" s="4" t="s">
        <v>45</v>
      </c>
      <c r="D1408" s="4">
        <f>VLOOKUP(A1408,Orders!$A:$E,5,FALSE)</f>
        <v>6</v>
      </c>
      <c r="E1408" s="4">
        <v>1599</v>
      </c>
      <c r="F1408" s="4">
        <v>3</v>
      </c>
      <c r="G1408" s="10">
        <f t="shared" si="21"/>
        <v>533</v>
      </c>
      <c r="H1408" s="4">
        <v>2</v>
      </c>
    </row>
    <row r="1409" spans="1:8" x14ac:dyDescent="0.2">
      <c r="A1409" s="4">
        <v>5239</v>
      </c>
      <c r="B1409" s="4" t="s">
        <v>51</v>
      </c>
      <c r="C1409" s="4" t="s">
        <v>45</v>
      </c>
      <c r="D1409" s="4">
        <f>VLOOKUP(A1409,Orders!$A:$E,5,FALSE)</f>
        <v>4</v>
      </c>
      <c r="E1409" s="4">
        <v>119</v>
      </c>
      <c r="F1409" s="4">
        <v>16</v>
      </c>
      <c r="G1409" s="10">
        <f t="shared" si="21"/>
        <v>7.4375</v>
      </c>
      <c r="H1409" s="4">
        <v>2</v>
      </c>
    </row>
    <row r="1410" spans="1:8" x14ac:dyDescent="0.2">
      <c r="A1410" s="4">
        <v>5249</v>
      </c>
      <c r="B1410" s="4" t="s">
        <v>51</v>
      </c>
      <c r="C1410" s="4" t="s">
        <v>45</v>
      </c>
      <c r="D1410" s="4">
        <f>VLOOKUP(A1410,Orders!$A:$E,5,FALSE)</f>
        <v>3</v>
      </c>
      <c r="E1410" s="4">
        <v>1848</v>
      </c>
      <c r="F1410" s="4">
        <v>10</v>
      </c>
      <c r="G1410" s="10">
        <f t="shared" ref="G1410:G1473" si="22">E1410/F1410</f>
        <v>184.8</v>
      </c>
      <c r="H1410" s="4">
        <v>2</v>
      </c>
    </row>
    <row r="1411" spans="1:8" x14ac:dyDescent="0.2">
      <c r="A1411" s="4">
        <v>5265</v>
      </c>
      <c r="B1411" s="4" t="s">
        <v>51</v>
      </c>
      <c r="C1411" s="4" t="s">
        <v>45</v>
      </c>
      <c r="D1411" s="4">
        <f>VLOOKUP(A1411,Orders!$A:$E,5,FALSE)</f>
        <v>10</v>
      </c>
      <c r="E1411" s="4">
        <v>1320</v>
      </c>
      <c r="F1411" s="4">
        <v>21</v>
      </c>
      <c r="G1411" s="10">
        <f t="shared" si="22"/>
        <v>62.857142857142854</v>
      </c>
      <c r="H1411" s="4">
        <v>2</v>
      </c>
    </row>
    <row r="1412" spans="1:8" x14ac:dyDescent="0.2">
      <c r="A1412" s="4">
        <v>5266</v>
      </c>
      <c r="B1412" s="4" t="s">
        <v>51</v>
      </c>
      <c r="C1412" s="4" t="s">
        <v>45</v>
      </c>
      <c r="D1412" s="4">
        <f>VLOOKUP(A1412,Orders!$A:$E,5,FALSE)</f>
        <v>10</v>
      </c>
      <c r="E1412" s="4">
        <v>1924</v>
      </c>
      <c r="F1412" s="4">
        <v>19</v>
      </c>
      <c r="G1412" s="10">
        <f t="shared" si="22"/>
        <v>101.26315789473684</v>
      </c>
      <c r="H1412" s="4">
        <v>1</v>
      </c>
    </row>
    <row r="1413" spans="1:8" x14ac:dyDescent="0.2">
      <c r="A1413" s="4">
        <v>5272</v>
      </c>
      <c r="B1413" s="4" t="s">
        <v>51</v>
      </c>
      <c r="C1413" s="4" t="s">
        <v>45</v>
      </c>
      <c r="D1413" s="4">
        <f>VLOOKUP(A1413,Orders!$A:$E,5,FALSE)</f>
        <v>3</v>
      </c>
      <c r="E1413" s="4">
        <v>80</v>
      </c>
      <c r="F1413" s="4">
        <v>6</v>
      </c>
      <c r="G1413" s="10">
        <f t="shared" si="22"/>
        <v>13.333333333333334</v>
      </c>
      <c r="H1413" s="4">
        <v>3</v>
      </c>
    </row>
    <row r="1414" spans="1:8" x14ac:dyDescent="0.2">
      <c r="A1414" s="4">
        <v>5278</v>
      </c>
      <c r="B1414" s="4" t="s">
        <v>51</v>
      </c>
      <c r="C1414" s="4" t="s">
        <v>45</v>
      </c>
      <c r="D1414" s="4">
        <f>VLOOKUP(A1414,Orders!$A:$E,5,FALSE)</f>
        <v>7</v>
      </c>
      <c r="E1414" s="4">
        <v>740</v>
      </c>
      <c r="F1414" s="4">
        <v>8</v>
      </c>
      <c r="G1414" s="10">
        <f t="shared" si="22"/>
        <v>92.5</v>
      </c>
      <c r="H1414" s="4">
        <v>2</v>
      </c>
    </row>
    <row r="1415" spans="1:8" x14ac:dyDescent="0.2">
      <c r="A1415" s="4">
        <v>5286</v>
      </c>
      <c r="B1415" s="4" t="s">
        <v>51</v>
      </c>
      <c r="C1415" s="4" t="s">
        <v>45</v>
      </c>
      <c r="D1415" s="4">
        <f>VLOOKUP(A1415,Orders!$A:$E,5,FALSE)</f>
        <v>3</v>
      </c>
      <c r="E1415" s="4">
        <v>406</v>
      </c>
      <c r="F1415" s="4">
        <v>22</v>
      </c>
      <c r="G1415" s="10">
        <f t="shared" si="22"/>
        <v>18.454545454545453</v>
      </c>
      <c r="H1415" s="4">
        <v>1</v>
      </c>
    </row>
    <row r="1416" spans="1:8" x14ac:dyDescent="0.2">
      <c r="A1416" s="4">
        <v>5298</v>
      </c>
      <c r="B1416" s="4" t="s">
        <v>51</v>
      </c>
      <c r="C1416" s="4" t="s">
        <v>45</v>
      </c>
      <c r="D1416" s="4">
        <f>VLOOKUP(A1416,Orders!$A:$E,5,FALSE)</f>
        <v>2</v>
      </c>
      <c r="E1416" s="4">
        <v>1785</v>
      </c>
      <c r="F1416" s="4">
        <v>14</v>
      </c>
      <c r="G1416" s="10">
        <f t="shared" si="22"/>
        <v>127.5</v>
      </c>
      <c r="H1416" s="4">
        <v>1</v>
      </c>
    </row>
    <row r="1417" spans="1:8" x14ac:dyDescent="0.2">
      <c r="A1417" s="4">
        <v>5303</v>
      </c>
      <c r="B1417" s="4" t="s">
        <v>51</v>
      </c>
      <c r="C1417" s="4" t="s">
        <v>45</v>
      </c>
      <c r="D1417" s="4">
        <f>VLOOKUP(A1417,Orders!$A:$E,5,FALSE)</f>
        <v>7</v>
      </c>
      <c r="E1417" s="4">
        <v>1632</v>
      </c>
      <c r="F1417" s="4">
        <v>5</v>
      </c>
      <c r="G1417" s="10">
        <f t="shared" si="22"/>
        <v>326.39999999999998</v>
      </c>
      <c r="H1417" s="4">
        <v>1</v>
      </c>
    </row>
    <row r="1418" spans="1:8" x14ac:dyDescent="0.2">
      <c r="A1418" s="4">
        <v>5336</v>
      </c>
      <c r="B1418" s="4" t="s">
        <v>51</v>
      </c>
      <c r="C1418" s="4" t="s">
        <v>45</v>
      </c>
      <c r="D1418" s="4">
        <f>VLOOKUP(A1418,Orders!$A:$E,5,FALSE)</f>
        <v>10</v>
      </c>
      <c r="E1418" s="4">
        <v>221</v>
      </c>
      <c r="F1418" s="4">
        <v>19</v>
      </c>
      <c r="G1418" s="10">
        <f t="shared" si="22"/>
        <v>11.631578947368421</v>
      </c>
      <c r="H1418" s="4">
        <v>1</v>
      </c>
    </row>
    <row r="1419" spans="1:8" x14ac:dyDescent="0.2">
      <c r="A1419" s="4">
        <v>5358</v>
      </c>
      <c r="B1419" s="4" t="s">
        <v>51</v>
      </c>
      <c r="C1419" s="4" t="s">
        <v>45</v>
      </c>
      <c r="D1419" s="4">
        <f>VLOOKUP(A1419,Orders!$A:$E,5,FALSE)</f>
        <v>6</v>
      </c>
      <c r="E1419" s="4">
        <v>31</v>
      </c>
      <c r="F1419" s="4">
        <v>14</v>
      </c>
      <c r="G1419" s="10">
        <f t="shared" si="22"/>
        <v>2.2142857142857144</v>
      </c>
      <c r="H1419" s="4">
        <v>1</v>
      </c>
    </row>
    <row r="1420" spans="1:8" x14ac:dyDescent="0.2">
      <c r="A1420" s="4">
        <v>5410</v>
      </c>
      <c r="B1420" s="4" t="s">
        <v>51</v>
      </c>
      <c r="C1420" s="4" t="s">
        <v>45</v>
      </c>
      <c r="D1420" s="4">
        <f>VLOOKUP(A1420,Orders!$A:$E,5,FALSE)</f>
        <v>9</v>
      </c>
      <c r="E1420" s="4">
        <v>52</v>
      </c>
      <c r="F1420" s="4">
        <v>10</v>
      </c>
      <c r="G1420" s="10">
        <f t="shared" si="22"/>
        <v>5.2</v>
      </c>
      <c r="H1420" s="4">
        <v>3</v>
      </c>
    </row>
    <row r="1421" spans="1:8" x14ac:dyDescent="0.2">
      <c r="A1421" s="4">
        <v>5423</v>
      </c>
      <c r="B1421" s="4" t="s">
        <v>51</v>
      </c>
      <c r="C1421" s="4" t="s">
        <v>45</v>
      </c>
      <c r="D1421" s="4">
        <f>VLOOKUP(A1421,Orders!$A:$E,5,FALSE)</f>
        <v>8</v>
      </c>
      <c r="E1421" s="4">
        <v>870</v>
      </c>
      <c r="F1421" s="4">
        <v>19</v>
      </c>
      <c r="G1421" s="10">
        <f t="shared" si="22"/>
        <v>45.789473684210527</v>
      </c>
      <c r="H1421" s="4">
        <v>2</v>
      </c>
    </row>
    <row r="1422" spans="1:8" x14ac:dyDescent="0.2">
      <c r="A1422" s="4">
        <v>5437</v>
      </c>
      <c r="B1422" s="4" t="s">
        <v>51</v>
      </c>
      <c r="C1422" s="4" t="s">
        <v>45</v>
      </c>
      <c r="D1422" s="4">
        <f>VLOOKUP(A1422,Orders!$A:$E,5,FALSE)</f>
        <v>7</v>
      </c>
      <c r="E1422" s="4">
        <v>459</v>
      </c>
      <c r="F1422" s="4">
        <v>16</v>
      </c>
      <c r="G1422" s="10">
        <f t="shared" si="22"/>
        <v>28.6875</v>
      </c>
      <c r="H1422" s="4">
        <v>3</v>
      </c>
    </row>
    <row r="1423" spans="1:8" x14ac:dyDescent="0.2">
      <c r="A1423" s="4">
        <v>5445</v>
      </c>
      <c r="B1423" s="4" t="s">
        <v>51</v>
      </c>
      <c r="C1423" s="4" t="s">
        <v>45</v>
      </c>
      <c r="D1423" s="4">
        <f>VLOOKUP(A1423,Orders!$A:$E,5,FALSE)</f>
        <v>8</v>
      </c>
      <c r="E1423" s="4">
        <v>1153</v>
      </c>
      <c r="F1423" s="4">
        <v>4</v>
      </c>
      <c r="G1423" s="10">
        <f t="shared" si="22"/>
        <v>288.25</v>
      </c>
      <c r="H1423" s="4">
        <v>3</v>
      </c>
    </row>
    <row r="1424" spans="1:8" x14ac:dyDescent="0.2">
      <c r="A1424" s="4">
        <v>5454</v>
      </c>
      <c r="B1424" s="4" t="s">
        <v>51</v>
      </c>
      <c r="C1424" s="4" t="s">
        <v>45</v>
      </c>
      <c r="D1424" s="4">
        <f>VLOOKUP(A1424,Orders!$A:$E,5,FALSE)</f>
        <v>6</v>
      </c>
      <c r="E1424" s="4">
        <v>679</v>
      </c>
      <c r="F1424" s="4">
        <v>6</v>
      </c>
      <c r="G1424" s="10">
        <f t="shared" si="22"/>
        <v>113.16666666666667</v>
      </c>
      <c r="H1424" s="4">
        <v>3</v>
      </c>
    </row>
    <row r="1425" spans="1:8" x14ac:dyDescent="0.2">
      <c r="A1425" s="4">
        <v>5472</v>
      </c>
      <c r="B1425" s="4" t="s">
        <v>51</v>
      </c>
      <c r="C1425" s="4" t="s">
        <v>45</v>
      </c>
      <c r="D1425" s="4">
        <f>VLOOKUP(A1425,Orders!$A:$E,5,FALSE)</f>
        <v>10</v>
      </c>
      <c r="E1425" s="4">
        <v>136</v>
      </c>
      <c r="F1425" s="4">
        <v>22</v>
      </c>
      <c r="G1425" s="10">
        <f t="shared" si="22"/>
        <v>6.1818181818181817</v>
      </c>
      <c r="H1425" s="4">
        <v>1</v>
      </c>
    </row>
    <row r="1426" spans="1:8" x14ac:dyDescent="0.2">
      <c r="A1426" s="4">
        <v>5478</v>
      </c>
      <c r="B1426" s="4" t="s">
        <v>51</v>
      </c>
      <c r="C1426" s="4" t="s">
        <v>45</v>
      </c>
      <c r="D1426" s="4">
        <f>VLOOKUP(A1426,Orders!$A:$E,5,FALSE)</f>
        <v>6</v>
      </c>
      <c r="E1426" s="4">
        <v>106</v>
      </c>
      <c r="F1426" s="4">
        <v>21</v>
      </c>
      <c r="G1426" s="10">
        <f t="shared" si="22"/>
        <v>5.0476190476190474</v>
      </c>
      <c r="H1426" s="4">
        <v>1</v>
      </c>
    </row>
    <row r="1427" spans="1:8" x14ac:dyDescent="0.2">
      <c r="A1427" s="4">
        <v>5480</v>
      </c>
      <c r="B1427" s="4" t="s">
        <v>51</v>
      </c>
      <c r="C1427" s="4" t="s">
        <v>45</v>
      </c>
      <c r="D1427" s="4">
        <f>VLOOKUP(A1427,Orders!$A:$E,5,FALSE)</f>
        <v>5</v>
      </c>
      <c r="E1427" s="4">
        <v>1491</v>
      </c>
      <c r="F1427" s="4">
        <v>3</v>
      </c>
      <c r="G1427" s="10">
        <f t="shared" si="22"/>
        <v>497</v>
      </c>
      <c r="H1427" s="4">
        <v>2</v>
      </c>
    </row>
    <row r="1428" spans="1:8" x14ac:dyDescent="0.2">
      <c r="A1428" s="4">
        <v>5481</v>
      </c>
      <c r="B1428" s="4" t="s">
        <v>51</v>
      </c>
      <c r="C1428" s="4" t="s">
        <v>45</v>
      </c>
      <c r="D1428" s="4">
        <f>VLOOKUP(A1428,Orders!$A:$E,5,FALSE)</f>
        <v>7</v>
      </c>
      <c r="E1428" s="4">
        <v>1194</v>
      </c>
      <c r="F1428" s="4">
        <v>18</v>
      </c>
      <c r="G1428" s="10">
        <f t="shared" si="22"/>
        <v>66.333333333333329</v>
      </c>
      <c r="H1428" s="4">
        <v>1</v>
      </c>
    </row>
    <row r="1429" spans="1:8" x14ac:dyDescent="0.2">
      <c r="A1429" s="4">
        <v>5482</v>
      </c>
      <c r="B1429" s="4" t="s">
        <v>51</v>
      </c>
      <c r="C1429" s="4" t="s">
        <v>45</v>
      </c>
      <c r="D1429" s="4">
        <f>VLOOKUP(A1429,Orders!$A:$E,5,FALSE)</f>
        <v>3</v>
      </c>
      <c r="E1429" s="4">
        <v>1390</v>
      </c>
      <c r="F1429" s="4">
        <v>2</v>
      </c>
      <c r="G1429" s="10">
        <f t="shared" si="22"/>
        <v>695</v>
      </c>
      <c r="H1429" s="4">
        <v>1</v>
      </c>
    </row>
    <row r="1430" spans="1:8" x14ac:dyDescent="0.2">
      <c r="A1430" s="4">
        <v>5508</v>
      </c>
      <c r="B1430" s="4" t="s">
        <v>51</v>
      </c>
      <c r="C1430" s="4" t="s">
        <v>45</v>
      </c>
      <c r="D1430" s="4">
        <f>VLOOKUP(A1430,Orders!$A:$E,5,FALSE)</f>
        <v>8</v>
      </c>
      <c r="E1430" s="4">
        <v>1549</v>
      </c>
      <c r="F1430" s="4">
        <v>10</v>
      </c>
      <c r="G1430" s="10">
        <f t="shared" si="22"/>
        <v>154.9</v>
      </c>
      <c r="H1430" s="4">
        <v>3</v>
      </c>
    </row>
    <row r="1431" spans="1:8" x14ac:dyDescent="0.2">
      <c r="A1431" s="4">
        <v>5520</v>
      </c>
      <c r="B1431" s="4" t="s">
        <v>51</v>
      </c>
      <c r="C1431" s="4" t="s">
        <v>45</v>
      </c>
      <c r="D1431" s="4">
        <f>VLOOKUP(A1431,Orders!$A:$E,5,FALSE)</f>
        <v>8</v>
      </c>
      <c r="E1431" s="4">
        <v>1462</v>
      </c>
      <c r="F1431" s="4">
        <v>6</v>
      </c>
      <c r="G1431" s="10">
        <f t="shared" si="22"/>
        <v>243.66666666666666</v>
      </c>
      <c r="H1431" s="4">
        <v>2</v>
      </c>
    </row>
    <row r="1432" spans="1:8" x14ac:dyDescent="0.2">
      <c r="A1432" s="4">
        <v>5530</v>
      </c>
      <c r="B1432" s="4" t="s">
        <v>51</v>
      </c>
      <c r="C1432" s="4" t="s">
        <v>45</v>
      </c>
      <c r="D1432" s="4">
        <f>VLOOKUP(A1432,Orders!$A:$E,5,FALSE)</f>
        <v>3</v>
      </c>
      <c r="E1432" s="4">
        <v>800</v>
      </c>
      <c r="F1432" s="4">
        <v>24</v>
      </c>
      <c r="G1432" s="10">
        <f t="shared" si="22"/>
        <v>33.333333333333336</v>
      </c>
      <c r="H1432" s="4">
        <v>2</v>
      </c>
    </row>
    <row r="1433" spans="1:8" x14ac:dyDescent="0.2">
      <c r="A1433" s="4">
        <v>5548</v>
      </c>
      <c r="B1433" s="4" t="s">
        <v>51</v>
      </c>
      <c r="C1433" s="4" t="s">
        <v>45</v>
      </c>
      <c r="D1433" s="4">
        <f>VLOOKUP(A1433,Orders!$A:$E,5,FALSE)</f>
        <v>2</v>
      </c>
      <c r="E1433" s="4">
        <v>1953</v>
      </c>
      <c r="F1433" s="4">
        <v>5</v>
      </c>
      <c r="G1433" s="10">
        <f t="shared" si="22"/>
        <v>390.6</v>
      </c>
      <c r="H1433" s="4">
        <v>3</v>
      </c>
    </row>
    <row r="1434" spans="1:8" x14ac:dyDescent="0.2">
      <c r="A1434" s="4">
        <v>5555</v>
      </c>
      <c r="B1434" s="4" t="s">
        <v>51</v>
      </c>
      <c r="C1434" s="4" t="s">
        <v>45</v>
      </c>
      <c r="D1434" s="4">
        <f>VLOOKUP(A1434,Orders!$A:$E,5,FALSE)</f>
        <v>5</v>
      </c>
      <c r="E1434" s="4">
        <v>792</v>
      </c>
      <c r="F1434" s="4">
        <v>4</v>
      </c>
      <c r="G1434" s="10">
        <f t="shared" si="22"/>
        <v>198</v>
      </c>
      <c r="H1434" s="4">
        <v>2</v>
      </c>
    </row>
    <row r="1435" spans="1:8" x14ac:dyDescent="0.2">
      <c r="A1435" s="4">
        <v>5557</v>
      </c>
      <c r="B1435" s="4" t="s">
        <v>51</v>
      </c>
      <c r="C1435" s="4" t="s">
        <v>45</v>
      </c>
      <c r="D1435" s="4">
        <f>VLOOKUP(A1435,Orders!$A:$E,5,FALSE)</f>
        <v>7</v>
      </c>
      <c r="E1435" s="4">
        <v>646</v>
      </c>
      <c r="F1435" s="4">
        <v>17</v>
      </c>
      <c r="G1435" s="10">
        <f t="shared" si="22"/>
        <v>38</v>
      </c>
      <c r="H1435" s="4">
        <v>2</v>
      </c>
    </row>
    <row r="1436" spans="1:8" x14ac:dyDescent="0.2">
      <c r="A1436" s="4">
        <v>5573</v>
      </c>
      <c r="B1436" s="4" t="s">
        <v>51</v>
      </c>
      <c r="C1436" s="4" t="s">
        <v>45</v>
      </c>
      <c r="D1436" s="4">
        <f>VLOOKUP(A1436,Orders!$A:$E,5,FALSE)</f>
        <v>2</v>
      </c>
      <c r="E1436" s="4">
        <v>589</v>
      </c>
      <c r="F1436" s="4">
        <v>8</v>
      </c>
      <c r="G1436" s="10">
        <f t="shared" si="22"/>
        <v>73.625</v>
      </c>
      <c r="H1436" s="4">
        <v>2</v>
      </c>
    </row>
    <row r="1437" spans="1:8" x14ac:dyDescent="0.2">
      <c r="A1437" s="4">
        <v>5590</v>
      </c>
      <c r="B1437" s="4" t="s">
        <v>51</v>
      </c>
      <c r="C1437" s="4" t="s">
        <v>45</v>
      </c>
      <c r="D1437" s="4">
        <f>VLOOKUP(A1437,Orders!$A:$E,5,FALSE)</f>
        <v>2</v>
      </c>
      <c r="E1437" s="4">
        <v>333</v>
      </c>
      <c r="F1437" s="4">
        <v>11</v>
      </c>
      <c r="G1437" s="10">
        <f t="shared" si="22"/>
        <v>30.272727272727273</v>
      </c>
      <c r="H1437" s="4">
        <v>3</v>
      </c>
    </row>
    <row r="1438" spans="1:8" x14ac:dyDescent="0.2">
      <c r="A1438" s="4">
        <v>5610</v>
      </c>
      <c r="B1438" s="4" t="s">
        <v>51</v>
      </c>
      <c r="C1438" s="4" t="s">
        <v>45</v>
      </c>
      <c r="D1438" s="4">
        <f>VLOOKUP(A1438,Orders!$A:$E,5,FALSE)</f>
        <v>2</v>
      </c>
      <c r="E1438" s="4">
        <v>1970</v>
      </c>
      <c r="F1438" s="4">
        <v>14</v>
      </c>
      <c r="G1438" s="10">
        <f t="shared" si="22"/>
        <v>140.71428571428572</v>
      </c>
      <c r="H1438" s="4">
        <v>2</v>
      </c>
    </row>
    <row r="1439" spans="1:8" x14ac:dyDescent="0.2">
      <c r="A1439" s="4">
        <v>5634</v>
      </c>
      <c r="B1439" s="4" t="s">
        <v>51</v>
      </c>
      <c r="C1439" s="4" t="s">
        <v>45</v>
      </c>
      <c r="D1439" s="4">
        <f>VLOOKUP(A1439,Orders!$A:$E,5,FALSE)</f>
        <v>10</v>
      </c>
      <c r="E1439" s="4">
        <v>796</v>
      </c>
      <c r="F1439" s="4">
        <v>17</v>
      </c>
      <c r="G1439" s="10">
        <f t="shared" si="22"/>
        <v>46.823529411764703</v>
      </c>
      <c r="H1439" s="4">
        <v>1</v>
      </c>
    </row>
    <row r="1440" spans="1:8" x14ac:dyDescent="0.2">
      <c r="A1440" s="4">
        <v>5645</v>
      </c>
      <c r="B1440" s="4" t="s">
        <v>51</v>
      </c>
      <c r="C1440" s="4" t="s">
        <v>45</v>
      </c>
      <c r="D1440" s="4">
        <f>VLOOKUP(A1440,Orders!$A:$E,5,FALSE)</f>
        <v>7</v>
      </c>
      <c r="E1440" s="4">
        <v>711</v>
      </c>
      <c r="F1440" s="4">
        <v>3</v>
      </c>
      <c r="G1440" s="10">
        <f t="shared" si="22"/>
        <v>237</v>
      </c>
      <c r="H1440" s="4">
        <v>2</v>
      </c>
    </row>
    <row r="1441" spans="1:8" x14ac:dyDescent="0.2">
      <c r="A1441" s="4">
        <v>5681</v>
      </c>
      <c r="B1441" s="4" t="s">
        <v>51</v>
      </c>
      <c r="C1441" s="4" t="s">
        <v>45</v>
      </c>
      <c r="D1441" s="4">
        <f>VLOOKUP(A1441,Orders!$A:$E,5,FALSE)</f>
        <v>8</v>
      </c>
      <c r="E1441" s="4">
        <v>684</v>
      </c>
      <c r="F1441" s="4">
        <v>14</v>
      </c>
      <c r="G1441" s="10">
        <f t="shared" si="22"/>
        <v>48.857142857142854</v>
      </c>
      <c r="H1441" s="4">
        <v>2</v>
      </c>
    </row>
    <row r="1442" spans="1:8" x14ac:dyDescent="0.2">
      <c r="A1442" s="4">
        <v>5682</v>
      </c>
      <c r="B1442" s="4" t="s">
        <v>51</v>
      </c>
      <c r="C1442" s="4" t="s">
        <v>45</v>
      </c>
      <c r="D1442" s="4">
        <f>VLOOKUP(A1442,Orders!$A:$E,5,FALSE)</f>
        <v>3</v>
      </c>
      <c r="E1442" s="4">
        <v>332</v>
      </c>
      <c r="F1442" s="4">
        <v>6</v>
      </c>
      <c r="G1442" s="10">
        <f t="shared" si="22"/>
        <v>55.333333333333336</v>
      </c>
      <c r="H1442" s="4">
        <v>3</v>
      </c>
    </row>
    <row r="1443" spans="1:8" x14ac:dyDescent="0.2">
      <c r="A1443" s="4">
        <v>5683</v>
      </c>
      <c r="B1443" s="4" t="s">
        <v>51</v>
      </c>
      <c r="C1443" s="4" t="s">
        <v>45</v>
      </c>
      <c r="D1443" s="4">
        <f>VLOOKUP(A1443,Orders!$A:$E,5,FALSE)</f>
        <v>7</v>
      </c>
      <c r="E1443" s="4">
        <v>1964</v>
      </c>
      <c r="F1443" s="4">
        <v>2</v>
      </c>
      <c r="G1443" s="10">
        <f t="shared" si="22"/>
        <v>982</v>
      </c>
      <c r="H1443" s="4">
        <v>1</v>
      </c>
    </row>
    <row r="1444" spans="1:8" x14ac:dyDescent="0.2">
      <c r="A1444" s="4">
        <v>5691</v>
      </c>
      <c r="B1444" s="4" t="s">
        <v>51</v>
      </c>
      <c r="C1444" s="4" t="s">
        <v>45</v>
      </c>
      <c r="D1444" s="4">
        <f>VLOOKUP(A1444,Orders!$A:$E,5,FALSE)</f>
        <v>7</v>
      </c>
      <c r="E1444" s="4">
        <v>911</v>
      </c>
      <c r="F1444" s="4">
        <v>7</v>
      </c>
      <c r="G1444" s="10">
        <f t="shared" si="22"/>
        <v>130.14285714285714</v>
      </c>
      <c r="H1444" s="4">
        <v>2</v>
      </c>
    </row>
    <row r="1445" spans="1:8" x14ac:dyDescent="0.2">
      <c r="A1445" s="4">
        <v>5707</v>
      </c>
      <c r="B1445" s="4" t="s">
        <v>51</v>
      </c>
      <c r="C1445" s="4" t="s">
        <v>45</v>
      </c>
      <c r="D1445" s="4">
        <f>VLOOKUP(A1445,Orders!$A:$E,5,FALSE)</f>
        <v>4</v>
      </c>
      <c r="E1445" s="4">
        <v>1254</v>
      </c>
      <c r="F1445" s="4">
        <v>10</v>
      </c>
      <c r="G1445" s="10">
        <f t="shared" si="22"/>
        <v>125.4</v>
      </c>
      <c r="H1445" s="4">
        <v>1</v>
      </c>
    </row>
    <row r="1446" spans="1:8" x14ac:dyDescent="0.2">
      <c r="A1446" s="4">
        <v>5708</v>
      </c>
      <c r="B1446" s="4" t="s">
        <v>51</v>
      </c>
      <c r="C1446" s="4" t="s">
        <v>45</v>
      </c>
      <c r="D1446" s="4">
        <f>VLOOKUP(A1446,Orders!$A:$E,5,FALSE)</f>
        <v>4</v>
      </c>
      <c r="E1446" s="4">
        <v>1612</v>
      </c>
      <c r="F1446" s="4">
        <v>8</v>
      </c>
      <c r="G1446" s="10">
        <f t="shared" si="22"/>
        <v>201.5</v>
      </c>
      <c r="H1446" s="4">
        <v>2</v>
      </c>
    </row>
    <row r="1447" spans="1:8" x14ac:dyDescent="0.2">
      <c r="A1447" s="4">
        <v>5719</v>
      </c>
      <c r="B1447" s="4" t="s">
        <v>51</v>
      </c>
      <c r="C1447" s="4" t="s">
        <v>45</v>
      </c>
      <c r="D1447" s="4">
        <f>VLOOKUP(A1447,Orders!$A:$E,5,FALSE)</f>
        <v>3</v>
      </c>
      <c r="E1447" s="4">
        <v>1157</v>
      </c>
      <c r="F1447" s="4">
        <v>7</v>
      </c>
      <c r="G1447" s="10">
        <f t="shared" si="22"/>
        <v>165.28571428571428</v>
      </c>
      <c r="H1447" s="4">
        <v>3</v>
      </c>
    </row>
    <row r="1448" spans="1:8" x14ac:dyDescent="0.2">
      <c r="A1448" s="4">
        <v>5733</v>
      </c>
      <c r="B1448" s="4" t="s">
        <v>51</v>
      </c>
      <c r="C1448" s="4" t="s">
        <v>45</v>
      </c>
      <c r="D1448" s="4">
        <f>VLOOKUP(A1448,Orders!$A:$E,5,FALSE)</f>
        <v>9</v>
      </c>
      <c r="E1448" s="4">
        <v>1136</v>
      </c>
      <c r="F1448" s="4">
        <v>3</v>
      </c>
      <c r="G1448" s="10">
        <f t="shared" si="22"/>
        <v>378.66666666666669</v>
      </c>
      <c r="H1448" s="4">
        <v>3</v>
      </c>
    </row>
    <row r="1449" spans="1:8" x14ac:dyDescent="0.2">
      <c r="A1449" s="4">
        <v>5734</v>
      </c>
      <c r="B1449" s="4" t="s">
        <v>51</v>
      </c>
      <c r="C1449" s="4" t="s">
        <v>45</v>
      </c>
      <c r="D1449" s="4">
        <f>VLOOKUP(A1449,Orders!$A:$E,5,FALSE)</f>
        <v>5</v>
      </c>
      <c r="E1449" s="4">
        <v>1442</v>
      </c>
      <c r="F1449" s="4">
        <v>6</v>
      </c>
      <c r="G1449" s="10">
        <f t="shared" si="22"/>
        <v>240.33333333333334</v>
      </c>
      <c r="H1449" s="4">
        <v>3</v>
      </c>
    </row>
    <row r="1450" spans="1:8" x14ac:dyDescent="0.2">
      <c r="A1450" s="4">
        <v>5740</v>
      </c>
      <c r="B1450" s="4" t="s">
        <v>51</v>
      </c>
      <c r="C1450" s="4" t="s">
        <v>45</v>
      </c>
      <c r="D1450" s="4">
        <f>VLOOKUP(A1450,Orders!$A:$E,5,FALSE)</f>
        <v>2</v>
      </c>
      <c r="E1450" s="4">
        <v>59</v>
      </c>
      <c r="F1450" s="4">
        <v>18</v>
      </c>
      <c r="G1450" s="10">
        <f t="shared" si="22"/>
        <v>3.2777777777777777</v>
      </c>
      <c r="H1450" s="4">
        <v>2</v>
      </c>
    </row>
    <row r="1451" spans="1:8" x14ac:dyDescent="0.2">
      <c r="A1451" s="4">
        <v>5759</v>
      </c>
      <c r="B1451" s="4" t="s">
        <v>51</v>
      </c>
      <c r="C1451" s="4" t="s">
        <v>45</v>
      </c>
      <c r="D1451" s="4">
        <f>VLOOKUP(A1451,Orders!$A:$E,5,FALSE)</f>
        <v>5</v>
      </c>
      <c r="E1451" s="4">
        <v>1168</v>
      </c>
      <c r="F1451" s="4">
        <v>21</v>
      </c>
      <c r="G1451" s="10">
        <f t="shared" si="22"/>
        <v>55.61904761904762</v>
      </c>
      <c r="H1451" s="4">
        <v>2</v>
      </c>
    </row>
    <row r="1452" spans="1:8" x14ac:dyDescent="0.2">
      <c r="A1452" s="4">
        <v>5785</v>
      </c>
      <c r="B1452" s="4" t="s">
        <v>51</v>
      </c>
      <c r="C1452" s="4" t="s">
        <v>45</v>
      </c>
      <c r="D1452" s="4">
        <f>VLOOKUP(A1452,Orders!$A:$E,5,FALSE)</f>
        <v>2</v>
      </c>
      <c r="E1452" s="4">
        <v>757</v>
      </c>
      <c r="F1452" s="4">
        <v>15</v>
      </c>
      <c r="G1452" s="10">
        <f t="shared" si="22"/>
        <v>50.466666666666669</v>
      </c>
      <c r="H1452" s="4">
        <v>1</v>
      </c>
    </row>
    <row r="1453" spans="1:8" x14ac:dyDescent="0.2">
      <c r="A1453" s="4">
        <v>5787</v>
      </c>
      <c r="B1453" s="4" t="s">
        <v>51</v>
      </c>
      <c r="C1453" s="4" t="s">
        <v>45</v>
      </c>
      <c r="D1453" s="4">
        <f>VLOOKUP(A1453,Orders!$A:$E,5,FALSE)</f>
        <v>6</v>
      </c>
      <c r="E1453" s="4">
        <v>1563</v>
      </c>
      <c r="F1453" s="4">
        <v>19</v>
      </c>
      <c r="G1453" s="10">
        <f t="shared" si="22"/>
        <v>82.263157894736835</v>
      </c>
      <c r="H1453" s="4">
        <v>3</v>
      </c>
    </row>
    <row r="1454" spans="1:8" x14ac:dyDescent="0.2">
      <c r="A1454" s="4">
        <v>5795</v>
      </c>
      <c r="B1454" s="4" t="s">
        <v>51</v>
      </c>
      <c r="C1454" s="4" t="s">
        <v>45</v>
      </c>
      <c r="D1454" s="4">
        <f>VLOOKUP(A1454,Orders!$A:$E,5,FALSE)</f>
        <v>9</v>
      </c>
      <c r="E1454" s="4">
        <v>468</v>
      </c>
      <c r="F1454" s="4">
        <v>20</v>
      </c>
      <c r="G1454" s="10">
        <f t="shared" si="22"/>
        <v>23.4</v>
      </c>
      <c r="H1454" s="4">
        <v>2</v>
      </c>
    </row>
    <row r="1455" spans="1:8" x14ac:dyDescent="0.2">
      <c r="A1455" s="4">
        <v>5806</v>
      </c>
      <c r="B1455" s="4" t="s">
        <v>51</v>
      </c>
      <c r="C1455" s="4" t="s">
        <v>45</v>
      </c>
      <c r="D1455" s="4">
        <f>VLOOKUP(A1455,Orders!$A:$E,5,FALSE)</f>
        <v>4</v>
      </c>
      <c r="E1455" s="4">
        <v>1320</v>
      </c>
      <c r="F1455" s="4">
        <v>21</v>
      </c>
      <c r="G1455" s="10">
        <f t="shared" si="22"/>
        <v>62.857142857142854</v>
      </c>
      <c r="H1455" s="4">
        <v>3</v>
      </c>
    </row>
    <row r="1456" spans="1:8" x14ac:dyDescent="0.2">
      <c r="A1456" s="4">
        <v>5843</v>
      </c>
      <c r="B1456" s="4" t="s">
        <v>51</v>
      </c>
      <c r="C1456" s="4" t="s">
        <v>45</v>
      </c>
      <c r="D1456" s="4">
        <f>VLOOKUP(A1456,Orders!$A:$E,5,FALSE)</f>
        <v>4</v>
      </c>
      <c r="E1456" s="4">
        <v>1000</v>
      </c>
      <c r="F1456" s="4">
        <v>8</v>
      </c>
      <c r="G1456" s="10">
        <f t="shared" si="22"/>
        <v>125</v>
      </c>
      <c r="H1456" s="4">
        <v>1</v>
      </c>
    </row>
    <row r="1457" spans="1:8" x14ac:dyDescent="0.2">
      <c r="A1457" s="4">
        <v>5858</v>
      </c>
      <c r="B1457" s="4" t="s">
        <v>51</v>
      </c>
      <c r="C1457" s="4" t="s">
        <v>45</v>
      </c>
      <c r="D1457" s="4">
        <f>VLOOKUP(A1457,Orders!$A:$E,5,FALSE)</f>
        <v>2</v>
      </c>
      <c r="E1457" s="4">
        <v>1571</v>
      </c>
      <c r="F1457" s="4">
        <v>24</v>
      </c>
      <c r="G1457" s="10">
        <f t="shared" si="22"/>
        <v>65.458333333333329</v>
      </c>
      <c r="H1457" s="4">
        <v>3</v>
      </c>
    </row>
    <row r="1458" spans="1:8" x14ac:dyDescent="0.2">
      <c r="A1458" s="4">
        <v>5875</v>
      </c>
      <c r="B1458" s="4" t="s">
        <v>51</v>
      </c>
      <c r="C1458" s="4" t="s">
        <v>45</v>
      </c>
      <c r="D1458" s="4">
        <f>VLOOKUP(A1458,Orders!$A:$E,5,FALSE)</f>
        <v>6</v>
      </c>
      <c r="E1458" s="4">
        <v>1934</v>
      </c>
      <c r="F1458" s="4">
        <v>19</v>
      </c>
      <c r="G1458" s="10">
        <f t="shared" si="22"/>
        <v>101.78947368421052</v>
      </c>
      <c r="H1458" s="4">
        <v>3</v>
      </c>
    </row>
    <row r="1459" spans="1:8" x14ac:dyDescent="0.2">
      <c r="A1459" s="4">
        <v>5877</v>
      </c>
      <c r="B1459" s="4" t="s">
        <v>51</v>
      </c>
      <c r="C1459" s="4" t="s">
        <v>45</v>
      </c>
      <c r="D1459" s="4">
        <f>VLOOKUP(A1459,Orders!$A:$E,5,FALSE)</f>
        <v>10</v>
      </c>
      <c r="E1459" s="4">
        <v>1239</v>
      </c>
      <c r="F1459" s="4">
        <v>5</v>
      </c>
      <c r="G1459" s="10">
        <f t="shared" si="22"/>
        <v>247.8</v>
      </c>
      <c r="H1459" s="4">
        <v>2</v>
      </c>
    </row>
    <row r="1460" spans="1:8" x14ac:dyDescent="0.2">
      <c r="A1460" s="4">
        <v>5878</v>
      </c>
      <c r="B1460" s="4" t="s">
        <v>51</v>
      </c>
      <c r="C1460" s="4" t="s">
        <v>45</v>
      </c>
      <c r="D1460" s="4">
        <f>VLOOKUP(A1460,Orders!$A:$E,5,FALSE)</f>
        <v>7</v>
      </c>
      <c r="E1460" s="4">
        <v>661</v>
      </c>
      <c r="F1460" s="4">
        <v>5</v>
      </c>
      <c r="G1460" s="10">
        <f t="shared" si="22"/>
        <v>132.19999999999999</v>
      </c>
      <c r="H1460" s="4">
        <v>1</v>
      </c>
    </row>
    <row r="1461" spans="1:8" x14ac:dyDescent="0.2">
      <c r="A1461" s="4">
        <v>5893</v>
      </c>
      <c r="B1461" s="4" t="s">
        <v>51</v>
      </c>
      <c r="C1461" s="4" t="s">
        <v>45</v>
      </c>
      <c r="D1461" s="4">
        <f>VLOOKUP(A1461,Orders!$A:$E,5,FALSE)</f>
        <v>5</v>
      </c>
      <c r="E1461" s="4">
        <v>933</v>
      </c>
      <c r="F1461" s="4">
        <v>8</v>
      </c>
      <c r="G1461" s="10">
        <f t="shared" si="22"/>
        <v>116.625</v>
      </c>
      <c r="H1461" s="4">
        <v>1</v>
      </c>
    </row>
    <row r="1462" spans="1:8" x14ac:dyDescent="0.2">
      <c r="A1462" s="4">
        <v>5897</v>
      </c>
      <c r="B1462" s="4" t="s">
        <v>51</v>
      </c>
      <c r="C1462" s="4" t="s">
        <v>45</v>
      </c>
      <c r="D1462" s="4">
        <f>VLOOKUP(A1462,Orders!$A:$E,5,FALSE)</f>
        <v>5</v>
      </c>
      <c r="E1462" s="4">
        <v>1637</v>
      </c>
      <c r="F1462" s="4">
        <v>18</v>
      </c>
      <c r="G1462" s="10">
        <f t="shared" si="22"/>
        <v>90.944444444444443</v>
      </c>
      <c r="H1462" s="4">
        <v>2</v>
      </c>
    </row>
    <row r="1463" spans="1:8" x14ac:dyDescent="0.2">
      <c r="A1463" s="4">
        <v>5899</v>
      </c>
      <c r="B1463" s="4" t="s">
        <v>51</v>
      </c>
      <c r="C1463" s="4" t="s">
        <v>45</v>
      </c>
      <c r="D1463" s="4">
        <f>VLOOKUP(A1463,Orders!$A:$E,5,FALSE)</f>
        <v>4</v>
      </c>
      <c r="E1463" s="4">
        <v>1262</v>
      </c>
      <c r="F1463" s="4">
        <v>8</v>
      </c>
      <c r="G1463" s="10">
        <f t="shared" si="22"/>
        <v>157.75</v>
      </c>
      <c r="H1463" s="4">
        <v>2</v>
      </c>
    </row>
    <row r="1464" spans="1:8" x14ac:dyDescent="0.2">
      <c r="A1464" s="4">
        <v>5907</v>
      </c>
      <c r="B1464" s="4" t="s">
        <v>51</v>
      </c>
      <c r="C1464" s="4" t="s">
        <v>45</v>
      </c>
      <c r="D1464" s="4">
        <f>VLOOKUP(A1464,Orders!$A:$E,5,FALSE)</f>
        <v>2</v>
      </c>
      <c r="E1464" s="4">
        <v>1882</v>
      </c>
      <c r="F1464" s="4">
        <v>15</v>
      </c>
      <c r="G1464" s="10">
        <f t="shared" si="22"/>
        <v>125.46666666666667</v>
      </c>
      <c r="H1464" s="4">
        <v>1</v>
      </c>
    </row>
    <row r="1465" spans="1:8" x14ac:dyDescent="0.2">
      <c r="A1465" s="4">
        <v>5929</v>
      </c>
      <c r="B1465" s="4" t="s">
        <v>51</v>
      </c>
      <c r="C1465" s="4" t="s">
        <v>45</v>
      </c>
      <c r="D1465" s="4">
        <f>VLOOKUP(A1465,Orders!$A:$E,5,FALSE)</f>
        <v>10</v>
      </c>
      <c r="E1465" s="4">
        <v>1840</v>
      </c>
      <c r="F1465" s="4">
        <v>18</v>
      </c>
      <c r="G1465" s="10">
        <f t="shared" si="22"/>
        <v>102.22222222222223</v>
      </c>
      <c r="H1465" s="4">
        <v>2</v>
      </c>
    </row>
    <row r="1466" spans="1:8" x14ac:dyDescent="0.2">
      <c r="A1466" s="4">
        <v>5939</v>
      </c>
      <c r="B1466" s="4" t="s">
        <v>51</v>
      </c>
      <c r="C1466" s="4" t="s">
        <v>45</v>
      </c>
      <c r="D1466" s="4">
        <f>VLOOKUP(A1466,Orders!$A:$E,5,FALSE)</f>
        <v>4</v>
      </c>
      <c r="E1466" s="4">
        <v>975</v>
      </c>
      <c r="F1466" s="4">
        <v>24</v>
      </c>
      <c r="G1466" s="10">
        <f t="shared" si="22"/>
        <v>40.625</v>
      </c>
      <c r="H1466" s="4">
        <v>2</v>
      </c>
    </row>
    <row r="1467" spans="1:8" x14ac:dyDescent="0.2">
      <c r="A1467" s="4">
        <v>5943</v>
      </c>
      <c r="B1467" s="4" t="s">
        <v>51</v>
      </c>
      <c r="C1467" s="4" t="s">
        <v>45</v>
      </c>
      <c r="D1467" s="4">
        <f>VLOOKUP(A1467,Orders!$A:$E,5,FALSE)</f>
        <v>2</v>
      </c>
      <c r="E1467" s="4">
        <v>1836</v>
      </c>
      <c r="F1467" s="4">
        <v>22</v>
      </c>
      <c r="G1467" s="10">
        <f t="shared" si="22"/>
        <v>83.454545454545453</v>
      </c>
      <c r="H1467" s="4">
        <v>2</v>
      </c>
    </row>
    <row r="1468" spans="1:8" x14ac:dyDescent="0.2">
      <c r="A1468" s="4">
        <v>5967</v>
      </c>
      <c r="B1468" s="4" t="s">
        <v>51</v>
      </c>
      <c r="C1468" s="4" t="s">
        <v>45</v>
      </c>
      <c r="D1468" s="4">
        <f>VLOOKUP(A1468,Orders!$A:$E,5,FALSE)</f>
        <v>10</v>
      </c>
      <c r="E1468" s="4">
        <v>125</v>
      </c>
      <c r="F1468" s="4">
        <v>20</v>
      </c>
      <c r="G1468" s="10">
        <f t="shared" si="22"/>
        <v>6.25</v>
      </c>
      <c r="H1468" s="4">
        <v>2</v>
      </c>
    </row>
    <row r="1469" spans="1:8" x14ac:dyDescent="0.2">
      <c r="A1469" s="4">
        <v>5974</v>
      </c>
      <c r="B1469" s="4" t="s">
        <v>51</v>
      </c>
      <c r="C1469" s="4" t="s">
        <v>45</v>
      </c>
      <c r="D1469" s="4">
        <f>VLOOKUP(A1469,Orders!$A:$E,5,FALSE)</f>
        <v>2</v>
      </c>
      <c r="E1469" s="4">
        <v>1689</v>
      </c>
      <c r="F1469" s="4">
        <v>15</v>
      </c>
      <c r="G1469" s="10">
        <f t="shared" si="22"/>
        <v>112.6</v>
      </c>
      <c r="H1469" s="4">
        <v>1</v>
      </c>
    </row>
    <row r="1470" spans="1:8" x14ac:dyDescent="0.2">
      <c r="A1470" s="4">
        <v>5975</v>
      </c>
      <c r="B1470" s="4" t="s">
        <v>51</v>
      </c>
      <c r="C1470" s="4" t="s">
        <v>45</v>
      </c>
      <c r="D1470" s="4">
        <f>VLOOKUP(A1470,Orders!$A:$E,5,FALSE)</f>
        <v>6</v>
      </c>
      <c r="E1470" s="4">
        <v>82</v>
      </c>
      <c r="F1470" s="4">
        <v>12</v>
      </c>
      <c r="G1470" s="10">
        <f t="shared" si="22"/>
        <v>6.833333333333333</v>
      </c>
      <c r="H1470" s="4">
        <v>2</v>
      </c>
    </row>
    <row r="1471" spans="1:8" x14ac:dyDescent="0.2">
      <c r="A1471" s="4">
        <v>5981</v>
      </c>
      <c r="B1471" s="4" t="s">
        <v>51</v>
      </c>
      <c r="C1471" s="4" t="s">
        <v>45</v>
      </c>
      <c r="D1471" s="4">
        <f>VLOOKUP(A1471,Orders!$A:$E,5,FALSE)</f>
        <v>9</v>
      </c>
      <c r="E1471" s="4">
        <v>1856</v>
      </c>
      <c r="F1471" s="4">
        <v>4</v>
      </c>
      <c r="G1471" s="10">
        <f t="shared" si="22"/>
        <v>464</v>
      </c>
      <c r="H1471" s="4">
        <v>3</v>
      </c>
    </row>
    <row r="1472" spans="1:8" x14ac:dyDescent="0.2">
      <c r="A1472" s="4">
        <v>5987</v>
      </c>
      <c r="B1472" s="4" t="s">
        <v>51</v>
      </c>
      <c r="C1472" s="4" t="s">
        <v>45</v>
      </c>
      <c r="D1472" s="4">
        <f>VLOOKUP(A1472,Orders!$A:$E,5,FALSE)</f>
        <v>2</v>
      </c>
      <c r="E1472" s="4">
        <v>240</v>
      </c>
      <c r="F1472" s="4">
        <v>10</v>
      </c>
      <c r="G1472" s="10">
        <f t="shared" si="22"/>
        <v>24</v>
      </c>
      <c r="H1472" s="4">
        <v>3</v>
      </c>
    </row>
    <row r="1473" spans="1:8" x14ac:dyDescent="0.2">
      <c r="A1473" s="4">
        <v>6019</v>
      </c>
      <c r="B1473" s="4" t="s">
        <v>51</v>
      </c>
      <c r="C1473" s="4" t="s">
        <v>45</v>
      </c>
      <c r="D1473" s="4">
        <f>VLOOKUP(A1473,Orders!$A:$E,5,FALSE)</f>
        <v>6</v>
      </c>
      <c r="E1473" s="4">
        <v>1922</v>
      </c>
      <c r="F1473" s="4">
        <v>16</v>
      </c>
      <c r="G1473" s="10">
        <f t="shared" si="22"/>
        <v>120.125</v>
      </c>
      <c r="H1473" s="4">
        <v>3</v>
      </c>
    </row>
    <row r="1474" spans="1:8" x14ac:dyDescent="0.2">
      <c r="A1474" s="4">
        <v>6046</v>
      </c>
      <c r="B1474" s="4" t="s">
        <v>51</v>
      </c>
      <c r="C1474" s="4" t="s">
        <v>45</v>
      </c>
      <c r="D1474" s="4">
        <f>VLOOKUP(A1474,Orders!$A:$E,5,FALSE)</f>
        <v>5</v>
      </c>
      <c r="E1474" s="4">
        <v>813</v>
      </c>
      <c r="F1474" s="4">
        <v>12</v>
      </c>
      <c r="G1474" s="10">
        <f t="shared" ref="G1474:G1537" si="23">E1474/F1474</f>
        <v>67.75</v>
      </c>
      <c r="H1474" s="4">
        <v>3</v>
      </c>
    </row>
    <row r="1475" spans="1:8" x14ac:dyDescent="0.2">
      <c r="A1475" s="4">
        <v>6102</v>
      </c>
      <c r="B1475" s="4" t="s">
        <v>51</v>
      </c>
      <c r="C1475" s="4" t="s">
        <v>45</v>
      </c>
      <c r="D1475" s="4">
        <f>VLOOKUP(A1475,Orders!$A:$E,5,FALSE)</f>
        <v>8</v>
      </c>
      <c r="E1475" s="4">
        <v>468</v>
      </c>
      <c r="F1475" s="4">
        <v>19</v>
      </c>
      <c r="G1475" s="10">
        <f t="shared" si="23"/>
        <v>24.631578947368421</v>
      </c>
      <c r="H1475" s="4">
        <v>3</v>
      </c>
    </row>
    <row r="1476" spans="1:8" x14ac:dyDescent="0.2">
      <c r="A1476" s="4">
        <v>6119</v>
      </c>
      <c r="B1476" s="4" t="s">
        <v>51</v>
      </c>
      <c r="C1476" s="4" t="s">
        <v>45</v>
      </c>
      <c r="D1476" s="4">
        <f>VLOOKUP(A1476,Orders!$A:$E,5,FALSE)</f>
        <v>10</v>
      </c>
      <c r="E1476" s="4">
        <v>1115</v>
      </c>
      <c r="F1476" s="4">
        <v>4</v>
      </c>
      <c r="G1476" s="10">
        <f t="shared" si="23"/>
        <v>278.75</v>
      </c>
      <c r="H1476" s="4">
        <v>1</v>
      </c>
    </row>
    <row r="1477" spans="1:8" x14ac:dyDescent="0.2">
      <c r="A1477" s="4">
        <v>6146</v>
      </c>
      <c r="B1477" s="4" t="s">
        <v>51</v>
      </c>
      <c r="C1477" s="4" t="s">
        <v>45</v>
      </c>
      <c r="D1477" s="4">
        <f>VLOOKUP(A1477,Orders!$A:$E,5,FALSE)</f>
        <v>3</v>
      </c>
      <c r="E1477" s="4">
        <v>1919</v>
      </c>
      <c r="F1477" s="4">
        <v>4</v>
      </c>
      <c r="G1477" s="10">
        <f t="shared" si="23"/>
        <v>479.75</v>
      </c>
      <c r="H1477" s="4">
        <v>3</v>
      </c>
    </row>
    <row r="1478" spans="1:8" x14ac:dyDescent="0.2">
      <c r="A1478" s="4">
        <v>6169</v>
      </c>
      <c r="B1478" s="4" t="s">
        <v>51</v>
      </c>
      <c r="C1478" s="4" t="s">
        <v>45</v>
      </c>
      <c r="D1478" s="4">
        <f>VLOOKUP(A1478,Orders!$A:$E,5,FALSE)</f>
        <v>10</v>
      </c>
      <c r="E1478" s="4">
        <v>73</v>
      </c>
      <c r="F1478" s="4">
        <v>3</v>
      </c>
      <c r="G1478" s="10">
        <f t="shared" si="23"/>
        <v>24.333333333333332</v>
      </c>
      <c r="H1478" s="4">
        <v>3</v>
      </c>
    </row>
    <row r="1479" spans="1:8" x14ac:dyDescent="0.2">
      <c r="A1479" s="4">
        <v>6178</v>
      </c>
      <c r="B1479" s="4" t="s">
        <v>51</v>
      </c>
      <c r="C1479" s="4" t="s">
        <v>45</v>
      </c>
      <c r="D1479" s="4">
        <f>VLOOKUP(A1479,Orders!$A:$E,5,FALSE)</f>
        <v>2</v>
      </c>
      <c r="E1479" s="4">
        <v>1285</v>
      </c>
      <c r="F1479" s="4">
        <v>13</v>
      </c>
      <c r="G1479" s="10">
        <f t="shared" si="23"/>
        <v>98.84615384615384</v>
      </c>
      <c r="H1479" s="4">
        <v>1</v>
      </c>
    </row>
    <row r="1480" spans="1:8" x14ac:dyDescent="0.2">
      <c r="A1480" s="4">
        <v>6205</v>
      </c>
      <c r="B1480" s="4" t="s">
        <v>51</v>
      </c>
      <c r="C1480" s="4" t="s">
        <v>45</v>
      </c>
      <c r="D1480" s="4">
        <f>VLOOKUP(A1480,Orders!$A:$E,5,FALSE)</f>
        <v>10</v>
      </c>
      <c r="E1480" s="4">
        <v>1497</v>
      </c>
      <c r="F1480" s="4">
        <v>5</v>
      </c>
      <c r="G1480" s="10">
        <f t="shared" si="23"/>
        <v>299.39999999999998</v>
      </c>
      <c r="H1480" s="4">
        <v>3</v>
      </c>
    </row>
    <row r="1481" spans="1:8" x14ac:dyDescent="0.2">
      <c r="A1481" s="4">
        <v>6215</v>
      </c>
      <c r="B1481" s="4" t="s">
        <v>51</v>
      </c>
      <c r="C1481" s="4" t="s">
        <v>45</v>
      </c>
      <c r="D1481" s="4">
        <f>VLOOKUP(A1481,Orders!$A:$E,5,FALSE)</f>
        <v>10</v>
      </c>
      <c r="E1481" s="4">
        <v>560</v>
      </c>
      <c r="F1481" s="4">
        <v>11</v>
      </c>
      <c r="G1481" s="10">
        <f t="shared" si="23"/>
        <v>50.909090909090907</v>
      </c>
      <c r="H1481" s="4">
        <v>3</v>
      </c>
    </row>
    <row r="1482" spans="1:8" x14ac:dyDescent="0.2">
      <c r="A1482" s="4">
        <v>6229</v>
      </c>
      <c r="B1482" s="4" t="s">
        <v>51</v>
      </c>
      <c r="C1482" s="4" t="s">
        <v>45</v>
      </c>
      <c r="D1482" s="4">
        <f>VLOOKUP(A1482,Orders!$A:$E,5,FALSE)</f>
        <v>7</v>
      </c>
      <c r="E1482" s="4">
        <v>1998</v>
      </c>
      <c r="F1482" s="4">
        <v>3</v>
      </c>
      <c r="G1482" s="10">
        <f t="shared" si="23"/>
        <v>666</v>
      </c>
      <c r="H1482" s="4">
        <v>3</v>
      </c>
    </row>
    <row r="1483" spans="1:8" x14ac:dyDescent="0.2">
      <c r="A1483" s="4">
        <v>6248</v>
      </c>
      <c r="B1483" s="4" t="s">
        <v>51</v>
      </c>
      <c r="C1483" s="4" t="s">
        <v>45</v>
      </c>
      <c r="D1483" s="4">
        <f>VLOOKUP(A1483,Orders!$A:$E,5,FALSE)</f>
        <v>10</v>
      </c>
      <c r="E1483" s="4">
        <v>1590</v>
      </c>
      <c r="F1483" s="4">
        <v>21</v>
      </c>
      <c r="G1483" s="10">
        <f t="shared" si="23"/>
        <v>75.714285714285708</v>
      </c>
      <c r="H1483" s="4">
        <v>3</v>
      </c>
    </row>
    <row r="1484" spans="1:8" x14ac:dyDescent="0.2">
      <c r="A1484" s="4">
        <v>6275</v>
      </c>
      <c r="B1484" s="4" t="s">
        <v>51</v>
      </c>
      <c r="C1484" s="4" t="s">
        <v>45</v>
      </c>
      <c r="D1484" s="4">
        <f>VLOOKUP(A1484,Orders!$A:$E,5,FALSE)</f>
        <v>6</v>
      </c>
      <c r="E1484" s="4">
        <v>1878</v>
      </c>
      <c r="F1484" s="4">
        <v>14</v>
      </c>
      <c r="G1484" s="10">
        <f t="shared" si="23"/>
        <v>134.14285714285714</v>
      </c>
      <c r="H1484" s="4">
        <v>1</v>
      </c>
    </row>
    <row r="1485" spans="1:8" x14ac:dyDescent="0.2">
      <c r="A1485" s="4">
        <v>6310</v>
      </c>
      <c r="B1485" s="4" t="s">
        <v>51</v>
      </c>
      <c r="C1485" s="4" t="s">
        <v>45</v>
      </c>
      <c r="D1485" s="4">
        <f>VLOOKUP(A1485,Orders!$A:$E,5,FALSE)</f>
        <v>7</v>
      </c>
      <c r="E1485" s="4">
        <v>498</v>
      </c>
      <c r="F1485" s="4">
        <v>15</v>
      </c>
      <c r="G1485" s="10">
        <f t="shared" si="23"/>
        <v>33.200000000000003</v>
      </c>
      <c r="H1485" s="4">
        <v>1</v>
      </c>
    </row>
    <row r="1486" spans="1:8" x14ac:dyDescent="0.2">
      <c r="A1486" s="4">
        <v>6314</v>
      </c>
      <c r="B1486" s="4" t="s">
        <v>51</v>
      </c>
      <c r="C1486" s="4" t="s">
        <v>45</v>
      </c>
      <c r="D1486" s="4">
        <f>VLOOKUP(A1486,Orders!$A:$E,5,FALSE)</f>
        <v>3</v>
      </c>
      <c r="E1486" s="4">
        <v>1414</v>
      </c>
      <c r="F1486" s="4">
        <v>5</v>
      </c>
      <c r="G1486" s="10">
        <f t="shared" si="23"/>
        <v>282.8</v>
      </c>
      <c r="H1486" s="4">
        <v>2</v>
      </c>
    </row>
    <row r="1487" spans="1:8" x14ac:dyDescent="0.2">
      <c r="A1487" s="4">
        <v>6334</v>
      </c>
      <c r="B1487" s="4" t="s">
        <v>51</v>
      </c>
      <c r="C1487" s="4" t="s">
        <v>45</v>
      </c>
      <c r="D1487" s="4">
        <f>VLOOKUP(A1487,Orders!$A:$E,5,FALSE)</f>
        <v>4</v>
      </c>
      <c r="E1487" s="4">
        <v>819</v>
      </c>
      <c r="F1487" s="4">
        <v>17</v>
      </c>
      <c r="G1487" s="10">
        <f t="shared" si="23"/>
        <v>48.176470588235297</v>
      </c>
      <c r="H1487" s="4">
        <v>1</v>
      </c>
    </row>
    <row r="1488" spans="1:8" x14ac:dyDescent="0.2">
      <c r="A1488" s="4">
        <v>6338</v>
      </c>
      <c r="B1488" s="4" t="s">
        <v>51</v>
      </c>
      <c r="C1488" s="4" t="s">
        <v>45</v>
      </c>
      <c r="D1488" s="4">
        <f>VLOOKUP(A1488,Orders!$A:$E,5,FALSE)</f>
        <v>10</v>
      </c>
      <c r="E1488" s="4">
        <v>1129</v>
      </c>
      <c r="F1488" s="4">
        <v>6</v>
      </c>
      <c r="G1488" s="10">
        <f t="shared" si="23"/>
        <v>188.16666666666666</v>
      </c>
      <c r="H1488" s="4">
        <v>3</v>
      </c>
    </row>
    <row r="1489" spans="1:8" x14ac:dyDescent="0.2">
      <c r="A1489" s="4">
        <v>6339</v>
      </c>
      <c r="B1489" s="4" t="s">
        <v>51</v>
      </c>
      <c r="C1489" s="4" t="s">
        <v>45</v>
      </c>
      <c r="D1489" s="4">
        <f>VLOOKUP(A1489,Orders!$A:$E,5,FALSE)</f>
        <v>7</v>
      </c>
      <c r="E1489" s="4">
        <v>1491</v>
      </c>
      <c r="F1489" s="4">
        <v>6</v>
      </c>
      <c r="G1489" s="10">
        <f t="shared" si="23"/>
        <v>248.5</v>
      </c>
      <c r="H1489" s="4">
        <v>1</v>
      </c>
    </row>
    <row r="1490" spans="1:8" x14ac:dyDescent="0.2">
      <c r="A1490" s="4">
        <v>6347</v>
      </c>
      <c r="B1490" s="4" t="s">
        <v>51</v>
      </c>
      <c r="C1490" s="4" t="s">
        <v>45</v>
      </c>
      <c r="D1490" s="4">
        <f>VLOOKUP(A1490,Orders!$A:$E,5,FALSE)</f>
        <v>10</v>
      </c>
      <c r="E1490" s="4">
        <v>1235</v>
      </c>
      <c r="F1490" s="4">
        <v>14</v>
      </c>
      <c r="G1490" s="10">
        <f t="shared" si="23"/>
        <v>88.214285714285708</v>
      </c>
      <c r="H1490" s="4">
        <v>1</v>
      </c>
    </row>
    <row r="1491" spans="1:8" x14ac:dyDescent="0.2">
      <c r="A1491" s="4">
        <v>6377</v>
      </c>
      <c r="B1491" s="4" t="s">
        <v>51</v>
      </c>
      <c r="C1491" s="4" t="s">
        <v>45</v>
      </c>
      <c r="D1491" s="4">
        <f>VLOOKUP(A1491,Orders!$A:$E,5,FALSE)</f>
        <v>8</v>
      </c>
      <c r="E1491" s="4">
        <v>139</v>
      </c>
      <c r="F1491" s="4">
        <v>12</v>
      </c>
      <c r="G1491" s="10">
        <f t="shared" si="23"/>
        <v>11.583333333333334</v>
      </c>
      <c r="H1491" s="4">
        <v>3</v>
      </c>
    </row>
    <row r="1492" spans="1:8" x14ac:dyDescent="0.2">
      <c r="A1492" s="4">
        <v>6378</v>
      </c>
      <c r="B1492" s="4" t="s">
        <v>51</v>
      </c>
      <c r="C1492" s="4" t="s">
        <v>45</v>
      </c>
      <c r="D1492" s="4">
        <f>VLOOKUP(A1492,Orders!$A:$E,5,FALSE)</f>
        <v>9</v>
      </c>
      <c r="E1492" s="4">
        <v>1123</v>
      </c>
      <c r="F1492" s="4">
        <v>16</v>
      </c>
      <c r="G1492" s="10">
        <f t="shared" si="23"/>
        <v>70.1875</v>
      </c>
      <c r="H1492" s="4">
        <v>2</v>
      </c>
    </row>
    <row r="1493" spans="1:8" x14ac:dyDescent="0.2">
      <c r="A1493" s="4">
        <v>6391</v>
      </c>
      <c r="B1493" s="4" t="s">
        <v>51</v>
      </c>
      <c r="C1493" s="4" t="s">
        <v>45</v>
      </c>
      <c r="D1493" s="4">
        <f>VLOOKUP(A1493,Orders!$A:$E,5,FALSE)</f>
        <v>9</v>
      </c>
      <c r="E1493" s="4">
        <v>1221</v>
      </c>
      <c r="F1493" s="4">
        <v>21</v>
      </c>
      <c r="G1493" s="10">
        <f t="shared" si="23"/>
        <v>58.142857142857146</v>
      </c>
      <c r="H1493" s="4">
        <v>3</v>
      </c>
    </row>
    <row r="1494" spans="1:8" x14ac:dyDescent="0.2">
      <c r="A1494" s="4">
        <v>6393</v>
      </c>
      <c r="B1494" s="4" t="s">
        <v>51</v>
      </c>
      <c r="C1494" s="4" t="s">
        <v>45</v>
      </c>
      <c r="D1494" s="4">
        <f>VLOOKUP(A1494,Orders!$A:$E,5,FALSE)</f>
        <v>3</v>
      </c>
      <c r="E1494" s="4">
        <v>1860</v>
      </c>
      <c r="F1494" s="4">
        <v>22</v>
      </c>
      <c r="G1494" s="10">
        <f t="shared" si="23"/>
        <v>84.545454545454547</v>
      </c>
      <c r="H1494" s="4">
        <v>2</v>
      </c>
    </row>
    <row r="1495" spans="1:8" x14ac:dyDescent="0.2">
      <c r="A1495" s="4">
        <v>6403</v>
      </c>
      <c r="B1495" s="4" t="s">
        <v>51</v>
      </c>
      <c r="C1495" s="4" t="s">
        <v>45</v>
      </c>
      <c r="D1495" s="4">
        <f>VLOOKUP(A1495,Orders!$A:$E,5,FALSE)</f>
        <v>8</v>
      </c>
      <c r="E1495" s="4">
        <v>1082</v>
      </c>
      <c r="F1495" s="4">
        <v>24</v>
      </c>
      <c r="G1495" s="10">
        <f t="shared" si="23"/>
        <v>45.083333333333336</v>
      </c>
      <c r="H1495" s="4">
        <v>1</v>
      </c>
    </row>
    <row r="1496" spans="1:8" x14ac:dyDescent="0.2">
      <c r="A1496" s="4">
        <v>6405</v>
      </c>
      <c r="B1496" s="4" t="s">
        <v>51</v>
      </c>
      <c r="C1496" s="4" t="s">
        <v>45</v>
      </c>
      <c r="D1496" s="4">
        <f>VLOOKUP(A1496,Orders!$A:$E,5,FALSE)</f>
        <v>5</v>
      </c>
      <c r="E1496" s="4">
        <v>677</v>
      </c>
      <c r="F1496" s="4">
        <v>10</v>
      </c>
      <c r="G1496" s="10">
        <f t="shared" si="23"/>
        <v>67.7</v>
      </c>
      <c r="H1496" s="4">
        <v>3</v>
      </c>
    </row>
    <row r="1497" spans="1:8" x14ac:dyDescent="0.2">
      <c r="A1497" s="4">
        <v>6421</v>
      </c>
      <c r="B1497" s="4" t="s">
        <v>51</v>
      </c>
      <c r="C1497" s="4" t="s">
        <v>45</v>
      </c>
      <c r="D1497" s="4">
        <f>VLOOKUP(A1497,Orders!$A:$E,5,FALSE)</f>
        <v>10</v>
      </c>
      <c r="E1497" s="4">
        <v>468</v>
      </c>
      <c r="F1497" s="4">
        <v>7</v>
      </c>
      <c r="G1497" s="10">
        <f t="shared" si="23"/>
        <v>66.857142857142861</v>
      </c>
      <c r="H1497" s="4">
        <v>2</v>
      </c>
    </row>
    <row r="1498" spans="1:8" x14ac:dyDescent="0.2">
      <c r="A1498" s="4">
        <v>6443</v>
      </c>
      <c r="B1498" s="4" t="s">
        <v>51</v>
      </c>
      <c r="C1498" s="4" t="s">
        <v>45</v>
      </c>
      <c r="D1498" s="4">
        <f>VLOOKUP(A1498,Orders!$A:$E,5,FALSE)</f>
        <v>6</v>
      </c>
      <c r="E1498" s="4">
        <v>189</v>
      </c>
      <c r="F1498" s="4">
        <v>8</v>
      </c>
      <c r="G1498" s="10">
        <f t="shared" si="23"/>
        <v>23.625</v>
      </c>
      <c r="H1498" s="4">
        <v>3</v>
      </c>
    </row>
    <row r="1499" spans="1:8" x14ac:dyDescent="0.2">
      <c r="A1499" s="4">
        <v>6447</v>
      </c>
      <c r="B1499" s="4" t="s">
        <v>51</v>
      </c>
      <c r="C1499" s="4" t="s">
        <v>45</v>
      </c>
      <c r="D1499" s="4">
        <f>VLOOKUP(A1499,Orders!$A:$E,5,FALSE)</f>
        <v>10</v>
      </c>
      <c r="E1499" s="4">
        <v>975</v>
      </c>
      <c r="F1499" s="4">
        <v>23</v>
      </c>
      <c r="G1499" s="10">
        <f t="shared" si="23"/>
        <v>42.391304347826086</v>
      </c>
      <c r="H1499" s="4">
        <v>1</v>
      </c>
    </row>
    <row r="1500" spans="1:8" x14ac:dyDescent="0.2">
      <c r="A1500" s="4">
        <v>6454</v>
      </c>
      <c r="B1500" s="4" t="s">
        <v>51</v>
      </c>
      <c r="C1500" s="4" t="s">
        <v>45</v>
      </c>
      <c r="D1500" s="4">
        <f>VLOOKUP(A1500,Orders!$A:$E,5,FALSE)</f>
        <v>10</v>
      </c>
      <c r="E1500" s="4">
        <v>710</v>
      </c>
      <c r="F1500" s="4">
        <v>8</v>
      </c>
      <c r="G1500" s="10">
        <f t="shared" si="23"/>
        <v>88.75</v>
      </c>
      <c r="H1500" s="4">
        <v>3</v>
      </c>
    </row>
    <row r="1501" spans="1:8" x14ac:dyDescent="0.2">
      <c r="A1501" s="4">
        <v>6492</v>
      </c>
      <c r="B1501" s="4" t="s">
        <v>51</v>
      </c>
      <c r="C1501" s="4" t="s">
        <v>45</v>
      </c>
      <c r="D1501" s="4">
        <f>VLOOKUP(A1501,Orders!$A:$E,5,FALSE)</f>
        <v>5</v>
      </c>
      <c r="E1501" s="4">
        <v>228</v>
      </c>
      <c r="F1501" s="4">
        <v>9</v>
      </c>
      <c r="G1501" s="10">
        <f t="shared" si="23"/>
        <v>25.333333333333332</v>
      </c>
      <c r="H1501" s="4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Customers</vt:lpstr>
      <vt:lpstr>Sheet4</vt:lpstr>
      <vt:lpstr>Sheet5</vt:lpstr>
      <vt:lpstr>Sheet6</vt:lpstr>
      <vt:lpstr>Orders</vt:lpstr>
      <vt:lpstr>Sheet1</vt:lpstr>
      <vt:lpstr>Dashboard 1</vt:lpstr>
      <vt:lpstr>Sheet2</vt:lpstr>
      <vt:lpstr>Sheet3</vt:lpstr>
      <vt:lpstr>Logistics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2026-06-23T05:45:57Z</dcterms:created>
  <dcterms:modified xsi:type="dcterms:W3CDTF">2026-06-29T08:27:43Z</dcterms:modified>
  <cp:category/>
  <cp:contentStatus/>
</cp:coreProperties>
</file>